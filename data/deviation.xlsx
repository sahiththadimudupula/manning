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99901939\WLL\production\manning\data\"/>
    </mc:Choice>
  </mc:AlternateContent>
  <bookViews>
    <workbookView xWindow="0" yWindow="0" windowWidth="19200" windowHeight="6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2" i="1"/>
  <c r="D3" i="1"/>
  <c r="D4" i="1"/>
  <c r="D2" i="1"/>
  <c r="F4" i="1"/>
  <c r="F3" i="1"/>
  <c r="E3" i="1"/>
  <c r="E4" i="1"/>
  <c r="E2" i="1"/>
</calcChain>
</file>

<file path=xl/sharedStrings.xml><?xml version="1.0" encoding="utf-8"?>
<sst xmlns="http://schemas.openxmlformats.org/spreadsheetml/2006/main" count="18" uniqueCount="17">
  <si>
    <t>Unit</t>
  </si>
  <si>
    <t>Target/Day</t>
  </si>
  <si>
    <t>Today's</t>
  </si>
  <si>
    <t>Month</t>
  </si>
  <si>
    <t>Production</t>
  </si>
  <si>
    <t>Target PPP</t>
  </si>
  <si>
    <t>Today PPP</t>
  </si>
  <si>
    <t>Month PPP</t>
  </si>
  <si>
    <t>Units</t>
  </si>
  <si>
    <t>Spining</t>
  </si>
  <si>
    <t>Kgs/Person</t>
  </si>
  <si>
    <t>WTT</t>
  </si>
  <si>
    <t>Rugs</t>
  </si>
  <si>
    <t>Pcs/Person</t>
  </si>
  <si>
    <t>Target/Month</t>
  </si>
  <si>
    <t>Daily_deviation%</t>
  </si>
  <si>
    <t>Monthly_deviation%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</si>
</sst>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2" fontId="0" fillId="0" borderId="0" xfId="0" applyNumberFormat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E9" sqref="E9"/>
    </sheetView>
  </sheetViews>
  <sheetFormatPr defaultRowHeight="14.5" x14ac:dyDescent="0.35"/>
  <cols>
    <col min="1" max="1" width="6.81640625" bestFit="1" customWidth="1"/>
    <col min="2" max="2" width="10.1796875" bestFit="1" customWidth="1"/>
    <col min="3" max="3" width="6.36328125" bestFit="1" customWidth="1"/>
    <col min="4" max="4" width="17.26953125" style="3" customWidth="1"/>
    <col min="5" max="5" width="15.7265625" customWidth="1"/>
    <col min="6" max="6" width="11.81640625" customWidth="1"/>
    <col min="7" max="7" width="19.7265625" style="3" customWidth="1"/>
    <col min="8" max="8" width="10.08984375" bestFit="1" customWidth="1"/>
    <col min="9" max="9" width="9.90625" bestFit="1" customWidth="1"/>
    <col min="10" max="10" width="5.90625" bestFit="1" customWidth="1"/>
    <col min="11" max="11" width="6.54296875" bestFit="1" customWidth="1"/>
    <col min="12" max="12" width="7.90625" bestFit="1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2" t="s">
        <v>15</v>
      </c>
      <c r="E1" s="1" t="s">
        <v>14</v>
      </c>
      <c r="F1" s="1" t="s">
        <v>3</v>
      </c>
      <c r="G1" s="2" t="s">
        <v>16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29" x14ac:dyDescent="0.35">
      <c r="A2" s="1" t="s">
        <v>9</v>
      </c>
      <c r="B2" s="4">
        <v>960</v>
      </c>
      <c r="C2" s="4">
        <v>997</v>
      </c>
      <c r="D2" s="5">
        <f>(B2-C2)/B2*100</f>
        <v>-3.854166666666667</v>
      </c>
      <c r="E2" s="4">
        <f>B2*30</f>
        <v>28800</v>
      </c>
      <c r="F2" s="4">
        <v>5270</v>
      </c>
      <c r="G2" s="5">
        <f>(E2-F2)/E2*100</f>
        <v>81.701388888888886</v>
      </c>
      <c r="H2" s="4">
        <v>68191</v>
      </c>
      <c r="I2" s="4">
        <v>81</v>
      </c>
      <c r="J2" s="4">
        <v>66.2</v>
      </c>
      <c r="K2" s="4">
        <v>68.2</v>
      </c>
      <c r="L2" s="4" t="s">
        <v>10</v>
      </c>
    </row>
    <row r="3" spans="1:12" ht="29" x14ac:dyDescent="0.35">
      <c r="A3" s="1" t="s">
        <v>11</v>
      </c>
      <c r="B3" s="4">
        <v>3791</v>
      </c>
      <c r="C3" s="4">
        <v>3930</v>
      </c>
      <c r="D3" s="5">
        <f t="shared" ref="D3:D4" si="0">(B3-C3)/B3*100</f>
        <v>-3.6665787391189664</v>
      </c>
      <c r="E3" s="4">
        <f t="shared" ref="E3:E4" si="1">B3*30</f>
        <v>113730</v>
      </c>
      <c r="F3" s="4">
        <f>3939*5</f>
        <v>19695</v>
      </c>
      <c r="G3" s="5">
        <f t="shared" ref="G3:G4" si="2">(E3-F3)/E3*100</f>
        <v>82.682669480348196</v>
      </c>
      <c r="H3" s="4">
        <v>80456</v>
      </c>
      <c r="I3" s="4">
        <v>21.7</v>
      </c>
      <c r="J3" s="4">
        <v>21</v>
      </c>
      <c r="K3" s="4">
        <v>20</v>
      </c>
      <c r="L3" s="4" t="s">
        <v>10</v>
      </c>
    </row>
    <row r="4" spans="1:12" ht="29" x14ac:dyDescent="0.35">
      <c r="A4" s="1" t="s">
        <v>12</v>
      </c>
      <c r="B4" s="4">
        <v>1573</v>
      </c>
      <c r="C4" s="4">
        <v>1793</v>
      </c>
      <c r="D4" s="5">
        <f t="shared" si="0"/>
        <v>-13.986013986013987</v>
      </c>
      <c r="E4" s="4">
        <f t="shared" si="1"/>
        <v>47190</v>
      </c>
      <c r="F4" s="4">
        <f>1793*5</f>
        <v>8965</v>
      </c>
      <c r="G4" s="5">
        <f t="shared" si="2"/>
        <v>81.002331002331005</v>
      </c>
      <c r="H4" s="4">
        <v>73047</v>
      </c>
      <c r="I4" s="4">
        <v>39.200000000000003</v>
      </c>
      <c r="J4" s="4">
        <v>40.5</v>
      </c>
      <c r="K4" s="4">
        <v>38.1</v>
      </c>
      <c r="L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MirzaAli Jaffer</dc:creator>
  <cp:lastModifiedBy>MirzaAli Jaffer</cp:lastModifiedBy>
  <dcterms:created xsi:type="dcterms:W3CDTF">2026-04-15T06:48:46Z</dcterms:created>
  <dcterms:modified xsi:type="dcterms:W3CDTF">2026-04-15T08:11:24Z</dcterms:modified>
</cp:coreProperties>
</file>