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099901939\WLL\production\manning\data\"/>
    </mc:Choice>
  </mc:AlternateContent>
  <bookViews>
    <workbookView xWindow="0" yWindow="0" windowWidth="19070" windowHeight="5740" tabRatio="849" firstSheet="3" activeTab="9"/>
  </bookViews>
  <sheets>
    <sheet name="WTT" sheetId="1" r:id="rId1"/>
    <sheet name="TT_Cut&amp;Sew" sheetId="10" r:id="rId2"/>
    <sheet name="Weaving Back-Up" sheetId="2" r:id="rId3"/>
    <sheet name="Stenter" sheetId="3" r:id="rId4"/>
    <sheet name="Size_wise_details" sheetId="4" r:id="rId5"/>
    <sheet name="Size_wise_details_summary" sheetId="5" r:id="rId6"/>
    <sheet name="TT_Cut&amp;Sew_LC" sheetId="6" r:id="rId7"/>
    <sheet name="TT_Cut&amp;Sew_LH" sheetId="7" r:id="rId8"/>
    <sheet name="DTA" sheetId="8" r:id="rId9"/>
    <sheet name="JUKI" sheetId="9" r:id="rId10"/>
  </sheets>
  <externalReferences>
    <externalReference r:id="rId11"/>
  </externalReferences>
  <definedNames>
    <definedName name="_xlnm._FilterDatabase" localSheetId="0" hidden="1">WTT!$A$1:$T$62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5" l="1"/>
  <c r="B10" i="5"/>
  <c r="N52" i="10" l="1"/>
  <c r="N51" i="10"/>
  <c r="N24" i="10"/>
  <c r="N17" i="10"/>
  <c r="N16" i="10"/>
  <c r="J7" i="9"/>
  <c r="J11" i="9" s="1"/>
  <c r="J12" i="9" s="1"/>
  <c r="J13" i="9" s="1"/>
  <c r="H7" i="9"/>
  <c r="H11" i="9" s="1"/>
  <c r="H12" i="9" s="1"/>
  <c r="H13" i="9" s="1"/>
  <c r="C6" i="9"/>
  <c r="J10" i="9"/>
  <c r="I10" i="9"/>
  <c r="H10" i="9"/>
  <c r="G10" i="9"/>
  <c r="F10" i="9"/>
  <c r="E10" i="9"/>
  <c r="D10" i="9"/>
  <c r="J8" i="9"/>
  <c r="H8" i="9"/>
  <c r="G8" i="9"/>
  <c r="F8" i="9"/>
  <c r="E8" i="9"/>
  <c r="D8" i="9"/>
  <c r="C8" i="9"/>
  <c r="O6" i="9"/>
  <c r="O3" i="9"/>
  <c r="J3" i="9"/>
  <c r="I3" i="9"/>
  <c r="H3" i="9"/>
  <c r="G3" i="9"/>
  <c r="F3" i="9"/>
  <c r="E3" i="9"/>
  <c r="D3" i="9"/>
  <c r="C3" i="9"/>
  <c r="O1" i="9"/>
  <c r="B5" i="8"/>
  <c r="G4" i="8"/>
  <c r="F4" i="8"/>
  <c r="E4" i="8"/>
  <c r="D4" i="8"/>
  <c r="C4" i="8"/>
  <c r="G3" i="8"/>
  <c r="G5" i="8" s="1"/>
  <c r="F3" i="8"/>
  <c r="E3" i="8"/>
  <c r="D3" i="8"/>
  <c r="C3" i="8"/>
  <c r="G2" i="8"/>
  <c r="F2" i="8"/>
  <c r="F5" i="8" s="1"/>
  <c r="E2" i="8"/>
  <c r="E5" i="8" s="1"/>
  <c r="D2" i="8"/>
  <c r="D5" i="8" s="1"/>
  <c r="C2" i="8"/>
  <c r="C5" i="8" s="1"/>
  <c r="H6" i="7"/>
  <c r="I6" i="7"/>
  <c r="E15" i="7"/>
  <c r="D15" i="7"/>
  <c r="C15" i="7"/>
  <c r="J13" i="7"/>
  <c r="I13" i="7"/>
  <c r="H13" i="7"/>
  <c r="G13" i="7"/>
  <c r="F13" i="7"/>
  <c r="E13" i="7"/>
  <c r="D13" i="7"/>
  <c r="J11" i="7"/>
  <c r="J12" i="7" s="1"/>
  <c r="J14" i="7" s="1"/>
  <c r="I11" i="7"/>
  <c r="I12" i="7" s="1"/>
  <c r="I14" i="7" s="1"/>
  <c r="H11" i="7"/>
  <c r="H12" i="7" s="1"/>
  <c r="H14" i="7" s="1"/>
  <c r="G11" i="7"/>
  <c r="G12" i="7" s="1"/>
  <c r="G14" i="7" s="1"/>
  <c r="F11" i="7"/>
  <c r="F12" i="7" s="1"/>
  <c r="F14" i="7" s="1"/>
  <c r="E11" i="7"/>
  <c r="E12" i="7" s="1"/>
  <c r="E14" i="7" s="1"/>
  <c r="D11" i="7"/>
  <c r="J10" i="7"/>
  <c r="I10" i="7"/>
  <c r="H10" i="7"/>
  <c r="G10" i="7"/>
  <c r="F10" i="7"/>
  <c r="E10" i="7"/>
  <c r="D10" i="7"/>
  <c r="J7" i="7"/>
  <c r="I7" i="7"/>
  <c r="H7" i="7"/>
  <c r="G7" i="7"/>
  <c r="F7" i="7"/>
  <c r="E7" i="7"/>
  <c r="D7" i="7"/>
  <c r="C7" i="7"/>
  <c r="J3" i="7"/>
  <c r="J8" i="7" s="1"/>
  <c r="J9" i="7" s="1"/>
  <c r="I3" i="7"/>
  <c r="I8" i="7" s="1"/>
  <c r="I9" i="7" s="1"/>
  <c r="H3" i="7"/>
  <c r="H8" i="7" s="1"/>
  <c r="H9" i="7" s="1"/>
  <c r="G3" i="7"/>
  <c r="G8" i="7" s="1"/>
  <c r="G9" i="7" s="1"/>
  <c r="F3" i="7"/>
  <c r="F8" i="7" s="1"/>
  <c r="F9" i="7" s="1"/>
  <c r="E3" i="7"/>
  <c r="E8" i="7" s="1"/>
  <c r="E9" i="7" s="1"/>
  <c r="D3" i="7"/>
  <c r="D8" i="7" s="1"/>
  <c r="D9" i="7" s="1"/>
  <c r="C3" i="7"/>
  <c r="C8" i="7" s="1"/>
  <c r="H6" i="6"/>
  <c r="I6" i="6"/>
  <c r="J14" i="6"/>
  <c r="F14" i="6"/>
  <c r="E14" i="6"/>
  <c r="E15" i="6" s="1"/>
  <c r="D14" i="6"/>
  <c r="C14" i="6"/>
  <c r="J10" i="6"/>
  <c r="I10" i="6"/>
  <c r="H10" i="6"/>
  <c r="G10" i="6"/>
  <c r="F10" i="6"/>
  <c r="F11" i="6" s="1"/>
  <c r="F13" i="6" s="1"/>
  <c r="E10" i="6"/>
  <c r="D10" i="6"/>
  <c r="J7" i="6"/>
  <c r="I7" i="6"/>
  <c r="H7" i="6"/>
  <c r="G7" i="6"/>
  <c r="F7" i="6"/>
  <c r="E7" i="6"/>
  <c r="D7" i="6"/>
  <c r="C7" i="6"/>
  <c r="J3" i="6"/>
  <c r="J8" i="6" s="1"/>
  <c r="J9" i="6" s="1"/>
  <c r="I3" i="6"/>
  <c r="I8" i="6" s="1"/>
  <c r="I9" i="6" s="1"/>
  <c r="H3" i="6"/>
  <c r="H8" i="6" s="1"/>
  <c r="H9" i="6" s="1"/>
  <c r="G3" i="6"/>
  <c r="G8" i="6" s="1"/>
  <c r="G9" i="6" s="1"/>
  <c r="F3" i="6"/>
  <c r="F8" i="6" s="1"/>
  <c r="F9" i="6" s="1"/>
  <c r="E3" i="6"/>
  <c r="E8" i="6" s="1"/>
  <c r="E9" i="6" s="1"/>
  <c r="E11" i="6" s="1"/>
  <c r="E13" i="6" s="1"/>
  <c r="D3" i="6"/>
  <c r="D8" i="6" s="1"/>
  <c r="D9" i="6" s="1"/>
  <c r="D11" i="6" s="1"/>
  <c r="D13" i="6" s="1"/>
  <c r="C3" i="6"/>
  <c r="C8" i="6" s="1"/>
  <c r="C9" i="6" s="1"/>
  <c r="D9" i="5"/>
  <c r="E9" i="5"/>
  <c r="H2" i="8"/>
  <c r="D7" i="9"/>
  <c r="D11" i="9" s="1"/>
  <c r="D12" i="9" s="1"/>
  <c r="D13" i="9" s="1"/>
  <c r="D10" i="5"/>
  <c r="C9" i="5"/>
  <c r="B9" i="5"/>
  <c r="D6" i="6" l="1"/>
  <c r="D6" i="7"/>
  <c r="G6" i="9"/>
  <c r="L2" i="9" s="1"/>
  <c r="F6" i="9"/>
  <c r="K2" i="9" s="1"/>
  <c r="M2" i="9" s="1"/>
  <c r="L3" i="9" s="1"/>
  <c r="G7" i="9" s="1"/>
  <c r="G11" i="9" s="1"/>
  <c r="G12" i="9" s="1"/>
  <c r="G13" i="9" s="1"/>
  <c r="E6" i="9"/>
  <c r="D6" i="9"/>
  <c r="C7" i="9"/>
  <c r="C11" i="9" s="1"/>
  <c r="C12" i="9" s="1"/>
  <c r="C13" i="9" s="1"/>
  <c r="N39" i="10"/>
  <c r="E6" i="6"/>
  <c r="E16" i="6" s="1"/>
  <c r="E6" i="7"/>
  <c r="H6" i="9"/>
  <c r="C6" i="6"/>
  <c r="C16" i="6" s="1"/>
  <c r="C6" i="7"/>
  <c r="E7" i="9"/>
  <c r="E11" i="9" s="1"/>
  <c r="E12" i="9" s="1"/>
  <c r="E13" i="9" s="1"/>
  <c r="G6" i="6"/>
  <c r="G6" i="7"/>
  <c r="J6" i="9"/>
  <c r="I7" i="9"/>
  <c r="F6" i="6"/>
  <c r="F6" i="7"/>
  <c r="I6" i="9"/>
  <c r="J6" i="6"/>
  <c r="J6" i="7"/>
  <c r="J17" i="7" s="1"/>
  <c r="I11" i="9"/>
  <c r="I12" i="9" s="1"/>
  <c r="I13" i="9" s="1"/>
  <c r="E6" i="8"/>
  <c r="D6" i="8"/>
  <c r="F6" i="8"/>
  <c r="G6" i="8"/>
  <c r="C6" i="8"/>
  <c r="C12" i="7"/>
  <c r="C14" i="7" s="1"/>
  <c r="C16" i="7" s="1"/>
  <c r="C9" i="7"/>
  <c r="H17" i="7"/>
  <c r="I17" i="7"/>
  <c r="D12" i="7"/>
  <c r="D14" i="7" s="1"/>
  <c r="D16" i="7" s="1"/>
  <c r="E16" i="7"/>
  <c r="F15" i="7"/>
  <c r="F16" i="7" s="1"/>
  <c r="G15" i="7"/>
  <c r="G16" i="7" s="1"/>
  <c r="H15" i="7"/>
  <c r="H16" i="7" s="1"/>
  <c r="I15" i="7"/>
  <c r="I16" i="7" s="1"/>
  <c r="J15" i="7"/>
  <c r="J16" i="7" s="1"/>
  <c r="C15" i="6"/>
  <c r="D15" i="6"/>
  <c r="J11" i="6"/>
  <c r="J13" i="6" s="1"/>
  <c r="F15" i="6"/>
  <c r="J15" i="6"/>
  <c r="G11" i="6"/>
  <c r="G13" i="6" s="1"/>
  <c r="G14" i="6"/>
  <c r="G15" i="6" s="1"/>
  <c r="G16" i="6" s="1"/>
  <c r="H11" i="6"/>
  <c r="H13" i="6" s="1"/>
  <c r="H14" i="6"/>
  <c r="I11" i="6"/>
  <c r="I13" i="6" s="1"/>
  <c r="I14" i="6"/>
  <c r="C11" i="6"/>
  <c r="C13" i="6" s="1"/>
  <c r="G17" i="7" l="1"/>
  <c r="J18" i="7" s="1"/>
  <c r="J20" i="7" s="1"/>
  <c r="D17" i="7"/>
  <c r="D16" i="6"/>
  <c r="N19" i="10"/>
  <c r="C17" i="7"/>
  <c r="F17" i="7"/>
  <c r="J16" i="6"/>
  <c r="E17" i="7"/>
  <c r="N20" i="10"/>
  <c r="O4" i="9"/>
  <c r="O5" i="9" s="1"/>
  <c r="O7" i="9" s="1"/>
  <c r="F16" i="6"/>
  <c r="K3" i="9"/>
  <c r="F7" i="9" s="1"/>
  <c r="F11" i="9" s="1"/>
  <c r="F12" i="9" s="1"/>
  <c r="F13" i="9" s="1"/>
  <c r="H15" i="6"/>
  <c r="H16" i="6" s="1"/>
  <c r="I15" i="6"/>
  <c r="I16" i="6" s="1"/>
  <c r="J17" i="6" l="1"/>
  <c r="J18" i="6" s="1"/>
  <c r="N5" i="10" s="1"/>
  <c r="N13" i="10"/>
  <c r="N12" i="10"/>
  <c r="N15" i="10"/>
  <c r="J14" i="9"/>
  <c r="O8" i="9" s="1"/>
  <c r="O9" i="9" s="1"/>
  <c r="N22" i="10" s="1"/>
  <c r="N4" i="10" l="1"/>
  <c r="N21" i="10"/>
  <c r="N50" i="10"/>
  <c r="D11" i="2"/>
  <c r="C13" i="3"/>
  <c r="C12" i="3"/>
  <c r="C11" i="3"/>
  <c r="B6" i="3"/>
  <c r="B8" i="3" s="1"/>
  <c r="B7" i="3" l="1"/>
  <c r="B12" i="3" l="1"/>
  <c r="B11" i="3"/>
  <c r="B13" i="3"/>
  <c r="H20" i="3" l="1"/>
  <c r="Q76" i="1" s="1"/>
  <c r="H18" i="3"/>
  <c r="Q74" i="1" s="1"/>
  <c r="H19" i="3"/>
  <c r="Q75" i="1" s="1"/>
  <c r="D12" i="3"/>
  <c r="C18" i="3"/>
  <c r="C19" i="3"/>
  <c r="B14" i="3"/>
  <c r="G19" i="3"/>
  <c r="P75" i="1" s="1"/>
  <c r="G20" i="3"/>
  <c r="P76" i="1" s="1"/>
  <c r="D11" i="3"/>
  <c r="C20" i="3"/>
  <c r="G18" i="3"/>
  <c r="P74" i="1" s="1"/>
  <c r="I20" i="3"/>
  <c r="R76" i="1" s="1"/>
  <c r="I18" i="3"/>
  <c r="R74" i="1" s="1"/>
  <c r="D13" i="3"/>
  <c r="I19" i="3"/>
  <c r="R75" i="1" s="1"/>
  <c r="D14" i="3" l="1"/>
  <c r="B4" i="2" l="1"/>
  <c r="B5" i="2" s="1"/>
  <c r="B11" i="2"/>
  <c r="E11" i="2"/>
  <c r="C11" i="2"/>
  <c r="E10" i="2"/>
  <c r="D10" i="2"/>
  <c r="C10" i="2"/>
  <c r="B10" i="2"/>
  <c r="E8" i="2"/>
  <c r="E9" i="2" s="1"/>
  <c r="C8" i="2"/>
  <c r="C9" i="2" s="1"/>
  <c r="F7" i="2"/>
  <c r="E6" i="2"/>
  <c r="C6" i="2"/>
  <c r="E4" i="2"/>
  <c r="D4" i="2"/>
  <c r="D5" i="2" s="1"/>
  <c r="D8" i="2" s="1"/>
  <c r="D9" i="2" s="1"/>
  <c r="C4" i="2"/>
  <c r="F2" i="2"/>
  <c r="F10" i="2" l="1"/>
  <c r="N28" i="1" s="1"/>
  <c r="F11" i="2"/>
  <c r="B6" i="2"/>
  <c r="B8" i="2"/>
  <c r="D6" i="2"/>
  <c r="F6" i="2" l="1"/>
  <c r="N19" i="1" s="1"/>
  <c r="F8" i="2"/>
  <c r="B9" i="2"/>
  <c r="F9" i="2" s="1"/>
  <c r="N20" i="1" s="1"/>
  <c r="J9" i="1" l="1"/>
  <c r="D20" i="3"/>
  <c r="D19" i="3"/>
  <c r="E19" i="3"/>
  <c r="E20" i="3"/>
  <c r="E18" i="3"/>
  <c r="D18" i="3"/>
</calcChain>
</file>

<file path=xl/sharedStrings.xml><?xml version="1.0" encoding="utf-8"?>
<sst xmlns="http://schemas.openxmlformats.org/spreadsheetml/2006/main" count="11925" uniqueCount="1320">
  <si>
    <t>Location</t>
  </si>
  <si>
    <t>Business</t>
  </si>
  <si>
    <t>Section</t>
  </si>
  <si>
    <t>Sr_No</t>
  </si>
  <si>
    <t>Dept_Machine_Name</t>
  </si>
  <si>
    <t>Designation</t>
  </si>
  <si>
    <t>Machine_Count</t>
  </si>
  <si>
    <t>Workload</t>
  </si>
  <si>
    <t>Formulas</t>
  </si>
  <si>
    <t>BE_Scientific_Manpower</t>
  </si>
  <si>
    <t>Operator_Type</t>
  </si>
  <si>
    <t>Contractors</t>
  </si>
  <si>
    <t>Company_Associate</t>
  </si>
  <si>
    <t>BE_Final_Manpower</t>
  </si>
  <si>
    <t>General_Shift</t>
  </si>
  <si>
    <t>Shift_A</t>
  </si>
  <si>
    <t>Shift_B</t>
  </si>
  <si>
    <t>Shift_C</t>
  </si>
  <si>
    <t>Reliever</t>
  </si>
  <si>
    <t>Remarks</t>
  </si>
  <si>
    <t>Vapi</t>
  </si>
  <si>
    <t>WTT</t>
  </si>
  <si>
    <t>Weaving Preparatory</t>
  </si>
  <si>
    <t>Direct Warping</t>
  </si>
  <si>
    <t>Warper</t>
  </si>
  <si>
    <t>1 Machine / Warper</t>
  </si>
  <si>
    <t>4*3</t>
  </si>
  <si>
    <t>Creel Boy</t>
  </si>
  <si>
    <t>1 Machine / Creel Boy</t>
  </si>
  <si>
    <t>Section Warping</t>
  </si>
  <si>
    <t>5*3</t>
  </si>
  <si>
    <t>Sizing</t>
  </si>
  <si>
    <t>Sizer</t>
  </si>
  <si>
    <t>1 Machine / Operator</t>
  </si>
  <si>
    <t>Back Sizer</t>
  </si>
  <si>
    <t>1 Machine / Back Sizer</t>
  </si>
  <si>
    <t>Mixing Man</t>
  </si>
  <si>
    <t>1 Operator / Shift</t>
  </si>
  <si>
    <t>1*3</t>
  </si>
  <si>
    <t>Winding (30 Drum)</t>
  </si>
  <si>
    <t>Winding Opt</t>
  </si>
  <si>
    <t>13 Drum / Operator (50 Drums)</t>
  </si>
  <si>
    <t>(50/13)*3</t>
  </si>
  <si>
    <t>Req. 11.53, given 12</t>
  </si>
  <si>
    <t>Sample Winding</t>
  </si>
  <si>
    <t>Beam Carrier</t>
  </si>
  <si>
    <t>03 Operator / Shift</t>
  </si>
  <si>
    <t>3*3</t>
  </si>
  <si>
    <t>Preventive Fitter</t>
  </si>
  <si>
    <t>06 Fitter in General Shift</t>
  </si>
  <si>
    <t>6*1</t>
  </si>
  <si>
    <t>Shift Fitter</t>
  </si>
  <si>
    <t>01 Fitter / Shift</t>
  </si>
  <si>
    <t>MIS Coordinator</t>
  </si>
  <si>
    <t>Housekeeping</t>
  </si>
  <si>
    <t>New Sample Section Warping</t>
  </si>
  <si>
    <t>Creel Boy (Material Handler)</t>
  </si>
  <si>
    <t>1*1</t>
  </si>
  <si>
    <t>Loom Shed</t>
  </si>
  <si>
    <t>Dobby&amp;Jaquard</t>
  </si>
  <si>
    <t>Weaver</t>
  </si>
  <si>
    <t>6 Looms / Operator</t>
  </si>
  <si>
    <t>(181/6)*3</t>
  </si>
  <si>
    <t>Direct</t>
  </si>
  <si>
    <t>Weaver - Lunch Reliver</t>
  </si>
  <si>
    <t>5 Weavers / Reliever</t>
  </si>
  <si>
    <t>(93/5)</t>
  </si>
  <si>
    <t>Indirect</t>
  </si>
  <si>
    <t>Knotter</t>
  </si>
  <si>
    <t>135 Knotting/Day (5Kn/Op)</t>
  </si>
  <si>
    <t>(45/5)*3</t>
  </si>
  <si>
    <t>Req. 27, given 30</t>
  </si>
  <si>
    <t>Beam Loader</t>
  </si>
  <si>
    <t>34 Machine / Operator</t>
  </si>
  <si>
    <t>(181/34)*3</t>
  </si>
  <si>
    <t>Weft Boy</t>
  </si>
  <si>
    <t>45 Machine / Operator</t>
  </si>
  <si>
    <t>(181/45)*3</t>
  </si>
  <si>
    <t>Roll Doffer</t>
  </si>
  <si>
    <t>42 Machine / Operator</t>
  </si>
  <si>
    <t>(181/42)*3</t>
  </si>
  <si>
    <t>Dobby &amp; Jacquard - Pile Ratio Checker</t>
  </si>
  <si>
    <t>2 Operator / Shift</t>
  </si>
  <si>
    <t>2*3</t>
  </si>
  <si>
    <t>Dobby &amp; Jacquard - Quality Checker</t>
  </si>
  <si>
    <t>Data Opt</t>
  </si>
  <si>
    <t>Production Fitter</t>
  </si>
  <si>
    <t>24 Machine / Operator</t>
  </si>
  <si>
    <t>(181/24)*3</t>
  </si>
  <si>
    <t>PM-Fitter</t>
  </si>
  <si>
    <t>Fitter in General Shift</t>
  </si>
  <si>
    <t>6+6+5</t>
  </si>
  <si>
    <t>1 Fitter / Shift</t>
  </si>
  <si>
    <t>Drawer</t>
  </si>
  <si>
    <t>28 Machine / Operator</t>
  </si>
  <si>
    <t>(181/28)*3</t>
  </si>
  <si>
    <t>Quality Checker / Mender</t>
  </si>
  <si>
    <t>2 Machines</t>
  </si>
  <si>
    <t>Grey Folding</t>
  </si>
  <si>
    <t>Rope Maker</t>
  </si>
  <si>
    <t>7*3</t>
  </si>
  <si>
    <t>Rope Stitcher</t>
  </si>
  <si>
    <t>Crane Handling</t>
  </si>
  <si>
    <t>1 Crane / Operator</t>
  </si>
  <si>
    <t>Inspection Machine</t>
  </si>
  <si>
    <t>Material Handler</t>
  </si>
  <si>
    <t>3 Handler / Shift</t>
  </si>
  <si>
    <t>Driver</t>
  </si>
  <si>
    <t>MIS &amp; Floor Coordinator</t>
  </si>
  <si>
    <t>Fitter G</t>
  </si>
  <si>
    <t>1 Jobber / Shift</t>
  </si>
  <si>
    <t>Jobber G</t>
  </si>
  <si>
    <t>Material Handler, House Keeping</t>
  </si>
  <si>
    <t>2 MH &amp; HK / Shift</t>
  </si>
  <si>
    <t>Loading &amp; Unloading Contractor</t>
  </si>
  <si>
    <t>8*3</t>
  </si>
  <si>
    <t>Processing-Fabric Dyeing</t>
  </si>
  <si>
    <t>Fabric Dyeing</t>
  </si>
  <si>
    <t>Auto Dispensing</t>
  </si>
  <si>
    <t>Colour Kitchen Operator prcs</t>
  </si>
  <si>
    <t>Fabric Dyeing Operator</t>
  </si>
  <si>
    <t>2 Machine / Operator</t>
  </si>
  <si>
    <t>ROUNDUP(37/2,0)*3</t>
  </si>
  <si>
    <t>Number of MC will change depends on MT/Month</t>
  </si>
  <si>
    <t>Assistant F/Dyeing Operator</t>
  </si>
  <si>
    <t>Fabric Fitter</t>
  </si>
  <si>
    <t>F.Dyeing Jobber</t>
  </si>
  <si>
    <t>2 Jobber / Shift</t>
  </si>
  <si>
    <t>Down gread</t>
  </si>
  <si>
    <t>Shade Cont. Std</t>
  </si>
  <si>
    <t>Data Opt. Fabric</t>
  </si>
  <si>
    <t>Sample Dyeing</t>
  </si>
  <si>
    <t>S. Dying Jobber</t>
  </si>
  <si>
    <t>Sample Dyeing Operator</t>
  </si>
  <si>
    <t>3 machine / Operator</t>
  </si>
  <si>
    <t>ROUNDDOWN(16/3,0)*3</t>
  </si>
  <si>
    <t>Sample Dyeing Asst. Operator</t>
  </si>
  <si>
    <t>Processing - Store</t>
  </si>
  <si>
    <t>Chemical Store</t>
  </si>
  <si>
    <t>Do (Dyes &amp; chemical posting)</t>
  </si>
  <si>
    <t>Sub store for manual chemical</t>
  </si>
  <si>
    <t>Material issue from main store</t>
  </si>
  <si>
    <t>Req. 3, given 2 (no 3rd shift,store close at 11)</t>
  </si>
  <si>
    <t>Processing-Shearing</t>
  </si>
  <si>
    <t>Shearing</t>
  </si>
  <si>
    <t>sh Jobber</t>
  </si>
  <si>
    <t>Shearing Operator</t>
  </si>
  <si>
    <t>1.5 Operator / MC</t>
  </si>
  <si>
    <t>(6*1.5)*3</t>
  </si>
  <si>
    <t>Stitcher S</t>
  </si>
  <si>
    <t>Drying</t>
  </si>
  <si>
    <t>Stenter</t>
  </si>
  <si>
    <t>st Jobber</t>
  </si>
  <si>
    <t>Data Opt. ST</t>
  </si>
  <si>
    <t>Padder Operator</t>
  </si>
  <si>
    <t>1 Machine /operator</t>
  </si>
  <si>
    <t>(5+4+4)*1</t>
  </si>
  <si>
    <t>Biancalanni</t>
  </si>
  <si>
    <t>2 Machine /operator</t>
  </si>
  <si>
    <t>(5+4+4)*2</t>
  </si>
  <si>
    <t>Based on 2 operator per machine</t>
  </si>
  <si>
    <t>Stenter Operator</t>
  </si>
  <si>
    <t>Softner Dispenser</t>
  </si>
  <si>
    <t>MM Dryer &amp; Hydro Extractor</t>
  </si>
  <si>
    <t>Tow Truck Driver</t>
  </si>
  <si>
    <t>1 Driver / Machine</t>
  </si>
  <si>
    <t>Table Clearance Activity</t>
  </si>
  <si>
    <t>Processing-Laboratory</t>
  </si>
  <si>
    <t>Laboratory</t>
  </si>
  <si>
    <t>Lab Technician PCS</t>
  </si>
  <si>
    <t>4 Operator / Shift</t>
  </si>
  <si>
    <t>MIS &amp; Floor Coordinator Lab PCS</t>
  </si>
  <si>
    <t>Contractor</t>
  </si>
  <si>
    <t>6 Operator / Shift</t>
  </si>
  <si>
    <t>6*3</t>
  </si>
  <si>
    <t>Winding</t>
  </si>
  <si>
    <t>Fitter wind.</t>
  </si>
  <si>
    <t>1*2</t>
  </si>
  <si>
    <t>Jobber W/D</t>
  </si>
  <si>
    <t>Material Handler wind</t>
  </si>
  <si>
    <t>2 Handler / Shift</t>
  </si>
  <si>
    <t>Quality Checker wind</t>
  </si>
  <si>
    <t>3 Operator / Shift</t>
  </si>
  <si>
    <t>Winder / S winding / C winding</t>
  </si>
  <si>
    <t>24*3</t>
  </si>
  <si>
    <t>Yarn Dyeing</t>
  </si>
  <si>
    <t>Kniting</t>
  </si>
  <si>
    <t>Knitting Operator yn</t>
  </si>
  <si>
    <t>MIS &amp; Floor Coordinator Yarn</t>
  </si>
  <si>
    <t>Hydro Extractor</t>
  </si>
  <si>
    <t>2 Operator / shift</t>
  </si>
  <si>
    <t>RF Dryer</t>
  </si>
  <si>
    <t>RF Dryer Operator</t>
  </si>
  <si>
    <t>Y/D Loading Operator</t>
  </si>
  <si>
    <t>Y/D Operator</t>
  </si>
  <si>
    <t>3 Machine / Operator</t>
  </si>
  <si>
    <t>(15/3)*3</t>
  </si>
  <si>
    <t>Y/D Sample M/C Operator</t>
  </si>
  <si>
    <t>Sample Knitting for Quality Check + Shade Continuity</t>
  </si>
  <si>
    <t>Length Cutting 04 M/c's</t>
  </si>
  <si>
    <t>L,C,Data Operator</t>
  </si>
  <si>
    <t/>
  </si>
  <si>
    <t>L,C,Jobber</t>
  </si>
  <si>
    <t>Length Cutting Operator</t>
  </si>
  <si>
    <t>Number of MC comes from LC</t>
  </si>
  <si>
    <t>L, C,Material Transport</t>
  </si>
  <si>
    <t>For Material Guiding</t>
  </si>
  <si>
    <t>Lift Operator</t>
  </si>
  <si>
    <t>(JLP &amp; FRC) (was not added earlier)</t>
  </si>
  <si>
    <t>Need to Check JLP</t>
  </si>
  <si>
    <t>Length Hemmimg</t>
  </si>
  <si>
    <t>BCD Segregation</t>
  </si>
  <si>
    <t>Thread Collector (Kitting)</t>
  </si>
  <si>
    <t>L,H,Jobber(2 Jobber/Shift)</t>
  </si>
  <si>
    <t>Length Hemming Operator</t>
  </si>
  <si>
    <t>20*3</t>
  </si>
  <si>
    <t>1 extra MC priventive Maintenance</t>
  </si>
  <si>
    <t>Cross Cutting Operator</t>
  </si>
  <si>
    <t>Juki Stitcher 8 M/c</t>
  </si>
  <si>
    <t>L, A,Jobber</t>
  </si>
  <si>
    <t>L, A,Stitcher</t>
  </si>
  <si>
    <t>7+6+6</t>
  </si>
  <si>
    <t>Cross Hemming 08 M/cs</t>
  </si>
  <si>
    <t>Cross Hemming Operator(8 MC/Shift)*3</t>
  </si>
  <si>
    <t>Packer</t>
  </si>
  <si>
    <t>28*3</t>
  </si>
  <si>
    <t>CCH, Jobber</t>
  </si>
  <si>
    <t>DTA-1,2,3,4,5,6,7,8 + Contractor Line</t>
  </si>
  <si>
    <t>DTA Jobber</t>
  </si>
  <si>
    <t>32*3</t>
  </si>
  <si>
    <t>Line F./Trim B/ AQL/ Segr</t>
  </si>
  <si>
    <t>44*3</t>
  </si>
  <si>
    <t>DTA Polybag Packer (Table)</t>
  </si>
  <si>
    <t>154+154+153</t>
  </si>
  <si>
    <t>DTA Stitcher</t>
  </si>
  <si>
    <t>171+171+170</t>
  </si>
  <si>
    <t>Mending</t>
  </si>
  <si>
    <t>Mending Jobber</t>
  </si>
  <si>
    <t>Mender &amp; Stain Remover</t>
  </si>
  <si>
    <t>12*3</t>
  </si>
  <si>
    <t>General_Area</t>
  </si>
  <si>
    <t>Carpentor maint</t>
  </si>
  <si>
    <t>1+0+0</t>
  </si>
  <si>
    <t>Data Operator General</t>
  </si>
  <si>
    <t>Maint DEO</t>
  </si>
  <si>
    <t>Carton Pkg DEO</t>
  </si>
  <si>
    <t>Electrician Maint.</t>
  </si>
  <si>
    <t>Fitter Maint.</t>
  </si>
  <si>
    <t>Needleman maint.</t>
  </si>
  <si>
    <t>Shortfall Jobber</t>
  </si>
  <si>
    <t>Trims Issue \Thred Cutter</t>
  </si>
  <si>
    <t>Welder Miant</t>
  </si>
  <si>
    <t>Auto Polybag M/C 03</t>
  </si>
  <si>
    <t>Polybag M/C Operator</t>
  </si>
  <si>
    <t>Auto Polybag M/C 04</t>
  </si>
  <si>
    <t>Polybag M/C Packer</t>
  </si>
  <si>
    <t>RTF</t>
  </si>
  <si>
    <t>RTF,Data Operator</t>
  </si>
  <si>
    <t>RTF Packer</t>
  </si>
  <si>
    <t>Carton Packers</t>
  </si>
  <si>
    <t>Cartons Packers</t>
  </si>
  <si>
    <t>35*3</t>
  </si>
  <si>
    <t>Metal</t>
  </si>
  <si>
    <t>Carton,Jobber</t>
  </si>
  <si>
    <t>TRS</t>
  </si>
  <si>
    <t>TRS Checker</t>
  </si>
  <si>
    <t>3+3+2</t>
  </si>
  <si>
    <t>TRS,Cross Cutting Operator</t>
  </si>
  <si>
    <t>TRS Data Entry Operator</t>
  </si>
  <si>
    <t>TRS,Jobber</t>
  </si>
  <si>
    <t>TRS,Mender</t>
  </si>
  <si>
    <t>2+2+1</t>
  </si>
  <si>
    <t>TRS Packer / Carton Packer</t>
  </si>
  <si>
    <t>TRS Stitcher</t>
  </si>
  <si>
    <t>Contractor (HK)</t>
  </si>
  <si>
    <t>TQM</t>
  </si>
  <si>
    <t>TT TQM</t>
  </si>
  <si>
    <t>144*3</t>
  </si>
  <si>
    <t>STAFF</t>
  </si>
  <si>
    <t>FINISH FOLDING STAFF</t>
  </si>
  <si>
    <t>9*3</t>
  </si>
  <si>
    <t>Embroidary + Sheridan Patch Lable</t>
  </si>
  <si>
    <t>10*3</t>
  </si>
  <si>
    <t>TQM Quality (Other Department)</t>
  </si>
  <si>
    <t>Weaving</t>
  </si>
  <si>
    <t>Quality Checker</t>
  </si>
  <si>
    <t>1 Checker / Shift</t>
  </si>
  <si>
    <t>Processing, Lab, YD</t>
  </si>
  <si>
    <t>3 Checker / Shift</t>
  </si>
  <si>
    <t>Store</t>
  </si>
  <si>
    <t>Trims Checker</t>
  </si>
  <si>
    <t>2 Checker / Shift</t>
  </si>
  <si>
    <t>Sampling</t>
  </si>
  <si>
    <t>Sampling Checker</t>
  </si>
  <si>
    <t>Inspection</t>
  </si>
  <si>
    <t>Inspection Checker</t>
  </si>
  <si>
    <t>4 Checker / Shift</t>
  </si>
  <si>
    <t>Yarn Warehouse</t>
  </si>
  <si>
    <t>Jobber &amp; Mis</t>
  </si>
  <si>
    <t>Loading &amp; un loading</t>
  </si>
  <si>
    <t>GIDC loading &amp; Unloading</t>
  </si>
  <si>
    <t>Fork Lift Operator</t>
  </si>
  <si>
    <t>Engineering</t>
  </si>
  <si>
    <t>Fitter &amp; electrician</t>
  </si>
  <si>
    <t>ASRS</t>
  </si>
  <si>
    <t>8 Operator / Shift</t>
  </si>
  <si>
    <t>Utility &amp; Mechanical</t>
  </si>
  <si>
    <t>PPC</t>
  </si>
  <si>
    <t>Mis Opt. , Trims , Sample</t>
  </si>
  <si>
    <t>PD</t>
  </si>
  <si>
    <t>Quality Changer</t>
  </si>
  <si>
    <t>Design edit</t>
  </si>
  <si>
    <t>Embriodery printing</t>
  </si>
  <si>
    <t>Sample attendant</t>
  </si>
  <si>
    <t>Stitcher</t>
  </si>
  <si>
    <t>Supervisor, Checking , Mending</t>
  </si>
  <si>
    <t>Mis</t>
  </si>
  <si>
    <t>Polybag Packer</t>
  </si>
  <si>
    <t>y</t>
  </si>
  <si>
    <t>Operator</t>
  </si>
  <si>
    <t>Account</t>
  </si>
  <si>
    <t>DEO</t>
  </si>
  <si>
    <t>1 DEO/Day</t>
  </si>
  <si>
    <t>Excise &amp; Logistic &amp; SSC</t>
  </si>
  <si>
    <t>10 DEO/Day</t>
  </si>
  <si>
    <t>10*1</t>
  </si>
  <si>
    <t>Scrape</t>
  </si>
  <si>
    <t>DEO, Material Handler</t>
  </si>
  <si>
    <t>1 DEO, 8 MH /Day</t>
  </si>
  <si>
    <t>Store &amp; Purchase</t>
  </si>
  <si>
    <t>Jobber</t>
  </si>
  <si>
    <t>2 Jobber/Shift</t>
  </si>
  <si>
    <t>Store Keeper, Trims, Chemical, CTN</t>
  </si>
  <si>
    <t>25 Store Keeper/Shift</t>
  </si>
  <si>
    <t>25*3</t>
  </si>
  <si>
    <t>ETP &amp; DM Plant</t>
  </si>
  <si>
    <t>Power plant &amp; Boiler</t>
  </si>
  <si>
    <t>20 Material Handler/ Shift</t>
  </si>
  <si>
    <t>P&amp;IR &amp; Recruitment</t>
  </si>
  <si>
    <t>Attendance, PF, Esic, Leave, MIS, Reports</t>
  </si>
  <si>
    <t>Time Keeper</t>
  </si>
  <si>
    <t>1 Time keeper/Shift
3 Time Keeper/ General</t>
  </si>
  <si>
    <t>1*3+3*1</t>
  </si>
  <si>
    <t>T&amp;D</t>
  </si>
  <si>
    <t>Weaving, Wev.Prep, Process, YD, Grey, Dispatch, C&amp;S, Induction, Others.</t>
  </si>
  <si>
    <t>Trainer</t>
  </si>
  <si>
    <t>8 Trainer / Shift</t>
  </si>
  <si>
    <t>Trainee</t>
  </si>
  <si>
    <t>17 Trainee / Shift</t>
  </si>
  <si>
    <t>17*3</t>
  </si>
  <si>
    <t>Security</t>
  </si>
  <si>
    <t>Guard, ASO</t>
  </si>
  <si>
    <t>15 Guard / Shift</t>
  </si>
  <si>
    <t>15*3</t>
  </si>
  <si>
    <t>Safety- Fireman , Driver</t>
  </si>
  <si>
    <t>Fireperson</t>
  </si>
  <si>
    <t>2 Fireperson / Shift</t>
  </si>
  <si>
    <t>Admin</t>
  </si>
  <si>
    <t>House Keeping, Gardning, Plumber,DEO,Tel.Opt.</t>
  </si>
  <si>
    <t>32 Materail Handler/Shift</t>
  </si>
  <si>
    <t>HO_Scientific_Manpower</t>
  </si>
  <si>
    <t>HO_Final_Manpower</t>
  </si>
  <si>
    <t>Details</t>
  </si>
  <si>
    <t>Dobby_unit1</t>
  </si>
  <si>
    <t>Dobby_unit2</t>
  </si>
  <si>
    <t>Jacquard_1</t>
  </si>
  <si>
    <t>Jacquard_2</t>
  </si>
  <si>
    <t>TOTAL</t>
  </si>
  <si>
    <t>Looms Distribution (Unitwise)</t>
  </si>
  <si>
    <t>Looms/Weaver</t>
  </si>
  <si>
    <t>Weavers/shift</t>
  </si>
  <si>
    <t>Weaver/ Day</t>
  </si>
  <si>
    <t>Weavers Per Reliever (No.)</t>
  </si>
  <si>
    <t>Relievers/ Shift</t>
  </si>
  <si>
    <t>Relievers/ Day</t>
  </si>
  <si>
    <t>Dynamic Shift Planning Based on MT / Day</t>
  </si>
  <si>
    <t>Required Production / Day (MT)</t>
  </si>
  <si>
    <t>Change only yellow input cells</t>
  </si>
  <si>
    <t>Capacity / Machine / Shift (MT)</t>
  </si>
  <si>
    <t>Available Machines</t>
  </si>
  <si>
    <t>Required Machine-Shifts / Day</t>
  </si>
  <si>
    <t>Base Machines / Shift</t>
  </si>
  <si>
    <t>Remainder Machine-Shifts</t>
  </si>
  <si>
    <t>Shift</t>
  </si>
  <si>
    <t>Machines Planned</t>
  </si>
  <si>
    <t>Capacity / Machine / Shift</t>
  </si>
  <si>
    <t>Production (MT)</t>
  </si>
  <si>
    <t>1st Shift</t>
  </si>
  <si>
    <t>2nd Shift</t>
  </si>
  <si>
    <t>3rd Shift</t>
  </si>
  <si>
    <t>Total</t>
  </si>
  <si>
    <t>Formula Logic</t>
  </si>
  <si>
    <t>2 Operator / Machine</t>
  </si>
  <si>
    <t>How it works</t>
  </si>
  <si>
    <t>1. Required machine-shifts = Required MT / Capacity per Machine per Shift</t>
  </si>
  <si>
    <t>2. Machine-shifts are distributed across 3 shifts as evenly as possible</t>
  </si>
  <si>
    <t>3. Extra machine-shifts are assigned from 1st shift onward</t>
  </si>
  <si>
    <t>4. Operator manpower is then derived from shift-wise machine allocation</t>
  </si>
  <si>
    <t>SO No</t>
  </si>
  <si>
    <t>Customer Name</t>
  </si>
  <si>
    <t>Design Name</t>
  </si>
  <si>
    <t>Size</t>
  </si>
  <si>
    <t>Tr Part</t>
  </si>
  <si>
    <t>YD MATHING</t>
  </si>
  <si>
    <t>Sort</t>
  </si>
  <si>
    <t>Size2</t>
  </si>
  <si>
    <t>Order Pcs</t>
  </si>
  <si>
    <t>Order Kgs</t>
  </si>
  <si>
    <t>ARGOS</t>
  </si>
  <si>
    <t>POPCORN TWL</t>
  </si>
  <si>
    <t>50X80</t>
  </si>
  <si>
    <t>TRAH423MH0P</t>
  </si>
  <si>
    <t>Hand</t>
  </si>
  <si>
    <t>70X120</t>
  </si>
  <si>
    <t>TRAH423MB0P</t>
  </si>
  <si>
    <t>Bath</t>
  </si>
  <si>
    <t>ASDA</t>
  </si>
  <si>
    <t>HYDRANGEA-Y1</t>
  </si>
  <si>
    <t>102X150</t>
  </si>
  <si>
    <t>TRAZ322ZS0Y</t>
  </si>
  <si>
    <t>Y1</t>
  </si>
  <si>
    <t>Sheet</t>
  </si>
  <si>
    <t>50X90</t>
  </si>
  <si>
    <t>TRAZ322ZH0Y</t>
  </si>
  <si>
    <t>LEOPARD ASDA-Y1</t>
  </si>
  <si>
    <t>TRBA341ZS0Y</t>
  </si>
  <si>
    <t>TRBA341ZH0Y</t>
  </si>
  <si>
    <t>70X130</t>
  </si>
  <si>
    <t>TRBA341ZB0Y</t>
  </si>
  <si>
    <t>BJS</t>
  </si>
  <si>
    <t>BJ'S SOLID TWL</t>
  </si>
  <si>
    <t>34X34</t>
  </si>
  <si>
    <t>TRYB159ZW0P</t>
  </si>
  <si>
    <t>Wash</t>
  </si>
  <si>
    <t>76X137</t>
  </si>
  <si>
    <t>TRYB159ZB0P</t>
  </si>
  <si>
    <t>BJ'S STRIPE TWL-Y1</t>
  </si>
  <si>
    <t>TRYB161ZW0Y</t>
  </si>
  <si>
    <t>TRYB161ZB0Y</t>
  </si>
  <si>
    <t>BJ'S STRIPE TWL-Y2</t>
  </si>
  <si>
    <t>Y2</t>
  </si>
  <si>
    <t>BJ'S STRIPE TWL-Y3</t>
  </si>
  <si>
    <t>Y3</t>
  </si>
  <si>
    <t>BMA</t>
  </si>
  <si>
    <t>PREMIUM NANO2PLY-628</t>
  </si>
  <si>
    <t>30X30</t>
  </si>
  <si>
    <t>TRAE348ZW0P</t>
  </si>
  <si>
    <t>50X100</t>
  </si>
  <si>
    <t>TRAE348ZH0P</t>
  </si>
  <si>
    <t>70X140</t>
  </si>
  <si>
    <t>TRAE348ZB0P</t>
  </si>
  <si>
    <t>90X160</t>
  </si>
  <si>
    <t>TRAE348ZS0P</t>
  </si>
  <si>
    <t>PRIMARY VISC.BDR</t>
  </si>
  <si>
    <t>TRAU726ZW0P</t>
  </si>
  <si>
    <t>TRAU726ZH0P</t>
  </si>
  <si>
    <t>TRAU726ZB0P</t>
  </si>
  <si>
    <t>90X150</t>
  </si>
  <si>
    <t>TRAU726ZS0P</t>
  </si>
  <si>
    <t>SEC WALL STRP-Y2</t>
  </si>
  <si>
    <t>TRYA463ZH0Y</t>
  </si>
  <si>
    <t>TRYA463ZB0Y</t>
  </si>
  <si>
    <t>SECONDARY POPCORN</t>
  </si>
  <si>
    <t>TRYA245ZW0P</t>
  </si>
  <si>
    <t>TRYA245ZH0P</t>
  </si>
  <si>
    <t>TRYA245ZB0P</t>
  </si>
  <si>
    <t>TRYA245ZS0P</t>
  </si>
  <si>
    <t>Carrefour</t>
  </si>
  <si>
    <t>EPONGE PREM</t>
  </si>
  <si>
    <t>TRAN019ZH0P</t>
  </si>
  <si>
    <t>TRAN019ZB0P</t>
  </si>
  <si>
    <t>Christy</t>
  </si>
  <si>
    <t>CRSTY RENAISSANCE</t>
  </si>
  <si>
    <t>33X33</t>
  </si>
  <si>
    <t>TRAV276EW0P</t>
  </si>
  <si>
    <t>50X76</t>
  </si>
  <si>
    <t>TRAV276EH1P</t>
  </si>
  <si>
    <t>76X147</t>
  </si>
  <si>
    <t>TRAV276EB0P</t>
  </si>
  <si>
    <t>TRAV276ES0P</t>
  </si>
  <si>
    <t>FINSBURY BCI-P</t>
  </si>
  <si>
    <t>TRAW868MH1P</t>
  </si>
  <si>
    <t>TRAW868MB1P</t>
  </si>
  <si>
    <t>TRAW868MS0P</t>
  </si>
  <si>
    <t>SUPREME HYG/NEW</t>
  </si>
  <si>
    <t>TRAV291SW0P</t>
  </si>
  <si>
    <t>TRAV291SH1P</t>
  </si>
  <si>
    <t>TRAV291SB0P</t>
  </si>
  <si>
    <t>TRAV291SS0P</t>
  </si>
  <si>
    <t>TENNIS COURT TWL-Y1</t>
  </si>
  <si>
    <t>70X133</t>
  </si>
  <si>
    <t>TRAO955MB0Y</t>
  </si>
  <si>
    <t>WIM CHMP EMB/BCI-P</t>
  </si>
  <si>
    <t>TRBA772ZW0P</t>
  </si>
  <si>
    <t>40X70</t>
  </si>
  <si>
    <t>TRBA772ZH0P</t>
  </si>
  <si>
    <t>WIM VODAFONE EMB-Y3</t>
  </si>
  <si>
    <t>TRYB073ZB0Y</t>
  </si>
  <si>
    <t>WIMB TIE STR/BCI-P-Y1</t>
  </si>
  <si>
    <t>TRBA773ZB0Y</t>
  </si>
  <si>
    <t>WIMB TIE STR/BCI-P-Y3</t>
  </si>
  <si>
    <t>WIMBLDN SPRTS /ADV-W2</t>
  </si>
  <si>
    <t>30X90</t>
  </si>
  <si>
    <t>TRAP255ZH0W</t>
  </si>
  <si>
    <t>W2</t>
  </si>
  <si>
    <t>COPPEL</t>
  </si>
  <si>
    <t>COPPEL COT:MODAL</t>
  </si>
  <si>
    <t>TRYA691ZB0P</t>
  </si>
  <si>
    <t>86X150</t>
  </si>
  <si>
    <t>TRYA691ZS0P</t>
  </si>
  <si>
    <t>DUAL ZERO TWIST</t>
  </si>
  <si>
    <t>TRYA692ZB0P</t>
  </si>
  <si>
    <t>TRYA692ZS0P</t>
  </si>
  <si>
    <t>Costco</t>
  </si>
  <si>
    <t>CAMBRIDGE TRELLIS-Y1</t>
  </si>
  <si>
    <t>76X201</t>
  </si>
  <si>
    <t>TRBA913ZV0Y</t>
  </si>
  <si>
    <t>Beach</t>
  </si>
  <si>
    <t>CRUISER STRIPE-Y1</t>
  </si>
  <si>
    <t>TRBA915ZV0Y</t>
  </si>
  <si>
    <t>FISHERMAN STRIPE-Y1</t>
  </si>
  <si>
    <t>TRBA917ZV0Y</t>
  </si>
  <si>
    <t>GRANDEUR HSPLTY 2PLY</t>
  </si>
  <si>
    <t>TRAB735ZW0P</t>
  </si>
  <si>
    <t>41X76</t>
  </si>
  <si>
    <t>TRAB735ZH0P</t>
  </si>
  <si>
    <t>TRAB735ZB0P</t>
  </si>
  <si>
    <t>GRANDEUR NEW HYG</t>
  </si>
  <si>
    <t>TRAQ771ZH0P</t>
  </si>
  <si>
    <t>TRAQ771ZB0P</t>
  </si>
  <si>
    <t>89X178</t>
  </si>
  <si>
    <t>TRAQ771ZS0P</t>
  </si>
  <si>
    <t>GRANDUR QD POPCORN</t>
  </si>
  <si>
    <t>TRAZ138ZW0P</t>
  </si>
  <si>
    <t>41X71</t>
  </si>
  <si>
    <t>TRAZ138ZH0P</t>
  </si>
  <si>
    <t>TRAZ138ZB0P</t>
  </si>
  <si>
    <t>GULF STRIPE-Y1</t>
  </si>
  <si>
    <t>TRBA916ZV0Y</t>
  </si>
  <si>
    <t>PORTOFINA MEDALLI-Y2</t>
  </si>
  <si>
    <t>TRYB048ZV0Y</t>
  </si>
  <si>
    <t>PURELY ORGANIC RV</t>
  </si>
  <si>
    <t>TRAM379OW0P</t>
  </si>
  <si>
    <t>TRAM379OH0P</t>
  </si>
  <si>
    <t>TRAM379OB0P</t>
  </si>
  <si>
    <t>SCALLOP CABANA-Y2</t>
  </si>
  <si>
    <t>TRBA914ZV0Y</t>
  </si>
  <si>
    <t>Danube</t>
  </si>
  <si>
    <t>DANUBE 2PLY TWL</t>
  </si>
  <si>
    <t>TRYA693ZW0P</t>
  </si>
  <si>
    <t>TRYA693ZH0P</t>
  </si>
  <si>
    <t>TRYA693ZB0P</t>
  </si>
  <si>
    <t>DANUBE EGY TWL</t>
  </si>
  <si>
    <t>TRYA695EW0P</t>
  </si>
  <si>
    <t>TRYA695EH0P</t>
  </si>
  <si>
    <t>TRYA695EB0P</t>
  </si>
  <si>
    <t>TRYA695ES0P</t>
  </si>
  <si>
    <t>DANUBE TURKISH TWL</t>
  </si>
  <si>
    <t>TRYA905TW0P</t>
  </si>
  <si>
    <t>TRYA905TH0P</t>
  </si>
  <si>
    <t>TRYA905TB0P</t>
  </si>
  <si>
    <t>TRYA905TS0P</t>
  </si>
  <si>
    <t>IDEAL HYG HIGH BLK</t>
  </si>
  <si>
    <t>TRYA495ZW0P</t>
  </si>
  <si>
    <t>TRYA495ZH0P</t>
  </si>
  <si>
    <t>TRYA495ZB0P</t>
  </si>
  <si>
    <t>TRYA495ZS0P</t>
  </si>
  <si>
    <t>ZERO BULKY TOWEL</t>
  </si>
  <si>
    <t>TRYA885ZW0P</t>
  </si>
  <si>
    <t>TRYA885ZH0P</t>
  </si>
  <si>
    <t>TRYA885ZB0P</t>
  </si>
  <si>
    <t>TRYA885ZS0P</t>
  </si>
  <si>
    <t>DTA</t>
  </si>
  <si>
    <t>7 STAR LUXURY</t>
  </si>
  <si>
    <t>TRAQ139EW0P</t>
  </si>
  <si>
    <t>40X60</t>
  </si>
  <si>
    <t>TRAQ139EH0P</t>
  </si>
  <si>
    <t>75X150</t>
  </si>
  <si>
    <t>TRAQ139EB0P</t>
  </si>
  <si>
    <t>CARNIVAL NEW TWL-W1</t>
  </si>
  <si>
    <t>TRAR976ZH0W</t>
  </si>
  <si>
    <t>W1</t>
  </si>
  <si>
    <t>CARNIVAL NEW TWL-W7</t>
  </si>
  <si>
    <t>W7</t>
  </si>
  <si>
    <t>CARNIVAL NEW TWL-W8</t>
  </si>
  <si>
    <t>W8</t>
  </si>
  <si>
    <t>OBEROI BORDER C-550</t>
  </si>
  <si>
    <t>76X170</t>
  </si>
  <si>
    <t>TRA0483ZB0P</t>
  </si>
  <si>
    <t>POOL.TOWEL-BEIGE</t>
  </si>
  <si>
    <t>94X183</t>
  </si>
  <si>
    <t>TRA2795ZS0Y</t>
  </si>
  <si>
    <t>POOL.TOWEL-WHITE</t>
  </si>
  <si>
    <t>RAMRAJ ZT 550GSM</t>
  </si>
  <si>
    <t>76X150</t>
  </si>
  <si>
    <t>TRAW181ZB0P</t>
  </si>
  <si>
    <t>RAMRAJ ZT 600GSM</t>
  </si>
  <si>
    <t>90X180</t>
  </si>
  <si>
    <t>TRAW183ZS0P</t>
  </si>
  <si>
    <t>SENEGAL-W1</t>
  </si>
  <si>
    <t>TRAY180ZW0W</t>
  </si>
  <si>
    <t>TRAY180ZH0W</t>
  </si>
  <si>
    <t>TRAY180ZB0W</t>
  </si>
  <si>
    <t>SENEGAL-W2</t>
  </si>
  <si>
    <t>DUSK</t>
  </si>
  <si>
    <t>ANTIGUA RANGE</t>
  </si>
  <si>
    <t>100X150</t>
  </si>
  <si>
    <t>TRYA242ZS0P</t>
  </si>
  <si>
    <t>TRYA242ZH0P</t>
  </si>
  <si>
    <t>TRYA242ZB0P</t>
  </si>
  <si>
    <t>ESTILO</t>
  </si>
  <si>
    <t>ESTILO HYG TWL</t>
  </si>
  <si>
    <t>52X80</t>
  </si>
  <si>
    <t>TRAZ068ZM0P</t>
  </si>
  <si>
    <t>Mat</t>
  </si>
  <si>
    <t>ESTILO HYG TWL-W1</t>
  </si>
  <si>
    <t>41X70</t>
  </si>
  <si>
    <t>TRAZ068ZH0W</t>
  </si>
  <si>
    <t>76X152</t>
  </si>
  <si>
    <t>TRAZ068ZB0W</t>
  </si>
  <si>
    <t>TRAZ068ZS0W</t>
  </si>
  <si>
    <t>ESTILO HYG TWL-W2</t>
  </si>
  <si>
    <t xml:space="preserve">Hayashi Remnant </t>
  </si>
  <si>
    <t>HAYA REMI MAT TEXT-Y1</t>
  </si>
  <si>
    <t>45X60</t>
  </si>
  <si>
    <t>TRYA344ZM0Y</t>
  </si>
  <si>
    <t>Hayashi</t>
  </si>
  <si>
    <t>COJI-Y1</t>
  </si>
  <si>
    <t>TRAZ240ZM0Y</t>
  </si>
  <si>
    <t>HELO KITTY SANRIO-Y1</t>
  </si>
  <si>
    <t>TRAZ248ZM0Y</t>
  </si>
  <si>
    <t>KEROKEROKEROPPI-Y1</t>
  </si>
  <si>
    <t>TRAZ250ZM0Y</t>
  </si>
  <si>
    <t>LITTLE TWIN STAR-Y1</t>
  </si>
  <si>
    <t>TRAZ247ZM0Y</t>
  </si>
  <si>
    <t>MY MELODY-Y1</t>
  </si>
  <si>
    <t>TRAZ246ZM0Y</t>
  </si>
  <si>
    <t>PINGU-Y1</t>
  </si>
  <si>
    <t>TRAZ242ZM0Y</t>
  </si>
  <si>
    <t>POMPOMPURIN-Y1</t>
  </si>
  <si>
    <t>TRAZ245ZM0Y</t>
  </si>
  <si>
    <t>SANRIO CINNAMOROLL-Y1</t>
  </si>
  <si>
    <t>TRBA531ZM0Y</t>
  </si>
  <si>
    <t>SHAUN &amp; TIMMY-Y1</t>
  </si>
  <si>
    <t>TRBA532ZM0Y</t>
  </si>
  <si>
    <t>HEMA</t>
  </si>
  <si>
    <t>HEMA 670LOW TWIST</t>
  </si>
  <si>
    <t>33X22</t>
  </si>
  <si>
    <t>TRAT350MG1P</t>
  </si>
  <si>
    <t>Glove</t>
  </si>
  <si>
    <t>33X50</t>
  </si>
  <si>
    <t>TRAT350MW1P</t>
  </si>
  <si>
    <t>TRAT350MH0P</t>
  </si>
  <si>
    <t>60X110</t>
  </si>
  <si>
    <t>TRAT350MB1P</t>
  </si>
  <si>
    <t>TRAT350MB0P</t>
  </si>
  <si>
    <t xml:space="preserve">Home Center </t>
  </si>
  <si>
    <t>ETERNITY</t>
  </si>
  <si>
    <t>TRAP480EW0P</t>
  </si>
  <si>
    <t>TRAP480EH0P</t>
  </si>
  <si>
    <t>TRAP480EB0P</t>
  </si>
  <si>
    <t>TRAP480ES0P</t>
  </si>
  <si>
    <t>LUXE EGYPTIAN TWL</t>
  </si>
  <si>
    <t>TRAW095EW0P</t>
  </si>
  <si>
    <t>TRAW095EH0P</t>
  </si>
  <si>
    <t>TRAW095EB0P</t>
  </si>
  <si>
    <t>TRAW095ES0P</t>
  </si>
  <si>
    <t>JASPAL</t>
  </si>
  <si>
    <t>SANTA FEATHER TWL</t>
  </si>
  <si>
    <t>41X41</t>
  </si>
  <si>
    <t>TRAX626ZH0P</t>
  </si>
  <si>
    <t>70X70</t>
  </si>
  <si>
    <t>TRAX626ZB0P</t>
  </si>
  <si>
    <t>JLP</t>
  </si>
  <si>
    <t>HOTEL EGYBCIP MAT</t>
  </si>
  <si>
    <t>TRYB184EM0P</t>
  </si>
  <si>
    <t>HOTEL HYG EGY BCIP</t>
  </si>
  <si>
    <t>100X180</t>
  </si>
  <si>
    <t>TRYB160ES1P</t>
  </si>
  <si>
    <t>TRYB160EW0P</t>
  </si>
  <si>
    <t>40X65</t>
  </si>
  <si>
    <t>TRYB160EH0P</t>
  </si>
  <si>
    <t>TRYB160EH1P</t>
  </si>
  <si>
    <t>70X135</t>
  </si>
  <si>
    <t>TRYB160EB0P</t>
  </si>
  <si>
    <t>TRYB160ES0P</t>
  </si>
  <si>
    <t>JLP PLEAT EGY BCI-P</t>
  </si>
  <si>
    <t>TRAZ170EW0P</t>
  </si>
  <si>
    <t>TRAZ170EM0P</t>
  </si>
  <si>
    <t>TRAZ170EH1P</t>
  </si>
  <si>
    <t>TRAZ170EB0P</t>
  </si>
  <si>
    <t>TRAZ170ES0P</t>
  </si>
  <si>
    <t>QCK DRY 500 TWL</t>
  </si>
  <si>
    <t>TRYB245ZH0P</t>
  </si>
  <si>
    <t>TRYB245ZB0P</t>
  </si>
  <si>
    <t>TRYB245ZS0P</t>
  </si>
  <si>
    <t>JYSK</t>
  </si>
  <si>
    <t>KARLSTAD RV/BCI-M-NEW</t>
  </si>
  <si>
    <t>100X155</t>
  </si>
  <si>
    <t>TRAW683MS0P</t>
  </si>
  <si>
    <t>30X29</t>
  </si>
  <si>
    <t>TRAW683MW1P</t>
  </si>
  <si>
    <t>30X52</t>
  </si>
  <si>
    <t>TRAW683MW0P</t>
  </si>
  <si>
    <t>33X21</t>
  </si>
  <si>
    <t>TRAW683MG0P</t>
  </si>
  <si>
    <t>40X62</t>
  </si>
  <si>
    <t>TRAW683MH2P</t>
  </si>
  <si>
    <t>50X103</t>
  </si>
  <si>
    <t>TRAW683MH0P</t>
  </si>
  <si>
    <t>50X72</t>
  </si>
  <si>
    <t>TRAW683MH1P</t>
  </si>
  <si>
    <t>70X144</t>
  </si>
  <si>
    <t>TRAW683MB0P</t>
  </si>
  <si>
    <t>NORA TWL/REV-NEW</t>
  </si>
  <si>
    <t>TRAW689MS0P</t>
  </si>
  <si>
    <t>TRAW689MW0P</t>
  </si>
  <si>
    <t>TRAW689MH2P</t>
  </si>
  <si>
    <t>TRAW689MH0P</t>
  </si>
  <si>
    <t>TRAW689MH1P</t>
  </si>
  <si>
    <t>TRAW689MB0P</t>
  </si>
  <si>
    <t>KEECO</t>
  </si>
  <si>
    <t>AMBASSADOR TWL</t>
  </si>
  <si>
    <t>TRAZ639ZW0P</t>
  </si>
  <si>
    <t>TRAZ639ZH0P</t>
  </si>
  <si>
    <t>76X142</t>
  </si>
  <si>
    <t>TRAZ639ZB0P</t>
  </si>
  <si>
    <t>KOHLS</t>
  </si>
  <si>
    <t>ANKA-MEDALI/AMERI-YG</t>
  </si>
  <si>
    <t>TRBA703UW0Y</t>
  </si>
  <si>
    <t>YG</t>
  </si>
  <si>
    <t>TRBA703UH0Y</t>
  </si>
  <si>
    <t>69X132</t>
  </si>
  <si>
    <t>TRBA703UB0Y</t>
  </si>
  <si>
    <t>ANKA-MEDALI/AMERI-YI</t>
  </si>
  <si>
    <t>YI</t>
  </si>
  <si>
    <t>ANKA-MEDALI/AMERI-YJ</t>
  </si>
  <si>
    <t>YJ</t>
  </si>
  <si>
    <t>CABAN STP BECH-Y1</t>
  </si>
  <si>
    <t>91X183</t>
  </si>
  <si>
    <t>TRAZ597ZV0Y</t>
  </si>
  <si>
    <t>CABAN STP BECH-Y2</t>
  </si>
  <si>
    <t>CITRUS BECH-Y1</t>
  </si>
  <si>
    <t>TRAZ596ZV0Y</t>
  </si>
  <si>
    <t>CORAL BEACH-Y1</t>
  </si>
  <si>
    <t>TRAZ599ZV0Y</t>
  </si>
  <si>
    <t>DOLPHIN BECH TWL-Y1</t>
  </si>
  <si>
    <t>TRAZ473ZV0Y</t>
  </si>
  <si>
    <t>FLAG BECH TWL-Y1</t>
  </si>
  <si>
    <t>TRAZ471ZV0Y</t>
  </si>
  <si>
    <t>FLAMINGO BEACH TWL-Y1</t>
  </si>
  <si>
    <t>TRAZ477ZV0Y</t>
  </si>
  <si>
    <t>FLORAL FRAME-Y1</t>
  </si>
  <si>
    <t>TRAZ480ZV0Y</t>
  </si>
  <si>
    <t>FRAMED SUN BECH-Y1</t>
  </si>
  <si>
    <t>TRAZ598ZV0Y</t>
  </si>
  <si>
    <t>HIGH LW STRP BECH-Y1</t>
  </si>
  <si>
    <t>TRAZ535ZV0Y</t>
  </si>
  <si>
    <t>ICONIC MANDALA YD-Y1</t>
  </si>
  <si>
    <t>91x183</t>
  </si>
  <si>
    <t>TRBA056ZV0Y</t>
  </si>
  <si>
    <t>ICONIC PWRK BEACH-Y1</t>
  </si>
  <si>
    <t>TRAZ478ZV0Y</t>
  </si>
  <si>
    <t>PALM LEAVE/YD CATI-Y1</t>
  </si>
  <si>
    <t>TRAZ629ZV0Y</t>
  </si>
  <si>
    <t>Kohls</t>
  </si>
  <si>
    <t>PALM SCENE CROSS W-Y1</t>
  </si>
  <si>
    <t>183X91</t>
  </si>
  <si>
    <t>TRAZ630ZV0Y</t>
  </si>
  <si>
    <t>PALM TREE FRAME-Y1</t>
  </si>
  <si>
    <t>TRAZ529ZV0Y</t>
  </si>
  <si>
    <t>SHARK BECH-Y1</t>
  </si>
  <si>
    <t>TRAZ595ZV0Y</t>
  </si>
  <si>
    <t>SONO LEAVES/AMER-Y3</t>
  </si>
  <si>
    <t>TRYA591UW0Y</t>
  </si>
  <si>
    <t>TRYA591UH0Y</t>
  </si>
  <si>
    <t>TRYA591UB0Y</t>
  </si>
  <si>
    <t>SONO LEAVES/AMER-Y5</t>
  </si>
  <si>
    <t>Y5</t>
  </si>
  <si>
    <t>SONO LEAVES/AMER-Y8</t>
  </si>
  <si>
    <t>Y8</t>
  </si>
  <si>
    <t>SONOMA QD TEX/AMR</t>
  </si>
  <si>
    <t>TRBA701UW0P</t>
  </si>
  <si>
    <t>TRAN516MW0P</t>
  </si>
  <si>
    <t>TRBA701UH0P</t>
  </si>
  <si>
    <t>TRAN516MH0P</t>
  </si>
  <si>
    <t>TRBA701UB0P</t>
  </si>
  <si>
    <t>TRAN516MB0P</t>
  </si>
  <si>
    <t>84X165</t>
  </si>
  <si>
    <t>TRBA701US0P</t>
  </si>
  <si>
    <t>TRAN516MS0P</t>
  </si>
  <si>
    <t>SON-STRIPE/AMERI-YA</t>
  </si>
  <si>
    <t>TRBA704UW0Y</t>
  </si>
  <si>
    <t>YA</t>
  </si>
  <si>
    <t>TRBA704UH0Y</t>
  </si>
  <si>
    <t>TRBA704UB0Y</t>
  </si>
  <si>
    <t>SON-STRIPE/AMERI-YE</t>
  </si>
  <si>
    <t>YE</t>
  </si>
  <si>
    <t>SUN SET-Y1</t>
  </si>
  <si>
    <t>TRAV522MV0Y</t>
  </si>
  <si>
    <t>TURTLE BECH TWL-Y1</t>
  </si>
  <si>
    <t>TRAZ472ZV0Y</t>
  </si>
  <si>
    <t>Loblaw</t>
  </si>
  <si>
    <t>Bloom-Hygro</t>
  </si>
  <si>
    <t>TRA0126ZW0P</t>
  </si>
  <si>
    <t>TRA0126ZH0P</t>
  </si>
  <si>
    <t>TRA0126ZB0P</t>
  </si>
  <si>
    <t>EE PERFORM</t>
  </si>
  <si>
    <t>TRAN601ZW0P</t>
  </si>
  <si>
    <t>69X127</t>
  </si>
  <si>
    <t>TRAN601ZB0P</t>
  </si>
  <si>
    <t>MEIJER'S</t>
  </si>
  <si>
    <t>ECO DRY TEXTURE-425</t>
  </si>
  <si>
    <t>TRAT733ZW0P</t>
  </si>
  <si>
    <t>41X66</t>
  </si>
  <si>
    <t>TRAT733ZH0P</t>
  </si>
  <si>
    <t>69X137</t>
  </si>
  <si>
    <t>TRAT733ZB0P</t>
  </si>
  <si>
    <t>ED BANDED TEXT</t>
  </si>
  <si>
    <t>TRYB143ZW0P</t>
  </si>
  <si>
    <t>TRYB143ZH0P</t>
  </si>
  <si>
    <t>TRYB143ZB0P</t>
  </si>
  <si>
    <t>ED RIB HI LOW-Y2</t>
  </si>
  <si>
    <t>TRYB144ZW0Y</t>
  </si>
  <si>
    <t>TRYB144ZH0Y</t>
  </si>
  <si>
    <t>TRYB144ZB0Y</t>
  </si>
  <si>
    <t>ED RIB HI LOW-Y3</t>
  </si>
  <si>
    <t>ED RIB HI LOW-Y4</t>
  </si>
  <si>
    <t>Y4</t>
  </si>
  <si>
    <t xml:space="preserve">MTI INTERNATIONAL </t>
  </si>
  <si>
    <t>DOBIS EGY COT TWL</t>
  </si>
  <si>
    <t>TRYA715EB0P</t>
  </si>
  <si>
    <t>NITORI</t>
  </si>
  <si>
    <t>SHERRY SOLID TWL</t>
  </si>
  <si>
    <t>33X120</t>
  </si>
  <si>
    <t>TRAO866ZH0P</t>
  </si>
  <si>
    <t>33X35</t>
  </si>
  <si>
    <t>TRAO866ZW0P</t>
  </si>
  <si>
    <t>33X80</t>
  </si>
  <si>
    <t>TRAO866ZH1P</t>
  </si>
  <si>
    <t>60X120</t>
  </si>
  <si>
    <t>TRAO866ZB0P</t>
  </si>
  <si>
    <t>TRAO866ZB1P</t>
  </si>
  <si>
    <t>SHERRY WEFT INST-W2</t>
  </si>
  <si>
    <t>TRAV815ZH0W</t>
  </si>
  <si>
    <t>TRAV815ZW0W</t>
  </si>
  <si>
    <t>TRAV815ZH1W</t>
  </si>
  <si>
    <t>TRAV815ZB1W</t>
  </si>
  <si>
    <t>TRAV815ZB0W</t>
  </si>
  <si>
    <t>SHERRY WEFT INST-W3</t>
  </si>
  <si>
    <t>W3</t>
  </si>
  <si>
    <t>SHERRY WEFT INST-W4</t>
  </si>
  <si>
    <t>W4</t>
  </si>
  <si>
    <t>SHERRY WEFT INST-W5</t>
  </si>
  <si>
    <t>W5</t>
  </si>
  <si>
    <t>OCEAN</t>
  </si>
  <si>
    <t>PROPERTY-624</t>
  </si>
  <si>
    <t>TRAB172ZW0P</t>
  </si>
  <si>
    <t>PROPERTY-629</t>
  </si>
  <si>
    <t>TRAB172ZB0P</t>
  </si>
  <si>
    <t>PROPERTY-687</t>
  </si>
  <si>
    <t>41X81</t>
  </si>
  <si>
    <t>TRAB172ZH0P</t>
  </si>
  <si>
    <t>PANDA</t>
  </si>
  <si>
    <t>PANDA ZERO PLEAT BDR</t>
  </si>
  <si>
    <t>TRBA803ZH0P</t>
  </si>
  <si>
    <t>TRBA803ZB0P</t>
  </si>
  <si>
    <t>TRBA803ZS0P</t>
  </si>
  <si>
    <t>PRINCESS</t>
  </si>
  <si>
    <t>CANYON TOWEL</t>
  </si>
  <si>
    <t>TRAG064ZH0P</t>
  </si>
  <si>
    <t>TRAG064ZB0P</t>
  </si>
  <si>
    <t>TRAG064ZS0P</t>
  </si>
  <si>
    <t>EMBLA TOWEL-Y2</t>
  </si>
  <si>
    <t>TRBA337ZH0Y</t>
  </si>
  <si>
    <t>TRBA337ZB0Y</t>
  </si>
  <si>
    <t>RED CHILLI</t>
  </si>
  <si>
    <t>REDCHILI ZERO TWST</t>
  </si>
  <si>
    <t>TRBA667ZB0P</t>
  </si>
  <si>
    <t>RNA</t>
  </si>
  <si>
    <t>BS EGYPTIAN TWL</t>
  </si>
  <si>
    <t>TRAY957EW0P</t>
  </si>
  <si>
    <t>TRAY957EH0P</t>
  </si>
  <si>
    <t>TRAY957EB0P</t>
  </si>
  <si>
    <t>ROSS</t>
  </si>
  <si>
    <t>LEOPARD PATERN-Y1</t>
  </si>
  <si>
    <t>TRYA881ZH0Y</t>
  </si>
  <si>
    <t>TRYA881ZB0Y</t>
  </si>
  <si>
    <t>TULIP &amp; BOW-Y1</t>
  </si>
  <si>
    <t>TRYA641ZH0Y</t>
  </si>
  <si>
    <t>TRYA641ZB0Y</t>
  </si>
  <si>
    <t>WILD ROSE-Y1</t>
  </si>
  <si>
    <t>TRYA644ZH0Y</t>
  </si>
  <si>
    <t>TRYA644ZB0Y</t>
  </si>
  <si>
    <t>ZT PLEATED BDR</t>
  </si>
  <si>
    <t>TRYA369ZB0P</t>
  </si>
  <si>
    <t>RUSTA</t>
  </si>
  <si>
    <t>EMMA BCI TWL</t>
  </si>
  <si>
    <t>TRAF749MS0P</t>
  </si>
  <si>
    <t>TRAF749MW0P</t>
  </si>
  <si>
    <t>50X70</t>
  </si>
  <si>
    <t>TRAF749MH0P</t>
  </si>
  <si>
    <t>TRAF749MB0P</t>
  </si>
  <si>
    <t>HOTEL COLLEC MAT-W1</t>
  </si>
  <si>
    <t>52X70</t>
  </si>
  <si>
    <t>TRYA759ZM0W</t>
  </si>
  <si>
    <t>HOTEL COLLEC MAT-W2</t>
  </si>
  <si>
    <t>Sainsbury</t>
  </si>
  <si>
    <t>EGY CORE BCI/NEW</t>
  </si>
  <si>
    <t>TRAT161ES0P</t>
  </si>
  <si>
    <t>TRAT161EW0P</t>
  </si>
  <si>
    <t>TRAT161EH0P</t>
  </si>
  <si>
    <t>TRAT161EB0P</t>
  </si>
  <si>
    <t>HAB BLACKMARL TWL-Y1</t>
  </si>
  <si>
    <t>TRAS192MS0Y</t>
  </si>
  <si>
    <t>TRAS192MB0Y</t>
  </si>
  <si>
    <t>HAB BRIGHTS GEO-Y1</t>
  </si>
  <si>
    <t>TRAZ592ZH0Y</t>
  </si>
  <si>
    <t>TRAZ592ZB0Y</t>
  </si>
  <si>
    <t>VERT COSTAL BCI-M-Y1</t>
  </si>
  <si>
    <t>TRAM073MS0Y</t>
  </si>
  <si>
    <t>SAM'S</t>
  </si>
  <si>
    <t>BUTTERFLIES TWL-Y1</t>
  </si>
  <si>
    <t>TRAW112MV0Y</t>
  </si>
  <si>
    <t>CONSTRUCTION-SITE-Y1</t>
  </si>
  <si>
    <t>TRAW266MB0Y</t>
  </si>
  <si>
    <t>DINO STRIPE TWL-Y1</t>
  </si>
  <si>
    <t>TRAW110MV0Y</t>
  </si>
  <si>
    <t>MERMAID-MAVENS-Y1</t>
  </si>
  <si>
    <t>TRAW111MV0Y</t>
  </si>
  <si>
    <t>UNICORN GARDEN-Y1</t>
  </si>
  <si>
    <t>TRAU194MV0Y</t>
  </si>
  <si>
    <t>SHERIDAN</t>
  </si>
  <si>
    <t>AVEN AUSTRALI TWL</t>
  </si>
  <si>
    <t>TRAY388ZW0P</t>
  </si>
  <si>
    <t>45X65</t>
  </si>
  <si>
    <t>TRAY388ZH0P</t>
  </si>
  <si>
    <t>62X80</t>
  </si>
  <si>
    <t>TRAY388ZM0P</t>
  </si>
  <si>
    <t>TRAY388ZB0P</t>
  </si>
  <si>
    <t>91X167</t>
  </si>
  <si>
    <t>TRAY388ZS0P</t>
  </si>
  <si>
    <t>AVEN STP INDI/COT-Y1</t>
  </si>
  <si>
    <t>47X65</t>
  </si>
  <si>
    <t>TRAY268ZH0Y</t>
  </si>
  <si>
    <t>TRAY268ZB0Y</t>
  </si>
  <si>
    <t>TRAY268ZS0Y</t>
  </si>
  <si>
    <t>AVEN STP INDI/COT-Y2</t>
  </si>
  <si>
    <t>AVEN STP INDI/MAT-Y1</t>
  </si>
  <si>
    <t>TRAY271ZM0Y</t>
  </si>
  <si>
    <t>AVEN STP INDI/MAT-Y2</t>
  </si>
  <si>
    <t>BELFORD TOWEL</t>
  </si>
  <si>
    <t>60X80</t>
  </si>
  <si>
    <t>TRAF537ZM0P</t>
  </si>
  <si>
    <t>BELFORD</t>
  </si>
  <si>
    <t>TRAF952ZW0P</t>
  </si>
  <si>
    <t>TRAF952ZH0P</t>
  </si>
  <si>
    <t>69X140</t>
  </si>
  <si>
    <t>TRAF952ZB0P</t>
  </si>
  <si>
    <t>TRAF952ZS0P</t>
  </si>
  <si>
    <t>COTTON LUXE TWL</t>
  </si>
  <si>
    <t>TRA8567ZW0P</t>
  </si>
  <si>
    <t>TRA8567ZH0P</t>
  </si>
  <si>
    <t>TRA8567ZM0P</t>
  </si>
  <si>
    <t>TRA8567ZB0P</t>
  </si>
  <si>
    <t>TRA8567ZS0P</t>
  </si>
  <si>
    <t>Egyptian Luxury- EP</t>
  </si>
  <si>
    <t>TRA0084EW0P</t>
  </si>
  <si>
    <t>TRA0084EH0P</t>
  </si>
  <si>
    <t>TRA0084EH1P</t>
  </si>
  <si>
    <t>60X90</t>
  </si>
  <si>
    <t>TRA0602EM0P</t>
  </si>
  <si>
    <t>TRA0084EB0P</t>
  </si>
  <si>
    <t>TRA0084ES0P</t>
  </si>
  <si>
    <t>LANO TOWELS-Y1</t>
  </si>
  <si>
    <t>TRYA899ZH0Y</t>
  </si>
  <si>
    <t>TRYA899ZB0Y</t>
  </si>
  <si>
    <t>LANO TOWELS-Y2</t>
  </si>
  <si>
    <t>ORSON TOWEL</t>
  </si>
  <si>
    <t>TRAO905ZW0P</t>
  </si>
  <si>
    <t>TRAO905ZH0P</t>
  </si>
  <si>
    <t>60x80</t>
  </si>
  <si>
    <t>TRAJ326ZM0P</t>
  </si>
  <si>
    <t>TRAO905ZB0P</t>
  </si>
  <si>
    <t>TRAO905ZS0P</t>
  </si>
  <si>
    <t>QUIKDRY LUXURY-500-PVA M</t>
  </si>
  <si>
    <t>TRAN703ZW0P</t>
  </si>
  <si>
    <t>41X65</t>
  </si>
  <si>
    <t>TRAN703ZH0P</t>
  </si>
  <si>
    <t>TRAN703ZB0P</t>
  </si>
  <si>
    <t>TRAN703ZS0P</t>
  </si>
  <si>
    <t>QUIKDRY LUXURY-750-PVA</t>
  </si>
  <si>
    <t>TRA9907ZM0P</t>
  </si>
  <si>
    <t>TRENTON STRIPE-Y5</t>
  </si>
  <si>
    <t>TRAX749ZW0Y</t>
  </si>
  <si>
    <t>TRAX749ZH0Y</t>
  </si>
  <si>
    <t>TRAX749ZM0Y</t>
  </si>
  <si>
    <t>TRAX749ZB0Y</t>
  </si>
  <si>
    <t>TRAX749ZS0Y</t>
  </si>
  <si>
    <t>TRENTON TOWL PVA</t>
  </si>
  <si>
    <t>TRA9133ZW0P</t>
  </si>
  <si>
    <t>TRA9133ZH0P</t>
  </si>
  <si>
    <t>TRA9133ZH1P</t>
  </si>
  <si>
    <t>TRA9133ZM0P</t>
  </si>
  <si>
    <t>TRA9133ZB0P</t>
  </si>
  <si>
    <t>TRA9133ZS0P</t>
  </si>
  <si>
    <t>Ultra Light Luxury-PVA M</t>
  </si>
  <si>
    <t>TRAN704ZW0P</t>
  </si>
  <si>
    <t>TRAN704ZH0P</t>
  </si>
  <si>
    <t>TRAN704ZB0P</t>
  </si>
  <si>
    <t>TRAN704ZS0P</t>
  </si>
  <si>
    <t>Ultra Light Luxury-PVA</t>
  </si>
  <si>
    <t>TRA0569ZM0P</t>
  </si>
  <si>
    <t>Tesco</t>
  </si>
  <si>
    <t>BASIC CARDED-BCI</t>
  </si>
  <si>
    <t>TRA9847MW0P</t>
  </si>
  <si>
    <t>TRA9847MH0P</t>
  </si>
  <si>
    <t>TRA9847MB0P</t>
  </si>
  <si>
    <t>F&amp;F HM HYG EGY/BCI</t>
  </si>
  <si>
    <t>TRBA259ES0P</t>
  </si>
  <si>
    <t>TRBA259EW0P</t>
  </si>
  <si>
    <t>TRBA259EH0P</t>
  </si>
  <si>
    <t>TRBA259EB0P</t>
  </si>
  <si>
    <t>TESCO</t>
  </si>
  <si>
    <t>F&amp;F HOME RECY</t>
  </si>
  <si>
    <t>TRAW382MS0P</t>
  </si>
  <si>
    <t>TRAW382MH0P</t>
  </si>
  <si>
    <t>70X127</t>
  </si>
  <si>
    <t>TRAW382MB0P</t>
  </si>
  <si>
    <t>F&amp;F REVERSIBLE-Y6</t>
  </si>
  <si>
    <t>TRAY280ZS0Y</t>
  </si>
  <si>
    <t>Y6</t>
  </si>
  <si>
    <t>TRAY280ZH0Y</t>
  </si>
  <si>
    <t>FOX &amp; IVY RIBBED</t>
  </si>
  <si>
    <t>TRAS367MS0P</t>
  </si>
  <si>
    <t>TRAS367MH0P</t>
  </si>
  <si>
    <t>TRAS367MB0P</t>
  </si>
  <si>
    <t>HOT CLOTH(BCI-M)</t>
  </si>
  <si>
    <t>TRAP289MW0P</t>
  </si>
  <si>
    <t>HYPER DRY BCI</t>
  </si>
  <si>
    <t>TRAO771MS0P</t>
  </si>
  <si>
    <t>TRAO771MW0P</t>
  </si>
  <si>
    <t>TRAO771MH0P</t>
  </si>
  <si>
    <t>TRAO771MB0P</t>
  </si>
  <si>
    <t>The Range</t>
  </si>
  <si>
    <t>DELUXE TWLRV/ADVPV</t>
  </si>
  <si>
    <t>TRAO806ZS1P</t>
  </si>
  <si>
    <t>TRAO806ZW1P</t>
  </si>
  <si>
    <t>TRAO806ZH1P</t>
  </si>
  <si>
    <t>TRAO806ZB1P</t>
  </si>
  <si>
    <t>TJX</t>
  </si>
  <si>
    <t>CLUB STRIPE-Y5</t>
  </si>
  <si>
    <t>TRAW353ZW0Y</t>
  </si>
  <si>
    <t>TRAW353ZH1Y</t>
  </si>
  <si>
    <t>TRAW353ZB1Y</t>
  </si>
  <si>
    <t>89X163</t>
  </si>
  <si>
    <t>TRAW353ZS0Y</t>
  </si>
  <si>
    <t>PATTERN TWL-Y2</t>
  </si>
  <si>
    <t>TRAW274ZW0Y</t>
  </si>
  <si>
    <t>TRAW274ZH1Y</t>
  </si>
  <si>
    <t>TRAW274ZB0Y</t>
  </si>
  <si>
    <t>TRAW274ZS0Y</t>
  </si>
  <si>
    <t>TAPESH PIN STRP-Y4</t>
  </si>
  <si>
    <t>TRAU960ZW1Y</t>
  </si>
  <si>
    <t>TRAU960ZH2Y</t>
  </si>
  <si>
    <t>TRAU960ZB0Y</t>
  </si>
  <si>
    <t>TRAU960ZS0Y</t>
  </si>
  <si>
    <t>TJX BUMPY TOWEL -Y1</t>
  </si>
  <si>
    <t>TRAS407ZH1Y</t>
  </si>
  <si>
    <t>TRAS407ZB0Y</t>
  </si>
  <si>
    <t>86x163</t>
  </si>
  <si>
    <t>TRAS407ZS0Y</t>
  </si>
  <si>
    <t>TJX VAN PIN STP-YB</t>
  </si>
  <si>
    <t>TRAY862ZW0Y</t>
  </si>
  <si>
    <t>YB</t>
  </si>
  <si>
    <t>TRAY862ZH1Y</t>
  </si>
  <si>
    <t>TRAY862ZB0Y</t>
  </si>
  <si>
    <t>TRAY862ZS0Y</t>
  </si>
  <si>
    <t>VAN PIN STP TWL-Y2</t>
  </si>
  <si>
    <t>TRAV464ZW0Y</t>
  </si>
  <si>
    <t>TRAV464ZH1Y</t>
  </si>
  <si>
    <t>TRAV464ZB0Y</t>
  </si>
  <si>
    <t>TRAV464ZS0Y</t>
  </si>
  <si>
    <t>WEFT INSERT-TJX-W1</t>
  </si>
  <si>
    <t>TRAW116ZW0W</t>
  </si>
  <si>
    <t>TRAW116ZH0W</t>
  </si>
  <si>
    <t>TRAW116ZB0W</t>
  </si>
  <si>
    <t>TRAW116ZS0W</t>
  </si>
  <si>
    <t>WEFT INSERT-TJX-W3</t>
  </si>
  <si>
    <t>TOKMANNI</t>
  </si>
  <si>
    <t>HYG ZERO TWIST TWL</t>
  </si>
  <si>
    <t>TRAZ808ZS0P</t>
  </si>
  <si>
    <t>TRAZ808ZH1P</t>
  </si>
  <si>
    <t>TRAZ808ZB0P</t>
  </si>
  <si>
    <t>TRUE MARKETING</t>
  </si>
  <si>
    <t>HILTON MULTI LINE</t>
  </si>
  <si>
    <t>TRAZ265ZW0P</t>
  </si>
  <si>
    <t>51X81</t>
  </si>
  <si>
    <t>TRAZ265ZH0P</t>
  </si>
  <si>
    <t>52X86</t>
  </si>
  <si>
    <t>TRAZ265ZM0P</t>
  </si>
  <si>
    <t>TRAZ265ZB0P</t>
  </si>
  <si>
    <t>86X178</t>
  </si>
  <si>
    <t>TRAZ265ZS0P</t>
  </si>
  <si>
    <t>HLTN BASKET TWL</t>
  </si>
  <si>
    <t>TRAZ871ZS0P</t>
  </si>
  <si>
    <t>TRAZ871ZH0P</t>
  </si>
  <si>
    <t>52X85</t>
  </si>
  <si>
    <t>TRAZ871ZM0P</t>
  </si>
  <si>
    <t>HLTN FACE TWL</t>
  </si>
  <si>
    <t>TRAZ990ZW0P</t>
  </si>
  <si>
    <t>HLTN FRAME MAT</t>
  </si>
  <si>
    <t>TRAZ872ZM0P</t>
  </si>
  <si>
    <t>NEW HOTEL COLLECT</t>
  </si>
  <si>
    <t>TRYA729ZW0P</t>
  </si>
  <si>
    <t>TRYA729ZH0P</t>
  </si>
  <si>
    <t>TRYA729ZM0P</t>
  </si>
  <si>
    <t>TRYA729ZB0P</t>
  </si>
  <si>
    <t>TRYA729ZS0P</t>
  </si>
  <si>
    <t>TrueBell</t>
  </si>
  <si>
    <t>Esplama</t>
  </si>
  <si>
    <t>68X140</t>
  </si>
  <si>
    <t>TRA0267ZB0P</t>
  </si>
  <si>
    <t>90 x 160</t>
  </si>
  <si>
    <t>TRA0267ZS0P</t>
  </si>
  <si>
    <t>New Truebell Bravo</t>
  </si>
  <si>
    <t>41x66</t>
  </si>
  <si>
    <t>TRAF931ZH0P</t>
  </si>
  <si>
    <t>50x100</t>
  </si>
  <si>
    <t>TRAF931ZH1P</t>
  </si>
  <si>
    <t>70x140</t>
  </si>
  <si>
    <t>TRAF931ZB0P</t>
  </si>
  <si>
    <t>90x150</t>
  </si>
  <si>
    <t>TRAF931ZS0P</t>
  </si>
  <si>
    <t>VARDINON</t>
  </si>
  <si>
    <t>VARDINON EXCLSIVE</t>
  </si>
  <si>
    <t>100X140</t>
  </si>
  <si>
    <t>TRAW620ZS0P</t>
  </si>
  <si>
    <t>TRAW620ZH0P</t>
  </si>
  <si>
    <t>TRAW620ZB0P</t>
  </si>
  <si>
    <t>WALMART</t>
  </si>
  <si>
    <t>DUO STRIPE TWL-Y1</t>
  </si>
  <si>
    <t>TRYB173ZB0Y</t>
  </si>
  <si>
    <t>GRID FERN-SHOWER-Y1</t>
  </si>
  <si>
    <t>TRYB175ZH0Y</t>
  </si>
  <si>
    <t>HT ZEROTWIST REV-PVA</t>
  </si>
  <si>
    <t>TRAL160MW0P</t>
  </si>
  <si>
    <t>TRAL160MH0P</t>
  </si>
  <si>
    <t>TRAL160MB0P</t>
  </si>
  <si>
    <t>TRAL160MS0P</t>
  </si>
  <si>
    <t>MILAN STRIPE TWL-Y1</t>
  </si>
  <si>
    <t>TRYB172ZB0Y</t>
  </si>
  <si>
    <t>WINDOWPANE TWL-Y1</t>
  </si>
  <si>
    <t>TRYB174ZH0Y</t>
  </si>
  <si>
    <t>WESTSIDE</t>
  </si>
  <si>
    <t>WS LUXE RIPPLE</t>
  </si>
  <si>
    <t>33x33</t>
  </si>
  <si>
    <t>TRAU163ZW0P</t>
  </si>
  <si>
    <t>41x62</t>
  </si>
  <si>
    <t>TRAU163ZH0P</t>
  </si>
  <si>
    <t>70x144</t>
  </si>
  <si>
    <t>TRAU163ZB0P</t>
  </si>
  <si>
    <t>86X160</t>
  </si>
  <si>
    <t>TRAU163ZS0P</t>
  </si>
  <si>
    <t>WS VALUE TOWEL</t>
  </si>
  <si>
    <t>33X34</t>
  </si>
  <si>
    <t>TRAT672ZW0P</t>
  </si>
  <si>
    <t>TRAT672ZH0P</t>
  </si>
  <si>
    <t>TRAT672ZB0P</t>
  </si>
  <si>
    <t>WUSA</t>
  </si>
  <si>
    <t>BEST-608</t>
  </si>
  <si>
    <t>TRAG730ZW0P</t>
  </si>
  <si>
    <t>BLACK FINN-631</t>
  </si>
  <si>
    <t>TRA9642ZH0P</t>
  </si>
  <si>
    <t>BLACK FINN-652</t>
  </si>
  <si>
    <t>TRA9642ZB0P</t>
  </si>
  <si>
    <t>BLACK FINN-685</t>
  </si>
  <si>
    <t>TRA9642ZB1P</t>
  </si>
  <si>
    <t>BLACK FINN-695</t>
  </si>
  <si>
    <t>TRA9642ZW0P</t>
  </si>
  <si>
    <t>BLUE FINN-520</t>
  </si>
  <si>
    <t>TRA9641ZW0P</t>
  </si>
  <si>
    <t>BLUE FINN-549</t>
  </si>
  <si>
    <t>TRA9641ZH0P</t>
  </si>
  <si>
    <t>BLUE FINN-608</t>
  </si>
  <si>
    <t>TRA9641ZB1P</t>
  </si>
  <si>
    <t>BLUE FINN-683</t>
  </si>
  <si>
    <t>TRA9641ZB0P</t>
  </si>
  <si>
    <t>BLUE FINN-744</t>
  </si>
  <si>
    <t>56X86</t>
  </si>
  <si>
    <t>TRA9641ZM0P</t>
  </si>
  <si>
    <t>CINTAS TOWEL-W1</t>
  </si>
  <si>
    <t>TRAT262ZB0W</t>
  </si>
  <si>
    <t>COMFORT BETTER</t>
  </si>
  <si>
    <t>TRAG729ZW0P</t>
  </si>
  <si>
    <t>TRAZ871ZS1P</t>
  </si>
  <si>
    <t>HYATT BEST B.MAT</t>
  </si>
  <si>
    <t>52X89</t>
  </si>
  <si>
    <t>TRAS323ZM1P</t>
  </si>
  <si>
    <t>HYATT BEST</t>
  </si>
  <si>
    <t>TRAS322ZH0P</t>
  </si>
  <si>
    <t>TRAS322ZB0P</t>
  </si>
  <si>
    <t>HYATT BEST-634</t>
  </si>
  <si>
    <t>TRAS322ZS0P</t>
  </si>
  <si>
    <t>HYATT_BETTER</t>
  </si>
  <si>
    <t>TRAR482ZH0P</t>
  </si>
  <si>
    <t>TRAR482ZM0P</t>
  </si>
  <si>
    <t>69X152</t>
  </si>
  <si>
    <t>TRAR482ZB0P</t>
  </si>
  <si>
    <t>OCEANPOOL TOWEL-W3</t>
  </si>
  <si>
    <t>76X163</t>
  </si>
  <si>
    <t>TRAI622ZB0W</t>
  </si>
  <si>
    <t>WUSA GOOD</t>
  </si>
  <si>
    <t>TRAG728ZW0P</t>
  </si>
  <si>
    <t>YELLOW FINN-407</t>
  </si>
  <si>
    <t>TRA9643ZW0P</t>
  </si>
  <si>
    <t>YELLOW FINN-408</t>
  </si>
  <si>
    <t>41X69</t>
  </si>
  <si>
    <t>TRA9643ZH0P</t>
  </si>
  <si>
    <t>YELLOW FINN-513</t>
  </si>
  <si>
    <t>60X127</t>
  </si>
  <si>
    <t>TRA9643ZB0P</t>
  </si>
  <si>
    <t>YELLOW FINN-684</t>
  </si>
  <si>
    <t>51X76</t>
  </si>
  <si>
    <t>TRA9643ZM0P</t>
  </si>
  <si>
    <t>Wyndham</t>
  </si>
  <si>
    <t>WYNDRY HYG DELUXE</t>
  </si>
  <si>
    <t>TRAR074ZW0P</t>
  </si>
  <si>
    <t>TRAR074ZH0P</t>
  </si>
  <si>
    <t>TRAR074ZB0P</t>
  </si>
  <si>
    <t>WYNDRY HYG PRIME</t>
  </si>
  <si>
    <t>TRAR072ZW0P</t>
  </si>
  <si>
    <t>TRAR072ZH0P</t>
  </si>
  <si>
    <t>TRAR072ZM0P</t>
  </si>
  <si>
    <t>61X132</t>
  </si>
  <si>
    <t>TRAR072ZB0P</t>
  </si>
  <si>
    <t>Row Labels</t>
  </si>
  <si>
    <t>Sum of Order Pcs</t>
  </si>
  <si>
    <t>Sum of Order Kgs</t>
  </si>
  <si>
    <t>percentage</t>
  </si>
  <si>
    <t>Grms/Pc</t>
  </si>
  <si>
    <t>SAM</t>
  </si>
  <si>
    <t>No. of Days</t>
  </si>
  <si>
    <t>PER DAY</t>
  </si>
  <si>
    <t>Sr. No</t>
  </si>
  <si>
    <t>Parameters</t>
  </si>
  <si>
    <t>LC_Mat</t>
  </si>
  <si>
    <t>LC_Sheet</t>
  </si>
  <si>
    <t>LC_Bath</t>
  </si>
  <si>
    <t>LC_Hand</t>
  </si>
  <si>
    <t>LC_Wash</t>
  </si>
  <si>
    <t>LC_Gloves</t>
  </si>
  <si>
    <t>LC_Long</t>
  </si>
  <si>
    <t>LC_Beach</t>
  </si>
  <si>
    <t>Ratio</t>
  </si>
  <si>
    <t xml:space="preserve">Size Per Towel (In Mtrs)_Length in cm </t>
  </si>
  <si>
    <t>Size Per Towel (In Mtrs)_Width in cm</t>
  </si>
  <si>
    <t>Machine Width</t>
  </si>
  <si>
    <t>Qty (In Pcs)</t>
  </si>
  <si>
    <t>Size -wise Splits</t>
  </si>
  <si>
    <t>Pcs/mtr</t>
  </si>
  <si>
    <t xml:space="preserve">Total Pieces/ Width </t>
  </si>
  <si>
    <t>Speed mpm</t>
  </si>
  <si>
    <t>Pcs/min</t>
  </si>
  <si>
    <t xml:space="preserve">Eff </t>
  </si>
  <si>
    <t>Pcs/min at given eff</t>
  </si>
  <si>
    <t>Available time</t>
  </si>
  <si>
    <t>Production/m/c</t>
  </si>
  <si>
    <t>No of machines required</t>
  </si>
  <si>
    <t>Total no of machines reqd</t>
  </si>
  <si>
    <t>ROUND</t>
  </si>
  <si>
    <t>LH_Mat</t>
  </si>
  <si>
    <t>LH_Sheet</t>
  </si>
  <si>
    <t>LH_Bath</t>
  </si>
  <si>
    <t>LH_Hand</t>
  </si>
  <si>
    <t>LH_Wash</t>
  </si>
  <si>
    <t>LH_Gloves</t>
  </si>
  <si>
    <t>LH_Long</t>
  </si>
  <si>
    <t>LH_Beach</t>
  </si>
  <si>
    <t>Pieces / min</t>
  </si>
  <si>
    <t>Eff  %</t>
  </si>
  <si>
    <t xml:space="preserve">Available time hrs/ day </t>
  </si>
  <si>
    <t>Production/m/c/ day in pcs</t>
  </si>
  <si>
    <t>Total No. Of Machines Reqd</t>
  </si>
  <si>
    <t>Sample &amp; Maint</t>
  </si>
  <si>
    <t>No. of M/C</t>
  </si>
  <si>
    <t>Sew-Jobber</t>
  </si>
  <si>
    <t>Pkg Jobber</t>
  </si>
  <si>
    <t>Line Feed</t>
  </si>
  <si>
    <t>AQL</t>
  </si>
  <si>
    <t>Trim Boy</t>
  </si>
  <si>
    <t>values</t>
  </si>
  <si>
    <t>DTA (1-6)</t>
  </si>
  <si>
    <t>DTA (7&amp;8)</t>
  </si>
  <si>
    <t>Cont</t>
  </si>
  <si>
    <t>JUKI_Mat</t>
  </si>
  <si>
    <t>JUKI_Sheet</t>
  </si>
  <si>
    <t>JUKI_Bath</t>
  </si>
  <si>
    <t>JUKI_Hand</t>
  </si>
  <si>
    <t>JUKI_Wash</t>
  </si>
  <si>
    <t>JUKI_Gloves</t>
  </si>
  <si>
    <t>JUKI_Long</t>
  </si>
  <si>
    <t>JUKI_Beach</t>
  </si>
  <si>
    <t xml:space="preserve">one side CCH Prodn / machine </t>
  </si>
  <si>
    <t>No. of machines Planned</t>
  </si>
  <si>
    <t xml:space="preserve">Total Production Planned on CCH </t>
  </si>
  <si>
    <t>Product Avg. SAM</t>
  </si>
  <si>
    <t>Total Sec (for 61776 Pcs)</t>
  </si>
  <si>
    <t>Avail. Sec per mc</t>
  </si>
  <si>
    <t>Reqd. Production</t>
  </si>
  <si>
    <t>Diff of CCH vs Juki.</t>
  </si>
  <si>
    <t>JUKI SAM</t>
  </si>
  <si>
    <t>Excluding CCH Prod.</t>
  </si>
  <si>
    <t>Avail. Min/ Shift/ mc</t>
  </si>
  <si>
    <t>Including CCH Prod.</t>
  </si>
  <si>
    <t>Eff %</t>
  </si>
  <si>
    <t>No. of mc reqd.</t>
  </si>
  <si>
    <t>No. of Stitcher Reqd/ day</t>
  </si>
  <si>
    <t>TQM Checker</t>
  </si>
  <si>
    <t>TOTAL STITCHERS REQD.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</si>
</sst>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"/>
    <numFmt numFmtId="165" formatCode="[$-409]d\-mmm\-yy;@"/>
    <numFmt numFmtId="166" formatCode="0.0000"/>
    <numFmt numFmtId="167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  <font>
      <i/>
      <sz val="11"/>
      <color rgb="FFC55A1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2" fontId="0" fillId="4" borderId="1" xfId="0" applyNumberFormat="1" applyFill="1" applyBorder="1" applyAlignment="1">
      <alignment horizontal="center"/>
    </xf>
    <xf numFmtId="2" fontId="0" fillId="0" borderId="1" xfId="0" applyNumberFormat="1" applyBorder="1"/>
    <xf numFmtId="2" fontId="4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3" fillId="0" borderId="1" xfId="0" applyFont="1" applyBorder="1"/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/>
    <xf numFmtId="2" fontId="0" fillId="0" borderId="0" xfId="0" applyNumberFormat="1" applyAlignment="1">
      <alignment vertical="center"/>
    </xf>
    <xf numFmtId="165" fontId="0" fillId="0" borderId="0" xfId="0" applyNumberFormat="1"/>
    <xf numFmtId="1" fontId="0" fillId="0" borderId="0" xfId="0" applyNumberFormat="1" applyAlignment="1">
      <alignment horizontal="left" indent="5"/>
    </xf>
    <xf numFmtId="2" fontId="0" fillId="0" borderId="0" xfId="0" applyNumberFormat="1"/>
    <xf numFmtId="9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7" borderId="0" xfId="0" applyNumberFormat="1" applyFill="1"/>
    <xf numFmtId="0" fontId="0" fillId="0" borderId="0" xfId="0" applyAlignment="1">
      <alignment horizontal="right"/>
    </xf>
    <xf numFmtId="1" fontId="0" fillId="0" borderId="0" xfId="0" applyNumberFormat="1" applyAlignment="1">
      <alignment vertical="center"/>
    </xf>
    <xf numFmtId="164" fontId="5" fillId="0" borderId="0" xfId="0" applyNumberFormat="1" applyFont="1" applyAlignment="1">
      <alignment vertical="center"/>
    </xf>
    <xf numFmtId="0" fontId="0" fillId="6" borderId="2" xfId="0" applyFill="1" applyBorder="1"/>
    <xf numFmtId="0" fontId="0" fillId="0" borderId="2" xfId="0" applyBorder="1"/>
    <xf numFmtId="1" fontId="0" fillId="0" borderId="2" xfId="0" applyNumberFormat="1" applyBorder="1"/>
    <xf numFmtId="1" fontId="0" fillId="6" borderId="2" xfId="0" applyNumberFormat="1" applyFill="1" applyBorder="1"/>
    <xf numFmtId="0" fontId="2" fillId="2" borderId="1" xfId="0" applyFont="1" applyFill="1" applyBorder="1" applyAlignment="1"/>
    <xf numFmtId="0" fontId="0" fillId="0" borderId="1" xfId="0" applyBorder="1" applyAlignment="1">
      <alignment horizontal="center"/>
    </xf>
    <xf numFmtId="0" fontId="0" fillId="0" borderId="1" xfId="0" applyBorder="1" applyAlignment="1"/>
    <xf numFmtId="0" fontId="1" fillId="2" borderId="1" xfId="0" applyFont="1" applyFill="1" applyBorder="1" applyAlignment="1"/>
  </cellXfs>
  <cellStyles count="1">
    <cellStyle name="Normal" xfId="0" builtinId="0"/>
  </cellStyles>
  <dxfs count="3">
    <dxf>
      <numFmt numFmtId="1" formatCode="0"/>
    </dxf>
    <dxf>
      <numFmt numFmtId="1" formatCode="0"/>
    </dxf>
    <dxf>
      <numFmt numFmtId="165" formatCode="[$-409]d\-mmm\-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khitha/OneDrive/Desktop/Manning_AUM/WTT/man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pinning"/>
      <sheetName val="MAINTENANCE"/>
      <sheetName val="TFO"/>
      <sheetName val="TT"/>
      <sheetName val="Weaving Back-Up"/>
      <sheetName val="TT_Cut&amp;Sew"/>
      <sheetName val="TT_Cut&amp;Sew_LC"/>
      <sheetName val="TT_Cut&amp;Sew_LH"/>
      <sheetName val="DTA"/>
      <sheetName val="JUKI"/>
      <sheetName val="Size_wise_details_summary"/>
      <sheetName val="Size_wise_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K4">
            <v>36.6</v>
          </cell>
        </row>
        <row r="5">
          <cell r="K5">
            <v>75.400000000000006</v>
          </cell>
        </row>
        <row r="6">
          <cell r="K6">
            <v>37.700000000000003</v>
          </cell>
        </row>
        <row r="7">
          <cell r="K7">
            <v>29</v>
          </cell>
        </row>
        <row r="8">
          <cell r="K8">
            <v>30.4</v>
          </cell>
        </row>
        <row r="9">
          <cell r="K9">
            <v>47</v>
          </cell>
        </row>
        <row r="10">
          <cell r="K10">
            <v>22.8</v>
          </cell>
        </row>
      </sheetData>
      <sheetData sheetId="11"/>
    </sheetDataSet>
  </externalBook>
</externalLink>
</file>

<file path=xl/tables/table1.xml><?xml version="1.0" encoding="utf-8"?>
<table xmlns="http://schemas.openxmlformats.org/spreadsheetml/2006/main" id="1" name="Table5" displayName="Table5" ref="A1:J1640" totalsRowShown="0" headerRowDxfId="2">
  <tableColumns count="10">
    <tableColumn id="1" name="SO No"/>
    <tableColumn id="2" name="Customer Name"/>
    <tableColumn id="3" name="Design Name"/>
    <tableColumn id="4" name="Size"/>
    <tableColumn id="5" name="Tr Part"/>
    <tableColumn id="6" name="YD MATHING"/>
    <tableColumn id="7" name="Sort"/>
    <tableColumn id="8" name="Size2"/>
    <tableColumn id="9" name="Order Pcs" dataDxfId="1"/>
    <tableColumn id="10" name="Order Kg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4"/>
  <sheetViews>
    <sheetView topLeftCell="D132" zoomScale="49" zoomScaleNormal="85" workbookViewId="0">
      <selection activeCell="M20" sqref="M20"/>
    </sheetView>
  </sheetViews>
  <sheetFormatPr defaultRowHeight="14.5" x14ac:dyDescent="0.35"/>
  <cols>
    <col min="1" max="1" width="11.81640625" bestFit="1" customWidth="1"/>
    <col min="2" max="2" width="12.26953125" bestFit="1" customWidth="1"/>
    <col min="3" max="3" width="32.7265625" bestFit="1" customWidth="1"/>
    <col min="4" max="4" width="9" bestFit="1" customWidth="1"/>
    <col min="5" max="5" width="29" bestFit="1" customWidth="1"/>
    <col min="6" max="6" width="28.1796875" bestFit="1" customWidth="1"/>
    <col min="7" max="7" width="20.1796875" bestFit="1" customWidth="1"/>
    <col min="8" max="8" width="30.1796875" bestFit="1" customWidth="1"/>
    <col min="9" max="9" width="12.54296875" bestFit="1" customWidth="1"/>
    <col min="10" max="10" width="31.26953125" bestFit="1" customWidth="1"/>
    <col min="11" max="11" width="31.26953125" customWidth="1"/>
    <col min="12" max="12" width="15.81640625" bestFit="1" customWidth="1"/>
    <col min="13" max="14" width="25.81640625" bestFit="1" customWidth="1"/>
    <col min="15" max="15" width="17.453125" bestFit="1" customWidth="1"/>
    <col min="16" max="18" width="10.26953125" bestFit="1" customWidth="1"/>
    <col min="19" max="19" width="11.26953125" bestFit="1" customWidth="1"/>
    <col min="20" max="20" width="18.26953125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s="2" t="s">
        <v>20</v>
      </c>
      <c r="B2" s="2" t="s">
        <v>21</v>
      </c>
      <c r="C2" s="2" t="s">
        <v>22</v>
      </c>
      <c r="D2" s="2">
        <v>1</v>
      </c>
      <c r="E2" s="2" t="s">
        <v>23</v>
      </c>
      <c r="F2" s="2" t="s">
        <v>24</v>
      </c>
      <c r="G2" s="2">
        <v>4</v>
      </c>
      <c r="H2" s="2" t="s">
        <v>25</v>
      </c>
      <c r="I2" s="2" t="s">
        <v>26</v>
      </c>
      <c r="J2" s="2">
        <v>12</v>
      </c>
      <c r="K2" s="2"/>
      <c r="L2" s="2"/>
      <c r="M2" s="2"/>
      <c r="N2" s="2">
        <v>12</v>
      </c>
      <c r="O2" s="2">
        <v>0</v>
      </c>
      <c r="P2" s="2">
        <v>4</v>
      </c>
      <c r="Q2" s="2">
        <v>4</v>
      </c>
      <c r="R2" s="2">
        <v>4</v>
      </c>
      <c r="S2" s="2">
        <v>0</v>
      </c>
      <c r="T2" s="2"/>
    </row>
    <row r="3" spans="1:20" x14ac:dyDescent="0.35">
      <c r="A3" s="2" t="s">
        <v>20</v>
      </c>
      <c r="B3" s="2" t="s">
        <v>21</v>
      </c>
      <c r="C3" s="2" t="s">
        <v>22</v>
      </c>
      <c r="D3" s="2">
        <v>2</v>
      </c>
      <c r="E3" s="2" t="s">
        <v>23</v>
      </c>
      <c r="F3" s="2" t="s">
        <v>27</v>
      </c>
      <c r="G3" s="2">
        <v>4</v>
      </c>
      <c r="H3" s="2" t="s">
        <v>28</v>
      </c>
      <c r="I3" s="2" t="s">
        <v>26</v>
      </c>
      <c r="J3" s="2">
        <v>12</v>
      </c>
      <c r="K3" s="2"/>
      <c r="L3" s="2"/>
      <c r="M3" s="2"/>
      <c r="N3" s="2">
        <v>12</v>
      </c>
      <c r="O3" s="2">
        <v>0</v>
      </c>
      <c r="P3" s="2">
        <v>4</v>
      </c>
      <c r="Q3" s="2">
        <v>4</v>
      </c>
      <c r="R3" s="2">
        <v>4</v>
      </c>
      <c r="S3" s="2">
        <v>0</v>
      </c>
      <c r="T3" s="2"/>
    </row>
    <row r="4" spans="1:20" x14ac:dyDescent="0.35">
      <c r="A4" s="2" t="s">
        <v>20</v>
      </c>
      <c r="B4" s="2" t="s">
        <v>21</v>
      </c>
      <c r="C4" s="2" t="s">
        <v>22</v>
      </c>
      <c r="D4" s="2">
        <v>3</v>
      </c>
      <c r="E4" s="2" t="s">
        <v>29</v>
      </c>
      <c r="F4" s="2" t="s">
        <v>24</v>
      </c>
      <c r="G4" s="2">
        <v>5</v>
      </c>
      <c r="H4" s="2" t="s">
        <v>25</v>
      </c>
      <c r="I4" s="2" t="s">
        <v>30</v>
      </c>
      <c r="J4" s="2">
        <v>15</v>
      </c>
      <c r="K4" s="2"/>
      <c r="L4" s="2"/>
      <c r="M4" s="2"/>
      <c r="N4" s="2">
        <v>15</v>
      </c>
      <c r="O4" s="2">
        <v>0</v>
      </c>
      <c r="P4" s="2">
        <v>5</v>
      </c>
      <c r="Q4" s="2">
        <v>5</v>
      </c>
      <c r="R4" s="2">
        <v>5</v>
      </c>
      <c r="S4" s="2">
        <v>0</v>
      </c>
      <c r="T4" s="2"/>
    </row>
    <row r="5" spans="1:20" x14ac:dyDescent="0.35">
      <c r="A5" s="2" t="s">
        <v>20</v>
      </c>
      <c r="B5" s="2" t="s">
        <v>21</v>
      </c>
      <c r="C5" s="2" t="s">
        <v>22</v>
      </c>
      <c r="D5" s="2">
        <v>4</v>
      </c>
      <c r="E5" s="2" t="s">
        <v>29</v>
      </c>
      <c r="F5" s="2" t="s">
        <v>27</v>
      </c>
      <c r="G5" s="2">
        <v>5</v>
      </c>
      <c r="H5" s="2" t="s">
        <v>28</v>
      </c>
      <c r="I5" s="2" t="s">
        <v>30</v>
      </c>
      <c r="J5" s="2">
        <v>15</v>
      </c>
      <c r="K5" s="2"/>
      <c r="L5" s="2"/>
      <c r="M5" s="2"/>
      <c r="N5" s="2">
        <v>15</v>
      </c>
      <c r="O5" s="2">
        <v>0</v>
      </c>
      <c r="P5" s="2">
        <v>5</v>
      </c>
      <c r="Q5" s="2">
        <v>5</v>
      </c>
      <c r="R5" s="2">
        <v>5</v>
      </c>
      <c r="S5" s="2">
        <v>0</v>
      </c>
      <c r="T5" s="2"/>
    </row>
    <row r="6" spans="1:20" x14ac:dyDescent="0.35">
      <c r="A6" s="2" t="s">
        <v>20</v>
      </c>
      <c r="B6" s="2" t="s">
        <v>21</v>
      </c>
      <c r="C6" s="2" t="s">
        <v>22</v>
      </c>
      <c r="D6" s="2">
        <v>5</v>
      </c>
      <c r="E6" s="2" t="s">
        <v>31</v>
      </c>
      <c r="F6" s="2" t="s">
        <v>32</v>
      </c>
      <c r="G6" s="2">
        <v>4</v>
      </c>
      <c r="H6" s="2" t="s">
        <v>33</v>
      </c>
      <c r="I6" s="2" t="s">
        <v>26</v>
      </c>
      <c r="J6" s="2">
        <v>12</v>
      </c>
      <c r="K6" s="2"/>
      <c r="L6" s="2"/>
      <c r="M6" s="2"/>
      <c r="N6" s="2">
        <v>12</v>
      </c>
      <c r="O6" s="2">
        <v>0</v>
      </c>
      <c r="P6" s="2">
        <v>4</v>
      </c>
      <c r="Q6" s="2">
        <v>4</v>
      </c>
      <c r="R6" s="2">
        <v>4</v>
      </c>
      <c r="S6" s="2">
        <v>0</v>
      </c>
      <c r="T6" s="2"/>
    </row>
    <row r="7" spans="1:20" x14ac:dyDescent="0.35">
      <c r="A7" s="2" t="s">
        <v>20</v>
      </c>
      <c r="B7" s="2" t="s">
        <v>21</v>
      </c>
      <c r="C7" s="2" t="s">
        <v>22</v>
      </c>
      <c r="D7" s="2">
        <v>6</v>
      </c>
      <c r="E7" s="2" t="s">
        <v>31</v>
      </c>
      <c r="F7" s="2" t="s">
        <v>34</v>
      </c>
      <c r="G7" s="2">
        <v>4</v>
      </c>
      <c r="H7" s="2" t="s">
        <v>35</v>
      </c>
      <c r="I7" s="2" t="s">
        <v>26</v>
      </c>
      <c r="J7" s="2">
        <v>12</v>
      </c>
      <c r="K7" s="2"/>
      <c r="L7" s="2"/>
      <c r="M7" s="2"/>
      <c r="N7" s="2">
        <v>12</v>
      </c>
      <c r="O7" s="2">
        <v>0</v>
      </c>
      <c r="P7" s="2">
        <v>4</v>
      </c>
      <c r="Q7" s="2">
        <v>4</v>
      </c>
      <c r="R7" s="2">
        <v>4</v>
      </c>
      <c r="S7" s="2">
        <v>0</v>
      </c>
      <c r="T7" s="2"/>
    </row>
    <row r="8" spans="1:20" x14ac:dyDescent="0.35">
      <c r="A8" s="2" t="s">
        <v>20</v>
      </c>
      <c r="B8" s="2" t="s">
        <v>21</v>
      </c>
      <c r="C8" s="2" t="s">
        <v>22</v>
      </c>
      <c r="D8" s="2">
        <v>7</v>
      </c>
      <c r="E8" s="2" t="s">
        <v>31</v>
      </c>
      <c r="F8" s="2" t="s">
        <v>36</v>
      </c>
      <c r="G8" s="2"/>
      <c r="H8" s="2" t="s">
        <v>37</v>
      </c>
      <c r="I8" s="2" t="s">
        <v>38</v>
      </c>
      <c r="J8" s="2">
        <v>3</v>
      </c>
      <c r="K8" s="2"/>
      <c r="L8" s="2"/>
      <c r="M8" s="2"/>
      <c r="N8" s="2">
        <v>3</v>
      </c>
      <c r="O8" s="2">
        <v>0</v>
      </c>
      <c r="P8" s="2">
        <v>1</v>
      </c>
      <c r="Q8" s="2">
        <v>1</v>
      </c>
      <c r="R8" s="2">
        <v>1</v>
      </c>
      <c r="S8" s="2">
        <v>0</v>
      </c>
      <c r="T8" s="2"/>
    </row>
    <row r="9" spans="1:20" x14ac:dyDescent="0.35">
      <c r="A9" s="2" t="s">
        <v>20</v>
      </c>
      <c r="B9" s="2" t="s">
        <v>21</v>
      </c>
      <c r="C9" s="2" t="s">
        <v>22</v>
      </c>
      <c r="D9" s="2">
        <v>8</v>
      </c>
      <c r="E9" s="2" t="s">
        <v>39</v>
      </c>
      <c r="F9" s="2" t="s">
        <v>40</v>
      </c>
      <c r="G9" s="2">
        <v>1</v>
      </c>
      <c r="H9" s="2" t="s">
        <v>41</v>
      </c>
      <c r="I9" s="2" t="s">
        <v>42</v>
      </c>
      <c r="J9" s="2">
        <f>ROUNDUP(11.53846154,0)</f>
        <v>12</v>
      </c>
      <c r="K9" s="2"/>
      <c r="L9" s="2"/>
      <c r="M9" s="2"/>
      <c r="N9" s="2">
        <v>12</v>
      </c>
      <c r="O9" s="2">
        <v>0</v>
      </c>
      <c r="P9" s="2">
        <v>4</v>
      </c>
      <c r="Q9" s="2">
        <v>4</v>
      </c>
      <c r="R9" s="2">
        <v>4</v>
      </c>
      <c r="S9" s="2">
        <v>0</v>
      </c>
      <c r="T9" s="2" t="s">
        <v>43</v>
      </c>
    </row>
    <row r="10" spans="1:20" x14ac:dyDescent="0.35">
      <c r="A10" s="2" t="s">
        <v>20</v>
      </c>
      <c r="B10" s="2" t="s">
        <v>21</v>
      </c>
      <c r="C10" s="2" t="s">
        <v>22</v>
      </c>
      <c r="D10" s="2">
        <v>9</v>
      </c>
      <c r="E10" s="2" t="s">
        <v>44</v>
      </c>
      <c r="F10" s="2" t="s">
        <v>40</v>
      </c>
      <c r="G10" s="2">
        <v>1</v>
      </c>
      <c r="H10" s="2" t="s">
        <v>37</v>
      </c>
      <c r="I10" s="2" t="s">
        <v>38</v>
      </c>
      <c r="J10" s="2">
        <v>3</v>
      </c>
      <c r="K10" s="2"/>
      <c r="L10" s="2"/>
      <c r="M10" s="2"/>
      <c r="N10" s="2">
        <v>3</v>
      </c>
      <c r="O10" s="2">
        <v>0</v>
      </c>
      <c r="P10" s="2">
        <v>1</v>
      </c>
      <c r="Q10" s="2">
        <v>1</v>
      </c>
      <c r="R10" s="2">
        <v>1</v>
      </c>
      <c r="S10" s="2">
        <v>0</v>
      </c>
      <c r="T10" s="2"/>
    </row>
    <row r="11" spans="1:20" x14ac:dyDescent="0.35">
      <c r="A11" s="2" t="s">
        <v>20</v>
      </c>
      <c r="B11" s="2" t="s">
        <v>21</v>
      </c>
      <c r="C11" s="2" t="s">
        <v>22</v>
      </c>
      <c r="D11" s="2">
        <v>10</v>
      </c>
      <c r="E11" s="2" t="s">
        <v>39</v>
      </c>
      <c r="F11" s="2" t="s">
        <v>45</v>
      </c>
      <c r="G11" s="2"/>
      <c r="H11" s="2" t="s">
        <v>46</v>
      </c>
      <c r="I11" s="2" t="s">
        <v>47</v>
      </c>
      <c r="J11" s="2">
        <v>9</v>
      </c>
      <c r="K11" s="2"/>
      <c r="L11" s="2"/>
      <c r="M11" s="2"/>
      <c r="N11" s="2">
        <v>9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/>
    </row>
    <row r="12" spans="1:20" x14ac:dyDescent="0.35">
      <c r="A12" s="2" t="s">
        <v>20</v>
      </c>
      <c r="B12" s="2" t="s">
        <v>21</v>
      </c>
      <c r="C12" s="2" t="s">
        <v>22</v>
      </c>
      <c r="D12" s="2">
        <v>11</v>
      </c>
      <c r="E12" s="2" t="s">
        <v>39</v>
      </c>
      <c r="F12" s="2" t="s">
        <v>48</v>
      </c>
      <c r="G12" s="2"/>
      <c r="H12" s="2" t="s">
        <v>49</v>
      </c>
      <c r="I12" s="2" t="s">
        <v>50</v>
      </c>
      <c r="J12" s="2">
        <v>6</v>
      </c>
      <c r="K12" s="2"/>
      <c r="L12" s="2"/>
      <c r="M12" s="2"/>
      <c r="N12" s="2">
        <v>6</v>
      </c>
      <c r="O12" s="2">
        <v>6</v>
      </c>
      <c r="P12" s="2">
        <v>0</v>
      </c>
      <c r="Q12" s="2">
        <v>0</v>
      </c>
      <c r="R12" s="2">
        <v>0</v>
      </c>
      <c r="S12" s="2">
        <v>0</v>
      </c>
      <c r="T12" s="2"/>
    </row>
    <row r="13" spans="1:20" x14ac:dyDescent="0.35">
      <c r="A13" s="2" t="s">
        <v>20</v>
      </c>
      <c r="B13" s="2" t="s">
        <v>21</v>
      </c>
      <c r="C13" s="2" t="s">
        <v>22</v>
      </c>
      <c r="D13" s="2">
        <v>12</v>
      </c>
      <c r="E13" s="2" t="s">
        <v>39</v>
      </c>
      <c r="F13" s="2" t="s">
        <v>51</v>
      </c>
      <c r="G13" s="2"/>
      <c r="H13" s="2" t="s">
        <v>52</v>
      </c>
      <c r="I13" s="2" t="s">
        <v>38</v>
      </c>
      <c r="J13" s="2">
        <v>3</v>
      </c>
      <c r="K13" s="2"/>
      <c r="L13" s="2"/>
      <c r="M13" s="2"/>
      <c r="N13" s="2">
        <v>3</v>
      </c>
      <c r="O13" s="2">
        <v>0</v>
      </c>
      <c r="P13" s="2">
        <v>1</v>
      </c>
      <c r="Q13" s="2">
        <v>1</v>
      </c>
      <c r="R13" s="2">
        <v>1</v>
      </c>
      <c r="S13" s="2">
        <v>0</v>
      </c>
      <c r="T13" s="2"/>
    </row>
    <row r="14" spans="1:20" x14ac:dyDescent="0.35">
      <c r="A14" s="2" t="s">
        <v>20</v>
      </c>
      <c r="B14" s="2" t="s">
        <v>21</v>
      </c>
      <c r="C14" s="2" t="s">
        <v>22</v>
      </c>
      <c r="D14" s="2">
        <v>13</v>
      </c>
      <c r="E14" s="2" t="s">
        <v>39</v>
      </c>
      <c r="F14" s="2" t="s">
        <v>53</v>
      </c>
      <c r="G14" s="2"/>
      <c r="H14" s="2" t="s">
        <v>37</v>
      </c>
      <c r="I14" s="2" t="s">
        <v>38</v>
      </c>
      <c r="J14" s="2">
        <v>3</v>
      </c>
      <c r="K14" s="2"/>
      <c r="L14" s="2"/>
      <c r="M14" s="2"/>
      <c r="N14" s="2">
        <v>3</v>
      </c>
      <c r="O14" s="2">
        <v>0</v>
      </c>
      <c r="P14" s="2">
        <v>1</v>
      </c>
      <c r="Q14" s="2">
        <v>1</v>
      </c>
      <c r="R14" s="2">
        <v>1</v>
      </c>
      <c r="S14" s="2">
        <v>0</v>
      </c>
      <c r="T14" s="2"/>
    </row>
    <row r="15" spans="1:20" x14ac:dyDescent="0.35">
      <c r="A15" s="2" t="s">
        <v>20</v>
      </c>
      <c r="B15" s="2" t="s">
        <v>21</v>
      </c>
      <c r="C15" s="2" t="s">
        <v>22</v>
      </c>
      <c r="D15" s="2">
        <v>14</v>
      </c>
      <c r="E15" s="2" t="s">
        <v>39</v>
      </c>
      <c r="F15" s="2" t="s">
        <v>54</v>
      </c>
      <c r="G15" s="2"/>
      <c r="H15" s="2" t="s">
        <v>37</v>
      </c>
      <c r="I15" s="2" t="s">
        <v>38</v>
      </c>
      <c r="J15" s="2">
        <v>3</v>
      </c>
      <c r="K15" s="2"/>
      <c r="L15" s="2"/>
      <c r="M15" s="2"/>
      <c r="N15" s="2">
        <v>3</v>
      </c>
      <c r="O15" s="2">
        <v>0</v>
      </c>
      <c r="P15" s="2">
        <v>1</v>
      </c>
      <c r="Q15" s="2">
        <v>1</v>
      </c>
      <c r="R15" s="2">
        <v>1</v>
      </c>
      <c r="S15" s="2">
        <v>0</v>
      </c>
      <c r="T15" s="2"/>
    </row>
    <row r="16" spans="1:20" x14ac:dyDescent="0.35">
      <c r="A16" s="2" t="s">
        <v>20</v>
      </c>
      <c r="B16" s="2" t="s">
        <v>21</v>
      </c>
      <c r="C16" s="2" t="s">
        <v>22</v>
      </c>
      <c r="D16" s="2">
        <v>15</v>
      </c>
      <c r="E16" s="2" t="s">
        <v>55</v>
      </c>
      <c r="F16" s="2" t="s">
        <v>24</v>
      </c>
      <c r="G16" s="2">
        <v>1</v>
      </c>
      <c r="H16" s="2" t="s">
        <v>37</v>
      </c>
      <c r="I16" s="2" t="s">
        <v>38</v>
      </c>
      <c r="J16" s="2">
        <v>3</v>
      </c>
      <c r="K16" s="2"/>
      <c r="L16" s="2"/>
      <c r="M16" s="2"/>
      <c r="N16" s="2">
        <v>3</v>
      </c>
      <c r="O16" s="2">
        <v>0</v>
      </c>
      <c r="P16" s="2">
        <v>1</v>
      </c>
      <c r="Q16" s="2">
        <v>1</v>
      </c>
      <c r="R16" s="2">
        <v>1</v>
      </c>
      <c r="S16" s="2">
        <v>0</v>
      </c>
      <c r="T16" s="2"/>
    </row>
    <row r="17" spans="1:20" x14ac:dyDescent="0.35">
      <c r="A17" s="2" t="s">
        <v>20</v>
      </c>
      <c r="B17" s="2" t="s">
        <v>21</v>
      </c>
      <c r="C17" s="2" t="s">
        <v>22</v>
      </c>
      <c r="D17" s="2">
        <v>16</v>
      </c>
      <c r="E17" s="2" t="s">
        <v>55</v>
      </c>
      <c r="F17" s="2" t="s">
        <v>27</v>
      </c>
      <c r="G17" s="2"/>
      <c r="H17" s="2" t="s">
        <v>28</v>
      </c>
      <c r="I17" s="2" t="s">
        <v>38</v>
      </c>
      <c r="J17" s="2">
        <v>3</v>
      </c>
      <c r="K17" s="2"/>
      <c r="L17" s="2"/>
      <c r="M17" s="2"/>
      <c r="N17" s="2">
        <v>3</v>
      </c>
      <c r="O17" s="2">
        <v>0</v>
      </c>
      <c r="P17" s="2">
        <v>1</v>
      </c>
      <c r="Q17" s="2">
        <v>1</v>
      </c>
      <c r="R17" s="2">
        <v>1</v>
      </c>
      <c r="S17" s="2">
        <v>0</v>
      </c>
      <c r="T17" s="2"/>
    </row>
    <row r="18" spans="1:20" x14ac:dyDescent="0.35">
      <c r="A18" s="2" t="s">
        <v>20</v>
      </c>
      <c r="B18" s="2" t="s">
        <v>21</v>
      </c>
      <c r="C18" s="2" t="s">
        <v>22</v>
      </c>
      <c r="D18" s="2">
        <v>17</v>
      </c>
      <c r="E18" s="2" t="s">
        <v>55</v>
      </c>
      <c r="F18" s="2" t="s">
        <v>56</v>
      </c>
      <c r="G18" s="2"/>
      <c r="H18" s="2" t="s">
        <v>28</v>
      </c>
      <c r="I18" s="2" t="s">
        <v>57</v>
      </c>
      <c r="J18" s="2">
        <v>1</v>
      </c>
      <c r="K18" s="2"/>
      <c r="L18" s="2"/>
      <c r="M18" s="2"/>
      <c r="N18" s="2">
        <v>1</v>
      </c>
      <c r="O18" s="2">
        <v>0</v>
      </c>
      <c r="P18" s="2">
        <v>1</v>
      </c>
      <c r="Q18" s="2">
        <v>0</v>
      </c>
      <c r="R18" s="2">
        <v>0</v>
      </c>
      <c r="S18" s="2">
        <v>0</v>
      </c>
      <c r="T18" s="2"/>
    </row>
    <row r="19" spans="1:20" x14ac:dyDescent="0.35">
      <c r="A19" s="2" t="s">
        <v>20</v>
      </c>
      <c r="B19" s="2" t="s">
        <v>21</v>
      </c>
      <c r="C19" s="2" t="s">
        <v>58</v>
      </c>
      <c r="D19" s="2">
        <v>1</v>
      </c>
      <c r="E19" s="2" t="s">
        <v>59</v>
      </c>
      <c r="F19" s="2" t="s">
        <v>60</v>
      </c>
      <c r="G19" s="2">
        <v>181</v>
      </c>
      <c r="H19" s="2" t="s">
        <v>61</v>
      </c>
      <c r="I19" s="2" t="s">
        <v>62</v>
      </c>
      <c r="J19" s="2">
        <v>90.5</v>
      </c>
      <c r="K19" s="2" t="s">
        <v>63</v>
      </c>
      <c r="L19" s="2"/>
      <c r="M19" s="2"/>
      <c r="N19" s="2">
        <f>'Weaving Back-Up'!F6</f>
        <v>93</v>
      </c>
      <c r="O19" s="2">
        <v>0</v>
      </c>
      <c r="P19" s="2">
        <v>31</v>
      </c>
      <c r="Q19" s="2">
        <v>31</v>
      </c>
      <c r="R19" s="2">
        <v>31</v>
      </c>
      <c r="S19" s="2">
        <v>0</v>
      </c>
      <c r="T19" s="2"/>
    </row>
    <row r="20" spans="1:20" x14ac:dyDescent="0.35">
      <c r="A20" s="2" t="s">
        <v>20</v>
      </c>
      <c r="B20" s="2" t="s">
        <v>21</v>
      </c>
      <c r="C20" s="2" t="s">
        <v>58</v>
      </c>
      <c r="D20" s="2">
        <v>2</v>
      </c>
      <c r="E20" s="2" t="s">
        <v>59</v>
      </c>
      <c r="F20" s="2" t="s">
        <v>64</v>
      </c>
      <c r="G20" s="2"/>
      <c r="H20" s="2" t="s">
        <v>65</v>
      </c>
      <c r="I20" s="2" t="s">
        <v>66</v>
      </c>
      <c r="J20" s="2">
        <v>18.600000000000001</v>
      </c>
      <c r="K20" s="2" t="s">
        <v>67</v>
      </c>
      <c r="L20" s="2"/>
      <c r="M20" s="2"/>
      <c r="N20" s="2">
        <f>'Weaving Back-Up'!F9+3</f>
        <v>27</v>
      </c>
      <c r="O20" s="2">
        <v>0</v>
      </c>
      <c r="P20" s="2">
        <v>9</v>
      </c>
      <c r="Q20" s="2">
        <v>9</v>
      </c>
      <c r="R20" s="2">
        <v>9</v>
      </c>
      <c r="S20" s="2">
        <v>0</v>
      </c>
      <c r="T20" s="2"/>
    </row>
    <row r="21" spans="1:20" x14ac:dyDescent="0.35">
      <c r="A21" s="2" t="s">
        <v>20</v>
      </c>
      <c r="B21" s="2" t="s">
        <v>21</v>
      </c>
      <c r="C21" s="2" t="s">
        <v>58</v>
      </c>
      <c r="D21" s="2">
        <v>3</v>
      </c>
      <c r="E21" s="2" t="s">
        <v>59</v>
      </c>
      <c r="F21" s="2" t="s">
        <v>68</v>
      </c>
      <c r="G21" s="2"/>
      <c r="H21" s="2" t="s">
        <v>69</v>
      </c>
      <c r="I21" s="2" t="s">
        <v>70</v>
      </c>
      <c r="J21" s="2">
        <v>27</v>
      </c>
      <c r="K21" s="2" t="s">
        <v>67</v>
      </c>
      <c r="L21" s="2"/>
      <c r="M21" s="2"/>
      <c r="N21" s="2">
        <v>30</v>
      </c>
      <c r="O21" s="2">
        <v>0</v>
      </c>
      <c r="P21" s="2">
        <v>10</v>
      </c>
      <c r="Q21" s="2">
        <v>10</v>
      </c>
      <c r="R21" s="2">
        <v>10</v>
      </c>
      <c r="S21" s="2">
        <v>0</v>
      </c>
      <c r="T21" s="2" t="s">
        <v>71</v>
      </c>
    </row>
    <row r="22" spans="1:20" x14ac:dyDescent="0.35">
      <c r="A22" s="2" t="s">
        <v>20</v>
      </c>
      <c r="B22" s="2" t="s">
        <v>21</v>
      </c>
      <c r="C22" s="2" t="s">
        <v>58</v>
      </c>
      <c r="D22" s="2">
        <v>4</v>
      </c>
      <c r="E22" s="2" t="s">
        <v>59</v>
      </c>
      <c r="F22" s="2" t="s">
        <v>72</v>
      </c>
      <c r="G22" s="2"/>
      <c r="H22" s="2" t="s">
        <v>73</v>
      </c>
      <c r="I22" s="2" t="s">
        <v>74</v>
      </c>
      <c r="J22" s="2">
        <v>15.97</v>
      </c>
      <c r="K22" s="2" t="s">
        <v>63</v>
      </c>
      <c r="L22" s="2"/>
      <c r="M22" s="2"/>
      <c r="N22" s="2">
        <v>15</v>
      </c>
      <c r="O22" s="2">
        <v>0</v>
      </c>
      <c r="P22" s="2">
        <v>5</v>
      </c>
      <c r="Q22" s="2">
        <v>5</v>
      </c>
      <c r="R22" s="2">
        <v>5</v>
      </c>
      <c r="S22" s="2">
        <v>0</v>
      </c>
      <c r="T22" s="2"/>
    </row>
    <row r="23" spans="1:20" x14ac:dyDescent="0.35">
      <c r="A23" s="2" t="s">
        <v>20</v>
      </c>
      <c r="B23" s="2" t="s">
        <v>21</v>
      </c>
      <c r="C23" s="2" t="s">
        <v>58</v>
      </c>
      <c r="D23" s="2">
        <v>5</v>
      </c>
      <c r="E23" s="2" t="s">
        <v>59</v>
      </c>
      <c r="F23" s="2" t="s">
        <v>75</v>
      </c>
      <c r="G23" s="2"/>
      <c r="H23" s="2" t="s">
        <v>76</v>
      </c>
      <c r="I23" s="2" t="s">
        <v>77</v>
      </c>
      <c r="J23" s="2">
        <v>12.07</v>
      </c>
      <c r="K23" s="2" t="s">
        <v>63</v>
      </c>
      <c r="L23" s="2"/>
      <c r="M23" s="2"/>
      <c r="N23" s="2">
        <v>12</v>
      </c>
      <c r="O23" s="2">
        <v>0</v>
      </c>
      <c r="P23" s="2">
        <v>4</v>
      </c>
      <c r="Q23" s="2">
        <v>4</v>
      </c>
      <c r="R23" s="2">
        <v>4</v>
      </c>
      <c r="S23" s="2">
        <v>0</v>
      </c>
      <c r="T23" s="2"/>
    </row>
    <row r="24" spans="1:20" x14ac:dyDescent="0.35">
      <c r="A24" s="2" t="s">
        <v>20</v>
      </c>
      <c r="B24" s="2" t="s">
        <v>21</v>
      </c>
      <c r="C24" s="2" t="s">
        <v>58</v>
      </c>
      <c r="D24" s="2">
        <v>6</v>
      </c>
      <c r="E24" s="2" t="s">
        <v>59</v>
      </c>
      <c r="F24" s="2" t="s">
        <v>78</v>
      </c>
      <c r="G24" s="2"/>
      <c r="H24" s="2" t="s">
        <v>79</v>
      </c>
      <c r="I24" s="2" t="s">
        <v>80</v>
      </c>
      <c r="J24" s="2">
        <v>12.93</v>
      </c>
      <c r="K24" s="2" t="s">
        <v>63</v>
      </c>
      <c r="L24" s="2"/>
      <c r="M24" s="2"/>
      <c r="N24" s="2">
        <v>16</v>
      </c>
      <c r="O24" s="2">
        <v>1</v>
      </c>
      <c r="P24" s="2">
        <v>5</v>
      </c>
      <c r="Q24" s="2">
        <v>5</v>
      </c>
      <c r="R24" s="2">
        <v>5</v>
      </c>
      <c r="S24" s="2">
        <v>0</v>
      </c>
      <c r="T24" s="2"/>
    </row>
    <row r="25" spans="1:20" x14ac:dyDescent="0.35">
      <c r="A25" s="2" t="s">
        <v>20</v>
      </c>
      <c r="B25" s="2" t="s">
        <v>21</v>
      </c>
      <c r="C25" s="2" t="s">
        <v>58</v>
      </c>
      <c r="D25" s="2">
        <v>7</v>
      </c>
      <c r="E25" s="2" t="s">
        <v>59</v>
      </c>
      <c r="F25" s="2" t="s">
        <v>81</v>
      </c>
      <c r="G25" s="2"/>
      <c r="H25" s="2" t="s">
        <v>82</v>
      </c>
      <c r="I25" s="2" t="s">
        <v>83</v>
      </c>
      <c r="J25" s="2">
        <v>6</v>
      </c>
      <c r="K25" s="2" t="s">
        <v>67</v>
      </c>
      <c r="L25" s="2"/>
      <c r="M25" s="2"/>
      <c r="N25" s="2">
        <v>6</v>
      </c>
      <c r="O25" s="2">
        <v>0</v>
      </c>
      <c r="P25" s="2">
        <v>2</v>
      </c>
      <c r="Q25" s="2">
        <v>2</v>
      </c>
      <c r="R25" s="2">
        <v>2</v>
      </c>
      <c r="S25" s="2">
        <v>0</v>
      </c>
      <c r="T25" s="2"/>
    </row>
    <row r="26" spans="1:20" x14ac:dyDescent="0.35">
      <c r="A26" s="2" t="s">
        <v>20</v>
      </c>
      <c r="B26" s="2" t="s">
        <v>21</v>
      </c>
      <c r="C26" s="2" t="s">
        <v>58</v>
      </c>
      <c r="D26" s="2">
        <v>8</v>
      </c>
      <c r="E26" s="2" t="s">
        <v>59</v>
      </c>
      <c r="F26" s="2" t="s">
        <v>84</v>
      </c>
      <c r="G26" s="2"/>
      <c r="H26" s="2" t="s">
        <v>37</v>
      </c>
      <c r="I26" s="2" t="s">
        <v>38</v>
      </c>
      <c r="J26" s="2">
        <v>3</v>
      </c>
      <c r="K26" s="2" t="s">
        <v>67</v>
      </c>
      <c r="L26" s="2"/>
      <c r="M26" s="2"/>
      <c r="N26" s="2">
        <v>3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/>
    </row>
    <row r="27" spans="1:20" x14ac:dyDescent="0.35">
      <c r="A27" s="2" t="s">
        <v>20</v>
      </c>
      <c r="B27" s="2" t="s">
        <v>21</v>
      </c>
      <c r="C27" s="2" t="s">
        <v>58</v>
      </c>
      <c r="D27" s="2">
        <v>9</v>
      </c>
      <c r="E27" s="2" t="s">
        <v>59</v>
      </c>
      <c r="F27" s="2" t="s">
        <v>85</v>
      </c>
      <c r="G27" s="2"/>
      <c r="H27" s="2" t="s">
        <v>37</v>
      </c>
      <c r="I27" s="2" t="s">
        <v>38</v>
      </c>
      <c r="J27" s="2">
        <v>3</v>
      </c>
      <c r="K27" s="2" t="s">
        <v>67</v>
      </c>
      <c r="L27" s="2"/>
      <c r="M27" s="2"/>
      <c r="N27" s="2">
        <v>3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/>
    </row>
    <row r="28" spans="1:20" x14ac:dyDescent="0.35">
      <c r="A28" s="2" t="s">
        <v>20</v>
      </c>
      <c r="B28" s="2" t="s">
        <v>21</v>
      </c>
      <c r="C28" s="2" t="s">
        <v>58</v>
      </c>
      <c r="D28" s="2">
        <v>10</v>
      </c>
      <c r="E28" s="2" t="s">
        <v>59</v>
      </c>
      <c r="F28" s="2" t="s">
        <v>86</v>
      </c>
      <c r="G28" s="2"/>
      <c r="H28" s="2" t="s">
        <v>87</v>
      </c>
      <c r="I28" s="2" t="s">
        <v>88</v>
      </c>
      <c r="J28" s="2">
        <v>22.62</v>
      </c>
      <c r="K28" s="2" t="s">
        <v>63</v>
      </c>
      <c r="L28" s="2"/>
      <c r="M28" s="2"/>
      <c r="N28" s="2">
        <f>'Weaving Back-Up'!F10</f>
        <v>30</v>
      </c>
      <c r="O28" s="2">
        <v>0</v>
      </c>
      <c r="P28" s="2">
        <v>10</v>
      </c>
      <c r="Q28" s="2">
        <v>10</v>
      </c>
      <c r="R28" s="2">
        <v>10</v>
      </c>
      <c r="S28" s="2">
        <v>0</v>
      </c>
      <c r="T28" s="2"/>
    </row>
    <row r="29" spans="1:20" x14ac:dyDescent="0.35">
      <c r="A29" s="2" t="s">
        <v>20</v>
      </c>
      <c r="B29" s="2" t="s">
        <v>21</v>
      </c>
      <c r="C29" s="2" t="s">
        <v>58</v>
      </c>
      <c r="D29" s="2">
        <v>11</v>
      </c>
      <c r="E29" s="2" t="s">
        <v>59</v>
      </c>
      <c r="F29" s="2" t="s">
        <v>89</v>
      </c>
      <c r="G29" s="2"/>
      <c r="H29" s="2" t="s">
        <v>90</v>
      </c>
      <c r="I29" s="2" t="s">
        <v>91</v>
      </c>
      <c r="J29" s="2">
        <v>17</v>
      </c>
      <c r="K29" s="2" t="s">
        <v>67</v>
      </c>
      <c r="L29" s="2"/>
      <c r="M29" s="2"/>
      <c r="N29" s="2">
        <v>17</v>
      </c>
      <c r="O29" s="2">
        <v>0</v>
      </c>
      <c r="P29" s="2">
        <v>6</v>
      </c>
      <c r="Q29" s="2">
        <v>6</v>
      </c>
      <c r="R29" s="2">
        <v>5</v>
      </c>
      <c r="S29" s="2">
        <v>0</v>
      </c>
      <c r="T29" s="2"/>
    </row>
    <row r="30" spans="1:20" x14ac:dyDescent="0.35">
      <c r="A30" s="2" t="s">
        <v>20</v>
      </c>
      <c r="B30" s="2" t="s">
        <v>21</v>
      </c>
      <c r="C30" s="2" t="s">
        <v>58</v>
      </c>
      <c r="D30" s="2">
        <v>12</v>
      </c>
      <c r="E30" s="2" t="s">
        <v>59</v>
      </c>
      <c r="F30" s="2" t="s">
        <v>89</v>
      </c>
      <c r="G30" s="2"/>
      <c r="H30" s="2" t="s">
        <v>92</v>
      </c>
      <c r="I30" s="2" t="s">
        <v>38</v>
      </c>
      <c r="J30" s="2">
        <v>3</v>
      </c>
      <c r="K30" s="2" t="s">
        <v>67</v>
      </c>
      <c r="L30" s="2"/>
      <c r="M30" s="2"/>
      <c r="N30" s="2">
        <v>3</v>
      </c>
      <c r="O30" s="2">
        <v>0</v>
      </c>
      <c r="P30" s="2">
        <v>1</v>
      </c>
      <c r="Q30" s="2">
        <v>1</v>
      </c>
      <c r="R30" s="2">
        <v>1</v>
      </c>
      <c r="S30" s="2">
        <v>0</v>
      </c>
      <c r="T30" s="2"/>
    </row>
    <row r="31" spans="1:20" x14ac:dyDescent="0.35">
      <c r="A31" s="2" t="s">
        <v>20</v>
      </c>
      <c r="B31" s="2" t="s">
        <v>21</v>
      </c>
      <c r="C31" s="2" t="s">
        <v>58</v>
      </c>
      <c r="D31" s="2">
        <v>13</v>
      </c>
      <c r="E31" s="2" t="s">
        <v>59</v>
      </c>
      <c r="F31" s="2" t="s">
        <v>93</v>
      </c>
      <c r="G31" s="2"/>
      <c r="H31" s="2" t="s">
        <v>94</v>
      </c>
      <c r="I31" s="2" t="s">
        <v>95</v>
      </c>
      <c r="J31" s="2">
        <v>19.39</v>
      </c>
      <c r="K31" s="2" t="s">
        <v>63</v>
      </c>
      <c r="L31" s="2"/>
      <c r="M31" s="2"/>
      <c r="N31" s="2">
        <v>21</v>
      </c>
      <c r="O31" s="2">
        <v>0</v>
      </c>
      <c r="P31" s="2">
        <v>7</v>
      </c>
      <c r="Q31" s="2">
        <v>7</v>
      </c>
      <c r="R31" s="2">
        <v>7</v>
      </c>
      <c r="S31" s="2">
        <v>0</v>
      </c>
      <c r="T31" s="2"/>
    </row>
    <row r="32" spans="1:20" x14ac:dyDescent="0.35">
      <c r="A32" s="2" t="s">
        <v>20</v>
      </c>
      <c r="B32" s="2" t="s">
        <v>21</v>
      </c>
      <c r="C32" s="2" t="s">
        <v>58</v>
      </c>
      <c r="D32" s="2">
        <v>14</v>
      </c>
      <c r="E32" s="2" t="s">
        <v>59</v>
      </c>
      <c r="F32" s="2" t="s">
        <v>96</v>
      </c>
      <c r="G32" s="2"/>
      <c r="H32" s="2" t="s">
        <v>97</v>
      </c>
      <c r="I32" s="2" t="s">
        <v>47</v>
      </c>
      <c r="J32" s="2">
        <v>9</v>
      </c>
      <c r="K32" s="2" t="s">
        <v>67</v>
      </c>
      <c r="L32" s="2"/>
      <c r="M32" s="2"/>
      <c r="N32" s="2">
        <v>9</v>
      </c>
      <c r="O32" s="2">
        <v>0</v>
      </c>
      <c r="P32" s="2">
        <v>3</v>
      </c>
      <c r="Q32" s="2">
        <v>3</v>
      </c>
      <c r="R32" s="2">
        <v>3</v>
      </c>
      <c r="S32" s="2">
        <v>0</v>
      </c>
      <c r="T32" s="2"/>
    </row>
    <row r="33" spans="1:20" x14ac:dyDescent="0.35">
      <c r="A33" s="2" t="s">
        <v>20</v>
      </c>
      <c r="B33" s="2" t="s">
        <v>21</v>
      </c>
      <c r="C33" s="2" t="s">
        <v>58</v>
      </c>
      <c r="D33" s="2">
        <v>15</v>
      </c>
      <c r="E33" s="2" t="s">
        <v>59</v>
      </c>
      <c r="F33" s="2" t="s">
        <v>54</v>
      </c>
      <c r="G33" s="2"/>
      <c r="H33" s="2" t="s">
        <v>37</v>
      </c>
      <c r="I33" s="2" t="s">
        <v>38</v>
      </c>
      <c r="J33" s="2">
        <v>3</v>
      </c>
      <c r="K33" s="2" t="s">
        <v>67</v>
      </c>
      <c r="L33" s="2"/>
      <c r="M33" s="2"/>
      <c r="N33" s="2">
        <v>3</v>
      </c>
      <c r="O33" s="2">
        <v>0</v>
      </c>
      <c r="P33" s="2">
        <v>1</v>
      </c>
      <c r="Q33" s="2">
        <v>1</v>
      </c>
      <c r="R33" s="2">
        <v>1</v>
      </c>
      <c r="S33" s="2">
        <v>0</v>
      </c>
      <c r="T33" s="2"/>
    </row>
    <row r="34" spans="1:20" x14ac:dyDescent="0.35">
      <c r="A34" s="2" t="s">
        <v>20</v>
      </c>
      <c r="B34" s="2" t="s">
        <v>21</v>
      </c>
      <c r="C34" s="2" t="s">
        <v>98</v>
      </c>
      <c r="D34" s="2">
        <v>1</v>
      </c>
      <c r="E34" s="2"/>
      <c r="F34" s="2" t="s">
        <v>99</v>
      </c>
      <c r="G34" s="2">
        <v>7</v>
      </c>
      <c r="H34" s="2" t="s">
        <v>33</v>
      </c>
      <c r="I34" s="2" t="s">
        <v>100</v>
      </c>
      <c r="J34" s="2">
        <v>21</v>
      </c>
      <c r="K34" s="2" t="s">
        <v>63</v>
      </c>
      <c r="L34" s="2"/>
      <c r="M34" s="2"/>
      <c r="N34" s="2">
        <v>21</v>
      </c>
      <c r="O34" s="2">
        <v>0</v>
      </c>
      <c r="P34" s="2">
        <v>7</v>
      </c>
      <c r="Q34" s="2">
        <v>7</v>
      </c>
      <c r="R34" s="2">
        <v>7</v>
      </c>
      <c r="S34" s="2">
        <v>0</v>
      </c>
      <c r="T34" s="2"/>
    </row>
    <row r="35" spans="1:20" x14ac:dyDescent="0.35">
      <c r="A35" s="2" t="s">
        <v>20</v>
      </c>
      <c r="B35" s="2" t="s">
        <v>21</v>
      </c>
      <c r="C35" s="2" t="s">
        <v>98</v>
      </c>
      <c r="D35" s="2">
        <v>2</v>
      </c>
      <c r="E35" s="2"/>
      <c r="F35" s="2" t="s">
        <v>101</v>
      </c>
      <c r="G35" s="2">
        <v>7</v>
      </c>
      <c r="H35" s="2" t="s">
        <v>33</v>
      </c>
      <c r="I35" s="2" t="s">
        <v>100</v>
      </c>
      <c r="J35" s="2">
        <v>21</v>
      </c>
      <c r="K35" s="2" t="s">
        <v>63</v>
      </c>
      <c r="L35" s="2"/>
      <c r="M35" s="2"/>
      <c r="N35" s="2">
        <v>21</v>
      </c>
      <c r="O35" s="2">
        <v>0</v>
      </c>
      <c r="P35" s="2">
        <v>7</v>
      </c>
      <c r="Q35" s="2">
        <v>7</v>
      </c>
      <c r="R35" s="2">
        <v>7</v>
      </c>
      <c r="S35" s="2">
        <v>0</v>
      </c>
      <c r="T35" s="2"/>
    </row>
    <row r="36" spans="1:20" x14ac:dyDescent="0.35">
      <c r="A36" s="2" t="s">
        <v>20</v>
      </c>
      <c r="B36" s="2" t="s">
        <v>21</v>
      </c>
      <c r="C36" s="2" t="s">
        <v>98</v>
      </c>
      <c r="D36" s="2">
        <v>3</v>
      </c>
      <c r="E36" s="2"/>
      <c r="F36" s="2" t="s">
        <v>102</v>
      </c>
      <c r="G36" s="2">
        <v>2</v>
      </c>
      <c r="H36" s="2" t="s">
        <v>103</v>
      </c>
      <c r="I36" s="2" t="s">
        <v>38</v>
      </c>
      <c r="J36" s="2">
        <v>3</v>
      </c>
      <c r="K36" s="2" t="s">
        <v>63</v>
      </c>
      <c r="L36" s="2"/>
      <c r="M36" s="2"/>
      <c r="N36" s="2">
        <v>3</v>
      </c>
      <c r="O36" s="2">
        <v>0</v>
      </c>
      <c r="P36" s="2">
        <v>1</v>
      </c>
      <c r="Q36" s="2">
        <v>1</v>
      </c>
      <c r="R36" s="2">
        <v>1</v>
      </c>
      <c r="S36" s="2">
        <v>0</v>
      </c>
      <c r="T36" s="2"/>
    </row>
    <row r="37" spans="1:20" x14ac:dyDescent="0.35">
      <c r="A37" s="2" t="s">
        <v>20</v>
      </c>
      <c r="B37" s="2" t="s">
        <v>21</v>
      </c>
      <c r="C37" s="2" t="s">
        <v>98</v>
      </c>
      <c r="D37" s="2">
        <v>4</v>
      </c>
      <c r="E37" s="2"/>
      <c r="F37" s="2" t="s">
        <v>104</v>
      </c>
      <c r="G37" s="2">
        <v>1</v>
      </c>
      <c r="H37" s="2" t="s">
        <v>33</v>
      </c>
      <c r="I37" s="2" t="s">
        <v>38</v>
      </c>
      <c r="J37" s="2">
        <v>3</v>
      </c>
      <c r="K37" s="2" t="s">
        <v>63</v>
      </c>
      <c r="L37" s="2"/>
      <c r="M37" s="2"/>
      <c r="N37" s="2">
        <v>3</v>
      </c>
      <c r="O37" s="2">
        <v>0</v>
      </c>
      <c r="P37" s="2">
        <v>1</v>
      </c>
      <c r="Q37" s="2">
        <v>1</v>
      </c>
      <c r="R37" s="2">
        <v>1</v>
      </c>
      <c r="S37" s="2">
        <v>0</v>
      </c>
      <c r="T37" s="2"/>
    </row>
    <row r="38" spans="1:20" x14ac:dyDescent="0.35">
      <c r="A38" s="2" t="s">
        <v>20</v>
      </c>
      <c r="B38" s="2" t="s">
        <v>21</v>
      </c>
      <c r="C38" s="2" t="s">
        <v>98</v>
      </c>
      <c r="D38" s="2">
        <v>5</v>
      </c>
      <c r="E38" s="2"/>
      <c r="F38" s="2" t="s">
        <v>105</v>
      </c>
      <c r="G38" s="2"/>
      <c r="H38" s="2" t="s">
        <v>106</v>
      </c>
      <c r="I38" s="2" t="s">
        <v>47</v>
      </c>
      <c r="J38" s="2">
        <v>9</v>
      </c>
      <c r="K38" s="2" t="s">
        <v>67</v>
      </c>
      <c r="L38" s="2"/>
      <c r="M38" s="2"/>
      <c r="N38" s="2">
        <v>9</v>
      </c>
      <c r="O38" s="2">
        <v>0</v>
      </c>
      <c r="P38" s="2">
        <v>3</v>
      </c>
      <c r="Q38" s="2">
        <v>3</v>
      </c>
      <c r="R38" s="2">
        <v>3</v>
      </c>
      <c r="S38" s="2">
        <v>0</v>
      </c>
      <c r="T38" s="2"/>
    </row>
    <row r="39" spans="1:20" x14ac:dyDescent="0.35">
      <c r="A39" s="2" t="s">
        <v>20</v>
      </c>
      <c r="B39" s="2" t="s">
        <v>21</v>
      </c>
      <c r="C39" s="2" t="s">
        <v>98</v>
      </c>
      <c r="D39" s="2">
        <v>6</v>
      </c>
      <c r="E39" s="2"/>
      <c r="F39" s="2" t="s">
        <v>107</v>
      </c>
      <c r="G39" s="2">
        <v>1</v>
      </c>
      <c r="H39" s="2" t="s">
        <v>33</v>
      </c>
      <c r="I39" s="2" t="s">
        <v>38</v>
      </c>
      <c r="J39" s="2">
        <v>3</v>
      </c>
      <c r="K39" s="2" t="s">
        <v>63</v>
      </c>
      <c r="L39" s="2"/>
      <c r="M39" s="2"/>
      <c r="N39" s="2">
        <v>3</v>
      </c>
      <c r="O39" s="2">
        <v>0</v>
      </c>
      <c r="P39" s="2">
        <v>1</v>
      </c>
      <c r="Q39" s="2">
        <v>1</v>
      </c>
      <c r="R39" s="2">
        <v>1</v>
      </c>
      <c r="S39" s="2">
        <v>0</v>
      </c>
      <c r="T39" s="2"/>
    </row>
    <row r="40" spans="1:20" x14ac:dyDescent="0.35">
      <c r="A40" s="2" t="s">
        <v>20</v>
      </c>
      <c r="B40" s="2" t="s">
        <v>21</v>
      </c>
      <c r="C40" s="2" t="s">
        <v>98</v>
      </c>
      <c r="D40" s="2">
        <v>7</v>
      </c>
      <c r="E40" s="2"/>
      <c r="F40" s="2" t="s">
        <v>108</v>
      </c>
      <c r="G40" s="2"/>
      <c r="H40" s="2" t="s">
        <v>37</v>
      </c>
      <c r="I40" s="2" t="s">
        <v>38</v>
      </c>
      <c r="J40" s="2">
        <v>3</v>
      </c>
      <c r="K40" s="2" t="s">
        <v>67</v>
      </c>
      <c r="L40" s="2"/>
      <c r="M40" s="2"/>
      <c r="N40" s="2">
        <v>3</v>
      </c>
      <c r="O40" s="2">
        <v>0</v>
      </c>
      <c r="P40" s="2">
        <v>1</v>
      </c>
      <c r="Q40" s="2">
        <v>1</v>
      </c>
      <c r="R40" s="2">
        <v>1</v>
      </c>
      <c r="S40" s="2">
        <v>0</v>
      </c>
      <c r="T40" s="2"/>
    </row>
    <row r="41" spans="1:20" x14ac:dyDescent="0.35">
      <c r="A41" s="2" t="s">
        <v>20</v>
      </c>
      <c r="B41" s="2" t="s">
        <v>21</v>
      </c>
      <c r="C41" s="2" t="s">
        <v>98</v>
      </c>
      <c r="D41" s="2">
        <v>8</v>
      </c>
      <c r="E41" s="2"/>
      <c r="F41" s="2" t="s">
        <v>109</v>
      </c>
      <c r="G41" s="2"/>
      <c r="H41" s="2" t="s">
        <v>110</v>
      </c>
      <c r="I41" s="2" t="s">
        <v>38</v>
      </c>
      <c r="J41" s="2">
        <v>3</v>
      </c>
      <c r="K41" s="2" t="s">
        <v>67</v>
      </c>
      <c r="L41" s="2"/>
      <c r="M41" s="2"/>
      <c r="N41" s="2">
        <v>3</v>
      </c>
      <c r="O41" s="2">
        <v>0</v>
      </c>
      <c r="P41" s="2">
        <v>1</v>
      </c>
      <c r="Q41" s="2">
        <v>1</v>
      </c>
      <c r="R41" s="2">
        <v>1</v>
      </c>
      <c r="S41" s="2">
        <v>0</v>
      </c>
      <c r="T41" s="2"/>
    </row>
    <row r="42" spans="1:20" x14ac:dyDescent="0.35">
      <c r="A42" s="2" t="s">
        <v>20</v>
      </c>
      <c r="B42" s="2" t="s">
        <v>21</v>
      </c>
      <c r="C42" s="2" t="s">
        <v>98</v>
      </c>
      <c r="D42" s="2">
        <v>9</v>
      </c>
      <c r="E42" s="2"/>
      <c r="F42" s="2" t="s">
        <v>111</v>
      </c>
      <c r="G42" s="2"/>
      <c r="H42" s="2" t="s">
        <v>110</v>
      </c>
      <c r="I42" s="2" t="s">
        <v>38</v>
      </c>
      <c r="J42" s="2">
        <v>3</v>
      </c>
      <c r="K42" s="2" t="s">
        <v>67</v>
      </c>
      <c r="L42" s="2"/>
      <c r="M42" s="2"/>
      <c r="N42" s="2">
        <v>3</v>
      </c>
      <c r="O42" s="2">
        <v>0</v>
      </c>
      <c r="P42" s="2">
        <v>1</v>
      </c>
      <c r="Q42" s="2">
        <v>1</v>
      </c>
      <c r="R42" s="2">
        <v>1</v>
      </c>
      <c r="S42" s="2">
        <v>0</v>
      </c>
      <c r="T42" s="2"/>
    </row>
    <row r="43" spans="1:20" x14ac:dyDescent="0.35">
      <c r="A43" s="2" t="s">
        <v>20</v>
      </c>
      <c r="B43" s="2" t="s">
        <v>21</v>
      </c>
      <c r="C43" s="2" t="s">
        <v>98</v>
      </c>
      <c r="D43" s="2">
        <v>10</v>
      </c>
      <c r="E43" s="2"/>
      <c r="F43" s="2" t="s">
        <v>112</v>
      </c>
      <c r="G43" s="2"/>
      <c r="H43" s="2" t="s">
        <v>113</v>
      </c>
      <c r="I43" s="2" t="s">
        <v>83</v>
      </c>
      <c r="J43" s="2">
        <v>6</v>
      </c>
      <c r="K43" s="2" t="s">
        <v>67</v>
      </c>
      <c r="L43" s="2"/>
      <c r="M43" s="2"/>
      <c r="N43" s="2">
        <v>6</v>
      </c>
      <c r="O43" s="2">
        <v>0</v>
      </c>
      <c r="P43" s="2">
        <v>2</v>
      </c>
      <c r="Q43" s="2">
        <v>2</v>
      </c>
      <c r="R43" s="2">
        <v>2</v>
      </c>
      <c r="S43" s="2">
        <v>0</v>
      </c>
      <c r="T43" s="2"/>
    </row>
    <row r="44" spans="1:20" x14ac:dyDescent="0.35">
      <c r="A44" s="2" t="s">
        <v>20</v>
      </c>
      <c r="B44" s="2" t="s">
        <v>21</v>
      </c>
      <c r="C44" s="2" t="s">
        <v>98</v>
      </c>
      <c r="D44" s="2">
        <v>11</v>
      </c>
      <c r="E44" s="2"/>
      <c r="F44" s="2" t="s">
        <v>114</v>
      </c>
      <c r="G44" s="2"/>
      <c r="H44" s="2"/>
      <c r="I44" s="2" t="s">
        <v>115</v>
      </c>
      <c r="J44" s="2">
        <v>24</v>
      </c>
      <c r="K44" s="2" t="s">
        <v>67</v>
      </c>
      <c r="L44" s="2"/>
      <c r="M44" s="2"/>
      <c r="N44" s="2">
        <v>24</v>
      </c>
      <c r="O44" s="2">
        <v>0</v>
      </c>
      <c r="P44" s="2">
        <v>8</v>
      </c>
      <c r="Q44" s="2">
        <v>8</v>
      </c>
      <c r="R44" s="2">
        <v>8</v>
      </c>
      <c r="S44" s="2">
        <v>0</v>
      </c>
      <c r="T44" s="2"/>
    </row>
    <row r="45" spans="1:20" x14ac:dyDescent="0.35">
      <c r="A45" s="2" t="s">
        <v>20</v>
      </c>
      <c r="B45" s="2" t="s">
        <v>21</v>
      </c>
      <c r="C45" s="2" t="s">
        <v>116</v>
      </c>
      <c r="D45" s="2">
        <v>1</v>
      </c>
      <c r="E45" s="2" t="s">
        <v>117</v>
      </c>
      <c r="F45" s="2" t="s">
        <v>118</v>
      </c>
      <c r="G45" s="2">
        <v>1</v>
      </c>
      <c r="H45" s="2" t="s">
        <v>37</v>
      </c>
      <c r="I45" s="2" t="s">
        <v>38</v>
      </c>
      <c r="J45" s="2">
        <v>3</v>
      </c>
      <c r="K45" s="2" t="s">
        <v>67</v>
      </c>
      <c r="L45" s="2"/>
      <c r="M45" s="2"/>
      <c r="N45" s="2">
        <v>3</v>
      </c>
      <c r="O45" s="2">
        <v>0</v>
      </c>
      <c r="P45" s="2">
        <v>1</v>
      </c>
      <c r="Q45" s="2">
        <v>1</v>
      </c>
      <c r="R45" s="2">
        <v>1</v>
      </c>
      <c r="S45" s="2">
        <v>0</v>
      </c>
      <c r="T45" s="2"/>
    </row>
    <row r="46" spans="1:20" x14ac:dyDescent="0.35">
      <c r="A46" s="2" t="s">
        <v>20</v>
      </c>
      <c r="B46" s="2" t="s">
        <v>21</v>
      </c>
      <c r="C46" s="2" t="s">
        <v>116</v>
      </c>
      <c r="D46" s="2">
        <v>2</v>
      </c>
      <c r="E46" s="2" t="s">
        <v>117</v>
      </c>
      <c r="F46" s="2" t="s">
        <v>119</v>
      </c>
      <c r="G46" s="2">
        <v>2</v>
      </c>
      <c r="H46" s="2" t="s">
        <v>82</v>
      </c>
      <c r="I46" s="2" t="s">
        <v>83</v>
      </c>
      <c r="J46" s="2">
        <v>6</v>
      </c>
      <c r="K46" s="2" t="s">
        <v>67</v>
      </c>
      <c r="L46" s="2"/>
      <c r="M46" s="2"/>
      <c r="N46" s="2">
        <v>6</v>
      </c>
      <c r="O46" s="2">
        <v>0</v>
      </c>
      <c r="P46" s="2">
        <v>2</v>
      </c>
      <c r="Q46" s="2">
        <v>2</v>
      </c>
      <c r="R46" s="2">
        <v>2</v>
      </c>
      <c r="S46" s="2">
        <v>0</v>
      </c>
      <c r="T46" s="2"/>
    </row>
    <row r="47" spans="1:20" x14ac:dyDescent="0.35">
      <c r="A47" s="2" t="s">
        <v>20</v>
      </c>
      <c r="B47" s="2" t="s">
        <v>21</v>
      </c>
      <c r="C47" s="2" t="s">
        <v>116</v>
      </c>
      <c r="D47" s="2">
        <v>3</v>
      </c>
      <c r="E47" s="2" t="s">
        <v>117</v>
      </c>
      <c r="F47" s="2" t="s">
        <v>120</v>
      </c>
      <c r="G47" s="2">
        <v>37</v>
      </c>
      <c r="H47" s="2" t="s">
        <v>121</v>
      </c>
      <c r="I47" s="2" t="s">
        <v>122</v>
      </c>
      <c r="J47" s="2">
        <v>57</v>
      </c>
      <c r="K47" s="2" t="s">
        <v>63</v>
      </c>
      <c r="L47" s="2"/>
      <c r="M47" s="2"/>
      <c r="N47" s="2">
        <v>57</v>
      </c>
      <c r="O47" s="2">
        <v>0</v>
      </c>
      <c r="P47" s="2">
        <v>19</v>
      </c>
      <c r="Q47" s="2">
        <v>19</v>
      </c>
      <c r="R47" s="2">
        <v>19</v>
      </c>
      <c r="S47" s="2">
        <v>0</v>
      </c>
      <c r="T47" s="2" t="s">
        <v>123</v>
      </c>
    </row>
    <row r="48" spans="1:20" x14ac:dyDescent="0.35">
      <c r="A48" s="2" t="s">
        <v>20</v>
      </c>
      <c r="B48" s="2" t="s">
        <v>21</v>
      </c>
      <c r="C48" s="2" t="s">
        <v>116</v>
      </c>
      <c r="D48" s="2">
        <v>4</v>
      </c>
      <c r="E48" s="2" t="s">
        <v>117</v>
      </c>
      <c r="F48" s="2" t="s">
        <v>124</v>
      </c>
      <c r="G48" s="2"/>
      <c r="H48" s="2"/>
      <c r="I48" s="2"/>
      <c r="J48" s="2">
        <v>0</v>
      </c>
      <c r="K48" s="2" t="s">
        <v>67</v>
      </c>
      <c r="L48" s="2"/>
      <c r="M48" s="2"/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/>
    </row>
    <row r="49" spans="1:20" x14ac:dyDescent="0.35">
      <c r="A49" s="2" t="s">
        <v>20</v>
      </c>
      <c r="B49" s="2" t="s">
        <v>21</v>
      </c>
      <c r="C49" s="2" t="s">
        <v>116</v>
      </c>
      <c r="D49" s="2">
        <v>5</v>
      </c>
      <c r="E49" s="2" t="s">
        <v>117</v>
      </c>
      <c r="F49" s="2" t="s">
        <v>125</v>
      </c>
      <c r="G49" s="2"/>
      <c r="H49" s="2" t="s">
        <v>37</v>
      </c>
      <c r="I49" s="2" t="s">
        <v>38</v>
      </c>
      <c r="J49" s="2">
        <v>3</v>
      </c>
      <c r="K49" s="2" t="s">
        <v>67</v>
      </c>
      <c r="L49" s="2"/>
      <c r="M49" s="2"/>
      <c r="N49" s="2">
        <v>3</v>
      </c>
      <c r="O49" s="2">
        <v>0</v>
      </c>
      <c r="P49" s="2">
        <v>1</v>
      </c>
      <c r="Q49" s="2">
        <v>1</v>
      </c>
      <c r="R49" s="2">
        <v>1</v>
      </c>
      <c r="S49" s="2">
        <v>0</v>
      </c>
      <c r="T49" s="2"/>
    </row>
    <row r="50" spans="1:20" x14ac:dyDescent="0.35">
      <c r="A50" s="2" t="s">
        <v>20</v>
      </c>
      <c r="B50" s="2" t="s">
        <v>21</v>
      </c>
      <c r="C50" s="2" t="s">
        <v>116</v>
      </c>
      <c r="D50" s="2">
        <v>6</v>
      </c>
      <c r="E50" s="2" t="s">
        <v>117</v>
      </c>
      <c r="F50" s="2" t="s">
        <v>126</v>
      </c>
      <c r="G50" s="2"/>
      <c r="H50" s="2" t="s">
        <v>127</v>
      </c>
      <c r="I50" s="2" t="s">
        <v>83</v>
      </c>
      <c r="J50" s="2">
        <v>6</v>
      </c>
      <c r="K50" s="2" t="s">
        <v>67</v>
      </c>
      <c r="L50" s="2"/>
      <c r="M50" s="2"/>
      <c r="N50" s="2">
        <v>6</v>
      </c>
      <c r="O50" s="2">
        <v>0</v>
      </c>
      <c r="P50" s="2">
        <v>2</v>
      </c>
      <c r="Q50" s="2">
        <v>2</v>
      </c>
      <c r="R50" s="2">
        <v>2</v>
      </c>
      <c r="S50" s="2">
        <v>0</v>
      </c>
      <c r="T50" s="2"/>
    </row>
    <row r="51" spans="1:20" x14ac:dyDescent="0.35">
      <c r="A51" s="2" t="s">
        <v>20</v>
      </c>
      <c r="B51" s="2" t="s">
        <v>21</v>
      </c>
      <c r="C51" s="2" t="s">
        <v>116</v>
      </c>
      <c r="D51" s="2">
        <v>7</v>
      </c>
      <c r="E51" s="2" t="s">
        <v>117</v>
      </c>
      <c r="F51" s="2" t="s">
        <v>128</v>
      </c>
      <c r="G51" s="2"/>
      <c r="H51" s="2" t="s">
        <v>37</v>
      </c>
      <c r="I51" s="2" t="s">
        <v>38</v>
      </c>
      <c r="J51" s="2">
        <v>3</v>
      </c>
      <c r="K51" s="2" t="s">
        <v>67</v>
      </c>
      <c r="L51" s="2"/>
      <c r="M51" s="2"/>
      <c r="N51" s="2">
        <v>3</v>
      </c>
      <c r="O51" s="2">
        <v>0</v>
      </c>
      <c r="P51" s="2">
        <v>1</v>
      </c>
      <c r="Q51" s="2">
        <v>1</v>
      </c>
      <c r="R51" s="2">
        <v>1</v>
      </c>
      <c r="S51" s="2">
        <v>0</v>
      </c>
      <c r="T51" s="2"/>
    </row>
    <row r="52" spans="1:20" x14ac:dyDescent="0.35">
      <c r="A52" s="2" t="s">
        <v>20</v>
      </c>
      <c r="B52" s="2" t="s">
        <v>21</v>
      </c>
      <c r="C52" s="2" t="s">
        <v>116</v>
      </c>
      <c r="D52" s="2">
        <v>8</v>
      </c>
      <c r="E52" s="2" t="s">
        <v>117</v>
      </c>
      <c r="F52" s="2" t="s">
        <v>129</v>
      </c>
      <c r="G52" s="2"/>
      <c r="H52" s="2" t="s">
        <v>37</v>
      </c>
      <c r="I52" s="2" t="s">
        <v>38</v>
      </c>
      <c r="J52" s="2">
        <v>3</v>
      </c>
      <c r="K52" s="2" t="s">
        <v>67</v>
      </c>
      <c r="L52" s="2"/>
      <c r="M52" s="2"/>
      <c r="N52" s="2">
        <v>3</v>
      </c>
      <c r="O52" s="2">
        <v>0</v>
      </c>
      <c r="P52" s="2">
        <v>1</v>
      </c>
      <c r="Q52" s="2">
        <v>1</v>
      </c>
      <c r="R52" s="2">
        <v>1</v>
      </c>
      <c r="S52" s="2">
        <v>0</v>
      </c>
      <c r="T52" s="2"/>
    </row>
    <row r="53" spans="1:20" x14ac:dyDescent="0.35">
      <c r="A53" s="2" t="s">
        <v>20</v>
      </c>
      <c r="B53" s="2" t="s">
        <v>21</v>
      </c>
      <c r="C53" s="2" t="s">
        <v>116</v>
      </c>
      <c r="D53" s="2">
        <v>9</v>
      </c>
      <c r="E53" s="2" t="s">
        <v>117</v>
      </c>
      <c r="F53" s="2" t="s">
        <v>130</v>
      </c>
      <c r="G53" s="2"/>
      <c r="H53" s="2" t="s">
        <v>37</v>
      </c>
      <c r="I53" s="2" t="s">
        <v>38</v>
      </c>
      <c r="J53" s="2">
        <v>3</v>
      </c>
      <c r="K53" s="2" t="s">
        <v>67</v>
      </c>
      <c r="L53" s="2"/>
      <c r="M53" s="2"/>
      <c r="N53" s="2">
        <v>3</v>
      </c>
      <c r="O53" s="2">
        <v>0</v>
      </c>
      <c r="P53" s="2">
        <v>1</v>
      </c>
      <c r="Q53" s="2">
        <v>1</v>
      </c>
      <c r="R53" s="2">
        <v>1</v>
      </c>
      <c r="S53" s="2">
        <v>0</v>
      </c>
      <c r="T53" s="2"/>
    </row>
    <row r="54" spans="1:20" x14ac:dyDescent="0.35">
      <c r="A54" s="2" t="s">
        <v>20</v>
      </c>
      <c r="B54" s="2" t="s">
        <v>21</v>
      </c>
      <c r="C54" s="2" t="s">
        <v>131</v>
      </c>
      <c r="D54" s="2">
        <v>10</v>
      </c>
      <c r="E54" s="2" t="s">
        <v>131</v>
      </c>
      <c r="F54" s="2" t="s">
        <v>132</v>
      </c>
      <c r="G54" s="2"/>
      <c r="H54" s="2" t="s">
        <v>37</v>
      </c>
      <c r="I54" s="2" t="s">
        <v>38</v>
      </c>
      <c r="J54" s="2">
        <v>3</v>
      </c>
      <c r="K54" s="2" t="s">
        <v>67</v>
      </c>
      <c r="L54" s="2"/>
      <c r="M54" s="2"/>
      <c r="N54" s="2">
        <v>3</v>
      </c>
      <c r="O54" s="2">
        <v>0</v>
      </c>
      <c r="P54" s="2">
        <v>1</v>
      </c>
      <c r="Q54" s="2">
        <v>1</v>
      </c>
      <c r="R54" s="2">
        <v>1</v>
      </c>
      <c r="S54" s="2">
        <v>0</v>
      </c>
      <c r="T54" s="2"/>
    </row>
    <row r="55" spans="1:20" x14ac:dyDescent="0.35">
      <c r="A55" s="2" t="s">
        <v>20</v>
      </c>
      <c r="B55" s="2" t="s">
        <v>21</v>
      </c>
      <c r="C55" s="2" t="s">
        <v>131</v>
      </c>
      <c r="D55" s="2">
        <v>11</v>
      </c>
      <c r="E55" s="2" t="s">
        <v>131</v>
      </c>
      <c r="F55" s="2" t="s">
        <v>133</v>
      </c>
      <c r="G55" s="2">
        <v>16</v>
      </c>
      <c r="H55" s="2" t="s">
        <v>134</v>
      </c>
      <c r="I55" s="2" t="s">
        <v>135</v>
      </c>
      <c r="J55" s="2">
        <v>15</v>
      </c>
      <c r="K55" s="2" t="s">
        <v>63</v>
      </c>
      <c r="L55" s="2"/>
      <c r="M55" s="2"/>
      <c r="N55" s="2">
        <v>15</v>
      </c>
      <c r="O55" s="2">
        <v>0</v>
      </c>
      <c r="P55" s="2">
        <v>5</v>
      </c>
      <c r="Q55" s="2">
        <v>5</v>
      </c>
      <c r="R55" s="2">
        <v>5</v>
      </c>
      <c r="S55" s="2">
        <v>0</v>
      </c>
      <c r="T55" s="2"/>
    </row>
    <row r="56" spans="1:20" x14ac:dyDescent="0.35">
      <c r="A56" s="2" t="s">
        <v>20</v>
      </c>
      <c r="B56" s="2" t="s">
        <v>21</v>
      </c>
      <c r="C56" s="2" t="s">
        <v>131</v>
      </c>
      <c r="D56" s="2">
        <v>12</v>
      </c>
      <c r="E56" s="2" t="s">
        <v>131</v>
      </c>
      <c r="F56" s="2" t="s">
        <v>136</v>
      </c>
      <c r="G56" s="2"/>
      <c r="H56" s="2" t="s">
        <v>37</v>
      </c>
      <c r="I56" s="2" t="s">
        <v>38</v>
      </c>
      <c r="J56" s="2">
        <v>3</v>
      </c>
      <c r="K56" s="2" t="s">
        <v>67</v>
      </c>
      <c r="L56" s="2"/>
      <c r="M56" s="2"/>
      <c r="N56" s="2">
        <v>3</v>
      </c>
      <c r="O56" s="2">
        <v>0</v>
      </c>
      <c r="P56" s="2">
        <v>1</v>
      </c>
      <c r="Q56" s="2">
        <v>1</v>
      </c>
      <c r="R56" s="2">
        <v>1</v>
      </c>
      <c r="S56" s="2">
        <v>0</v>
      </c>
      <c r="T56" s="2"/>
    </row>
    <row r="57" spans="1:20" x14ac:dyDescent="0.35">
      <c r="A57" s="2" t="s">
        <v>20</v>
      </c>
      <c r="B57" s="2" t="s">
        <v>21</v>
      </c>
      <c r="C57" s="2" t="s">
        <v>137</v>
      </c>
      <c r="D57" s="2">
        <v>13</v>
      </c>
      <c r="E57" s="2" t="s">
        <v>138</v>
      </c>
      <c r="F57" s="2" t="s">
        <v>139</v>
      </c>
      <c r="G57" s="2"/>
      <c r="H57" s="2" t="s">
        <v>37</v>
      </c>
      <c r="I57" s="2" t="s">
        <v>38</v>
      </c>
      <c r="J57" s="2">
        <v>3</v>
      </c>
      <c r="K57" s="2" t="s">
        <v>67</v>
      </c>
      <c r="L57" s="2"/>
      <c r="M57" s="2"/>
      <c r="N57" s="2">
        <v>3</v>
      </c>
      <c r="O57" s="2">
        <v>0</v>
      </c>
      <c r="P57" s="2">
        <v>1</v>
      </c>
      <c r="Q57" s="2">
        <v>1</v>
      </c>
      <c r="R57" s="2">
        <v>1</v>
      </c>
      <c r="S57" s="2">
        <v>0</v>
      </c>
      <c r="T57" s="2"/>
    </row>
    <row r="58" spans="1:20" x14ac:dyDescent="0.35">
      <c r="A58" s="2" t="s">
        <v>20</v>
      </c>
      <c r="B58" s="2" t="s">
        <v>21</v>
      </c>
      <c r="C58" s="2" t="s">
        <v>137</v>
      </c>
      <c r="D58" s="2">
        <v>14</v>
      </c>
      <c r="E58" s="2" t="s">
        <v>138</v>
      </c>
      <c r="F58" s="2" t="s">
        <v>140</v>
      </c>
      <c r="G58" s="2"/>
      <c r="H58" s="2" t="s">
        <v>37</v>
      </c>
      <c r="I58" s="2" t="s">
        <v>38</v>
      </c>
      <c r="J58" s="2">
        <v>3</v>
      </c>
      <c r="K58" s="2" t="s">
        <v>67</v>
      </c>
      <c r="L58" s="2"/>
      <c r="M58" s="2"/>
      <c r="N58" s="2">
        <v>3</v>
      </c>
      <c r="O58" s="2">
        <v>0</v>
      </c>
      <c r="P58" s="2">
        <v>1</v>
      </c>
      <c r="Q58" s="2">
        <v>1</v>
      </c>
      <c r="R58" s="2">
        <v>1</v>
      </c>
      <c r="S58" s="2">
        <v>0</v>
      </c>
      <c r="T58" s="2"/>
    </row>
    <row r="59" spans="1:20" x14ac:dyDescent="0.35">
      <c r="A59" s="2" t="s">
        <v>20</v>
      </c>
      <c r="B59" s="2" t="s">
        <v>21</v>
      </c>
      <c r="C59" s="2" t="s">
        <v>137</v>
      </c>
      <c r="D59" s="2">
        <v>15</v>
      </c>
      <c r="E59" s="2" t="s">
        <v>138</v>
      </c>
      <c r="F59" s="2" t="s">
        <v>141</v>
      </c>
      <c r="G59" s="2"/>
      <c r="H59" s="2" t="s">
        <v>37</v>
      </c>
      <c r="I59" s="2" t="s">
        <v>38</v>
      </c>
      <c r="J59" s="2">
        <v>3</v>
      </c>
      <c r="K59" s="2" t="s">
        <v>67</v>
      </c>
      <c r="L59" s="2"/>
      <c r="M59" s="2"/>
      <c r="N59" s="2">
        <v>2</v>
      </c>
      <c r="O59" s="2">
        <v>0</v>
      </c>
      <c r="P59" s="2">
        <v>1</v>
      </c>
      <c r="Q59" s="2">
        <v>1</v>
      </c>
      <c r="R59" s="2">
        <v>0</v>
      </c>
      <c r="S59" s="2">
        <v>0</v>
      </c>
      <c r="T59" s="2" t="s">
        <v>142</v>
      </c>
    </row>
    <row r="60" spans="1:20" x14ac:dyDescent="0.35">
      <c r="A60" s="2" t="s">
        <v>20</v>
      </c>
      <c r="B60" s="2" t="s">
        <v>21</v>
      </c>
      <c r="C60" s="2" t="s">
        <v>143</v>
      </c>
      <c r="D60" s="2">
        <v>16</v>
      </c>
      <c r="E60" s="2" t="s">
        <v>144</v>
      </c>
      <c r="F60" s="2" t="s">
        <v>145</v>
      </c>
      <c r="G60" s="2"/>
      <c r="H60" s="2" t="s">
        <v>37</v>
      </c>
      <c r="I60" s="2" t="s">
        <v>38</v>
      </c>
      <c r="J60" s="2">
        <v>3</v>
      </c>
      <c r="K60" s="2" t="s">
        <v>67</v>
      </c>
      <c r="L60" s="2"/>
      <c r="M60" s="2"/>
      <c r="N60" s="2">
        <v>3</v>
      </c>
      <c r="O60" s="2">
        <v>0</v>
      </c>
      <c r="P60" s="2">
        <v>1</v>
      </c>
      <c r="Q60" s="2">
        <v>1</v>
      </c>
      <c r="R60" s="2">
        <v>1</v>
      </c>
      <c r="S60" s="2">
        <v>0</v>
      </c>
      <c r="T60" s="2"/>
    </row>
    <row r="61" spans="1:20" x14ac:dyDescent="0.35">
      <c r="A61" s="2" t="s">
        <v>20</v>
      </c>
      <c r="B61" s="2" t="s">
        <v>21</v>
      </c>
      <c r="C61" s="2" t="s">
        <v>143</v>
      </c>
      <c r="D61" s="2">
        <v>17</v>
      </c>
      <c r="E61" s="2" t="s">
        <v>144</v>
      </c>
      <c r="F61" s="2" t="s">
        <v>146</v>
      </c>
      <c r="G61" s="2">
        <v>6</v>
      </c>
      <c r="H61" s="2" t="s">
        <v>147</v>
      </c>
      <c r="I61" s="2" t="s">
        <v>148</v>
      </c>
      <c r="J61" s="2">
        <v>27</v>
      </c>
      <c r="K61" s="2" t="s">
        <v>63</v>
      </c>
      <c r="L61" s="2"/>
      <c r="M61" s="2"/>
      <c r="N61" s="2">
        <v>30</v>
      </c>
      <c r="O61" s="2">
        <v>0</v>
      </c>
      <c r="P61" s="2">
        <v>10</v>
      </c>
      <c r="Q61" s="2">
        <v>10</v>
      </c>
      <c r="R61" s="2">
        <v>10</v>
      </c>
      <c r="S61" s="2">
        <v>0</v>
      </c>
      <c r="T61" s="2" t="s">
        <v>71</v>
      </c>
    </row>
    <row r="62" spans="1:20" x14ac:dyDescent="0.35">
      <c r="A62" s="2" t="s">
        <v>20</v>
      </c>
      <c r="B62" s="2" t="s">
        <v>21</v>
      </c>
      <c r="C62" s="2" t="s">
        <v>143</v>
      </c>
      <c r="D62" s="2">
        <v>18</v>
      </c>
      <c r="E62" s="2" t="s">
        <v>144</v>
      </c>
      <c r="F62" s="2" t="s">
        <v>149</v>
      </c>
      <c r="G62" s="2"/>
      <c r="H62" s="2" t="s">
        <v>82</v>
      </c>
      <c r="I62" s="2" t="s">
        <v>83</v>
      </c>
      <c r="J62" s="2">
        <v>6</v>
      </c>
      <c r="K62" s="2" t="s">
        <v>67</v>
      </c>
      <c r="L62" s="2"/>
      <c r="M62" s="2"/>
      <c r="N62" s="2">
        <v>6</v>
      </c>
      <c r="O62" s="2">
        <v>0</v>
      </c>
      <c r="P62" s="2">
        <v>2</v>
      </c>
      <c r="Q62" s="2">
        <v>2</v>
      </c>
      <c r="R62" s="2">
        <v>2</v>
      </c>
      <c r="S62" s="2">
        <v>0</v>
      </c>
      <c r="T62" s="2"/>
    </row>
    <row r="63" spans="1:20" x14ac:dyDescent="0.35">
      <c r="A63" s="2" t="s">
        <v>20</v>
      </c>
      <c r="B63" s="2" t="s">
        <v>21</v>
      </c>
      <c r="C63" s="2" t="s">
        <v>150</v>
      </c>
      <c r="D63" s="2">
        <v>1</v>
      </c>
      <c r="E63" s="2" t="s">
        <v>151</v>
      </c>
      <c r="F63" s="2" t="s">
        <v>152</v>
      </c>
      <c r="G63" s="2"/>
      <c r="H63" s="2" t="s">
        <v>110</v>
      </c>
      <c r="I63" s="2" t="s">
        <v>38</v>
      </c>
      <c r="J63" s="2">
        <v>3</v>
      </c>
      <c r="K63" s="2" t="s">
        <v>67</v>
      </c>
      <c r="L63" s="2"/>
      <c r="M63" s="2"/>
      <c r="N63" s="2">
        <v>3</v>
      </c>
      <c r="O63" s="2">
        <v>0</v>
      </c>
      <c r="P63" s="2">
        <v>1</v>
      </c>
      <c r="Q63" s="2">
        <v>1</v>
      </c>
      <c r="R63" s="2">
        <v>1</v>
      </c>
      <c r="S63" s="2">
        <v>0</v>
      </c>
      <c r="T63" s="2"/>
    </row>
    <row r="64" spans="1:20" x14ac:dyDescent="0.35">
      <c r="A64" s="2" t="s">
        <v>20</v>
      </c>
      <c r="B64" s="2" t="s">
        <v>21</v>
      </c>
      <c r="C64" s="2" t="s">
        <v>150</v>
      </c>
      <c r="D64" s="2">
        <v>2</v>
      </c>
      <c r="E64" s="2" t="s">
        <v>151</v>
      </c>
      <c r="F64" s="2" t="s">
        <v>153</v>
      </c>
      <c r="G64" s="2"/>
      <c r="H64" s="2" t="s">
        <v>37</v>
      </c>
      <c r="I64" s="2" t="s">
        <v>38</v>
      </c>
      <c r="J64" s="2">
        <v>3</v>
      </c>
      <c r="K64" s="2" t="s">
        <v>67</v>
      </c>
      <c r="L64" s="2"/>
      <c r="M64" s="2"/>
      <c r="N64" s="2">
        <v>3</v>
      </c>
      <c r="O64" s="2">
        <v>0</v>
      </c>
      <c r="P64" s="2">
        <v>1</v>
      </c>
      <c r="Q64" s="2">
        <v>1</v>
      </c>
      <c r="R64" s="2">
        <v>1</v>
      </c>
      <c r="S64" s="2">
        <v>0</v>
      </c>
      <c r="T64" s="2"/>
    </row>
    <row r="65" spans="1:20" x14ac:dyDescent="0.35">
      <c r="A65" s="2" t="s">
        <v>20</v>
      </c>
      <c r="B65" s="2" t="s">
        <v>21</v>
      </c>
      <c r="C65" s="2" t="s">
        <v>150</v>
      </c>
      <c r="D65" s="2">
        <v>3</v>
      </c>
      <c r="E65" s="2" t="s">
        <v>151</v>
      </c>
      <c r="F65" s="2" t="s">
        <v>154</v>
      </c>
      <c r="G65" s="2">
        <v>5</v>
      </c>
      <c r="H65" s="2" t="s">
        <v>155</v>
      </c>
      <c r="I65" s="2" t="s">
        <v>156</v>
      </c>
      <c r="J65" s="2">
        <v>13</v>
      </c>
      <c r="K65" s="2" t="s">
        <v>63</v>
      </c>
      <c r="L65" s="2"/>
      <c r="M65" s="2"/>
      <c r="N65" s="2">
        <v>13</v>
      </c>
      <c r="O65" s="2">
        <v>0</v>
      </c>
      <c r="P65" s="2">
        <v>5</v>
      </c>
      <c r="Q65" s="2">
        <v>4</v>
      </c>
      <c r="R65" s="2">
        <v>4</v>
      </c>
      <c r="S65" s="2">
        <v>0</v>
      </c>
      <c r="T65" s="2"/>
    </row>
    <row r="66" spans="1:20" x14ac:dyDescent="0.35">
      <c r="A66" s="2" t="s">
        <v>20</v>
      </c>
      <c r="B66" s="2" t="s">
        <v>21</v>
      </c>
      <c r="C66" s="2" t="s">
        <v>150</v>
      </c>
      <c r="D66" s="2">
        <v>4</v>
      </c>
      <c r="E66" s="2" t="s">
        <v>151</v>
      </c>
      <c r="F66" s="2" t="s">
        <v>157</v>
      </c>
      <c r="G66" s="2">
        <v>5</v>
      </c>
      <c r="H66" s="2" t="s">
        <v>158</v>
      </c>
      <c r="I66" s="2" t="s">
        <v>159</v>
      </c>
      <c r="J66" s="2">
        <v>26</v>
      </c>
      <c r="K66" s="2" t="s">
        <v>63</v>
      </c>
      <c r="L66" s="2"/>
      <c r="M66" s="2"/>
      <c r="N66" s="2">
        <v>26</v>
      </c>
      <c r="O66" s="2">
        <v>0</v>
      </c>
      <c r="P66" s="2">
        <v>10</v>
      </c>
      <c r="Q66" s="2">
        <v>8</v>
      </c>
      <c r="R66" s="2">
        <v>8</v>
      </c>
      <c r="S66" s="2">
        <v>0</v>
      </c>
      <c r="T66" s="2" t="s">
        <v>160</v>
      </c>
    </row>
    <row r="67" spans="1:20" x14ac:dyDescent="0.35">
      <c r="A67" s="2" t="s">
        <v>20</v>
      </c>
      <c r="B67" s="2" t="s">
        <v>21</v>
      </c>
      <c r="C67" s="2" t="s">
        <v>150</v>
      </c>
      <c r="D67" s="2">
        <v>5</v>
      </c>
      <c r="E67" s="2" t="s">
        <v>151</v>
      </c>
      <c r="F67" s="2" t="s">
        <v>161</v>
      </c>
      <c r="G67" s="2">
        <v>5</v>
      </c>
      <c r="H67" s="2" t="s">
        <v>155</v>
      </c>
      <c r="I67" s="2" t="s">
        <v>156</v>
      </c>
      <c r="J67" s="2">
        <v>13</v>
      </c>
      <c r="K67" s="2" t="s">
        <v>63</v>
      </c>
      <c r="L67" s="2"/>
      <c r="M67" s="2"/>
      <c r="N67" s="2">
        <v>13</v>
      </c>
      <c r="O67" s="2">
        <v>0</v>
      </c>
      <c r="P67" s="2">
        <v>5</v>
      </c>
      <c r="Q67" s="2">
        <v>4</v>
      </c>
      <c r="R67" s="2">
        <v>4</v>
      </c>
      <c r="S67" s="2">
        <v>0</v>
      </c>
      <c r="T67" s="2"/>
    </row>
    <row r="68" spans="1:20" x14ac:dyDescent="0.35">
      <c r="A68" s="2" t="s">
        <v>20</v>
      </c>
      <c r="B68" s="2" t="s">
        <v>21</v>
      </c>
      <c r="C68" s="2" t="s">
        <v>150</v>
      </c>
      <c r="D68" s="2">
        <v>6</v>
      </c>
      <c r="E68" s="2" t="s">
        <v>151</v>
      </c>
      <c r="F68" s="2" t="s">
        <v>162</v>
      </c>
      <c r="G68" s="2"/>
      <c r="H68" s="2" t="s">
        <v>37</v>
      </c>
      <c r="I68" s="2" t="s">
        <v>38</v>
      </c>
      <c r="J68" s="2">
        <v>3</v>
      </c>
      <c r="K68" s="2" t="s">
        <v>67</v>
      </c>
      <c r="L68" s="2"/>
      <c r="M68" s="2"/>
      <c r="N68" s="2">
        <v>3</v>
      </c>
      <c r="O68" s="2">
        <v>0</v>
      </c>
      <c r="P68" s="2">
        <v>1</v>
      </c>
      <c r="Q68" s="2">
        <v>1</v>
      </c>
      <c r="R68" s="2">
        <v>1</v>
      </c>
      <c r="S68" s="2">
        <v>0</v>
      </c>
      <c r="T68" s="2"/>
    </row>
    <row r="69" spans="1:20" x14ac:dyDescent="0.35">
      <c r="A69" s="2" t="s">
        <v>20</v>
      </c>
      <c r="B69" s="2" t="s">
        <v>21</v>
      </c>
      <c r="C69" s="2" t="s">
        <v>150</v>
      </c>
      <c r="D69" s="2">
        <v>7</v>
      </c>
      <c r="E69" s="2" t="s">
        <v>151</v>
      </c>
      <c r="F69" s="2" t="s">
        <v>163</v>
      </c>
      <c r="G69" s="2"/>
      <c r="H69" s="2" t="s">
        <v>37</v>
      </c>
      <c r="I69" s="2" t="s">
        <v>38</v>
      </c>
      <c r="J69" s="2">
        <v>3</v>
      </c>
      <c r="K69" s="2" t="s">
        <v>67</v>
      </c>
      <c r="L69" s="2"/>
      <c r="M69" s="2"/>
      <c r="N69" s="2">
        <v>3</v>
      </c>
      <c r="O69" s="2">
        <v>0</v>
      </c>
      <c r="P69" s="2">
        <v>1</v>
      </c>
      <c r="Q69" s="2">
        <v>1</v>
      </c>
      <c r="R69" s="2">
        <v>1</v>
      </c>
      <c r="S69" s="2">
        <v>0</v>
      </c>
      <c r="T69" s="2"/>
    </row>
    <row r="70" spans="1:20" x14ac:dyDescent="0.35">
      <c r="A70" s="2" t="s">
        <v>20</v>
      </c>
      <c r="B70" s="2" t="s">
        <v>21</v>
      </c>
      <c r="C70" s="2" t="s">
        <v>150</v>
      </c>
      <c r="D70" s="2">
        <v>8</v>
      </c>
      <c r="E70" s="2" t="s">
        <v>151</v>
      </c>
      <c r="F70" s="2" t="s">
        <v>164</v>
      </c>
      <c r="G70" s="2">
        <v>2</v>
      </c>
      <c r="H70" s="2" t="s">
        <v>165</v>
      </c>
      <c r="I70" s="2" t="s">
        <v>83</v>
      </c>
      <c r="J70" s="2">
        <v>6</v>
      </c>
      <c r="K70" s="2" t="s">
        <v>63</v>
      </c>
      <c r="L70" s="2"/>
      <c r="M70" s="2"/>
      <c r="N70" s="2">
        <v>6</v>
      </c>
      <c r="O70" s="2">
        <v>0</v>
      </c>
      <c r="P70" s="2">
        <v>2</v>
      </c>
      <c r="Q70" s="2">
        <v>2</v>
      </c>
      <c r="R70" s="2">
        <v>2</v>
      </c>
      <c r="S70" s="2">
        <v>0</v>
      </c>
      <c r="T70" s="2"/>
    </row>
    <row r="71" spans="1:20" x14ac:dyDescent="0.35">
      <c r="A71" s="2" t="s">
        <v>20</v>
      </c>
      <c r="B71" s="2" t="s">
        <v>21</v>
      </c>
      <c r="C71" s="2" t="s">
        <v>150</v>
      </c>
      <c r="D71" s="2">
        <v>9</v>
      </c>
      <c r="E71" s="2" t="s">
        <v>151</v>
      </c>
      <c r="F71" s="2" t="s">
        <v>166</v>
      </c>
      <c r="G71" s="2"/>
      <c r="H71" s="2" t="s">
        <v>82</v>
      </c>
      <c r="I71" s="2" t="s">
        <v>83</v>
      </c>
      <c r="J71" s="2">
        <v>6</v>
      </c>
      <c r="K71" s="2" t="s">
        <v>67</v>
      </c>
      <c r="L71" s="2"/>
      <c r="M71" s="2"/>
      <c r="N71" s="2">
        <v>6</v>
      </c>
      <c r="O71" s="2">
        <v>0</v>
      </c>
      <c r="P71" s="2">
        <v>2</v>
      </c>
      <c r="Q71" s="2">
        <v>2</v>
      </c>
      <c r="R71" s="2">
        <v>2</v>
      </c>
      <c r="S71" s="2">
        <v>0</v>
      </c>
      <c r="T71" s="2"/>
    </row>
    <row r="72" spans="1:20" x14ac:dyDescent="0.35">
      <c r="A72" s="2" t="s">
        <v>20</v>
      </c>
      <c r="B72" s="2" t="s">
        <v>21</v>
      </c>
      <c r="C72" s="2" t="s">
        <v>150</v>
      </c>
      <c r="D72" s="2">
        <v>1</v>
      </c>
      <c r="E72" s="2" t="s">
        <v>151</v>
      </c>
      <c r="F72" s="2" t="s">
        <v>152</v>
      </c>
      <c r="G72" s="2"/>
      <c r="H72" s="2" t="s">
        <v>110</v>
      </c>
      <c r="I72" s="2" t="s">
        <v>38</v>
      </c>
      <c r="J72" s="2">
        <v>3</v>
      </c>
      <c r="K72" s="2" t="s">
        <v>67</v>
      </c>
      <c r="L72" s="2"/>
      <c r="M72" s="2"/>
      <c r="N72" s="2">
        <v>3</v>
      </c>
      <c r="O72" s="2">
        <v>0</v>
      </c>
      <c r="P72" s="2">
        <v>1</v>
      </c>
      <c r="Q72" s="2">
        <v>1</v>
      </c>
      <c r="R72" s="2">
        <v>1</v>
      </c>
      <c r="S72" s="2">
        <v>0</v>
      </c>
      <c r="T72" s="2"/>
    </row>
    <row r="73" spans="1:20" x14ac:dyDescent="0.35">
      <c r="A73" s="2" t="s">
        <v>20</v>
      </c>
      <c r="B73" s="2" t="s">
        <v>21</v>
      </c>
      <c r="C73" s="2" t="s">
        <v>150</v>
      </c>
      <c r="D73" s="2">
        <v>2</v>
      </c>
      <c r="E73" s="2" t="s">
        <v>151</v>
      </c>
      <c r="F73" s="2" t="s">
        <v>153</v>
      </c>
      <c r="G73" s="2"/>
      <c r="H73" s="2" t="s">
        <v>37</v>
      </c>
      <c r="I73" s="2" t="s">
        <v>38</v>
      </c>
      <c r="J73" s="2">
        <v>3</v>
      </c>
      <c r="K73" s="2" t="s">
        <v>67</v>
      </c>
      <c r="L73" s="2"/>
      <c r="M73" s="2"/>
      <c r="N73" s="2">
        <v>3</v>
      </c>
      <c r="O73" s="2">
        <v>0</v>
      </c>
      <c r="P73" s="2">
        <v>1</v>
      </c>
      <c r="Q73" s="2">
        <v>1</v>
      </c>
      <c r="R73" s="2">
        <v>1</v>
      </c>
      <c r="S73" s="2">
        <v>0</v>
      </c>
      <c r="T73" s="2"/>
    </row>
    <row r="74" spans="1:20" x14ac:dyDescent="0.35">
      <c r="A74" s="2" t="s">
        <v>20</v>
      </c>
      <c r="B74" s="2" t="s">
        <v>21</v>
      </c>
      <c r="C74" s="2" t="s">
        <v>150</v>
      </c>
      <c r="D74" s="2">
        <v>3</v>
      </c>
      <c r="E74" s="2" t="s">
        <v>151</v>
      </c>
      <c r="F74" s="2" t="s">
        <v>154</v>
      </c>
      <c r="G74" s="2">
        <v>5</v>
      </c>
      <c r="H74" s="2" t="s">
        <v>155</v>
      </c>
      <c r="I74" s="2" t="s">
        <v>156</v>
      </c>
      <c r="J74" s="2">
        <v>13</v>
      </c>
      <c r="K74" s="2" t="s">
        <v>63</v>
      </c>
      <c r="L74" s="2"/>
      <c r="M74" s="2"/>
      <c r="N74" s="2">
        <v>13</v>
      </c>
      <c r="O74" s="2">
        <v>0</v>
      </c>
      <c r="P74" s="18">
        <f>Stenter!G18</f>
        <v>5</v>
      </c>
      <c r="Q74" s="18">
        <f>Stenter!H18</f>
        <v>4</v>
      </c>
      <c r="R74" s="18">
        <f>Stenter!I18</f>
        <v>4</v>
      </c>
      <c r="S74" s="2">
        <v>0</v>
      </c>
      <c r="T74" s="2"/>
    </row>
    <row r="75" spans="1:20" x14ac:dyDescent="0.35">
      <c r="A75" s="2" t="s">
        <v>20</v>
      </c>
      <c r="B75" s="2" t="s">
        <v>21</v>
      </c>
      <c r="C75" s="2" t="s">
        <v>150</v>
      </c>
      <c r="D75" s="2">
        <v>4</v>
      </c>
      <c r="E75" s="2" t="s">
        <v>151</v>
      </c>
      <c r="F75" s="2" t="s">
        <v>157</v>
      </c>
      <c r="G75" s="2">
        <v>5</v>
      </c>
      <c r="H75" s="2" t="s">
        <v>158</v>
      </c>
      <c r="I75" s="2" t="s">
        <v>159</v>
      </c>
      <c r="J75" s="2">
        <v>26</v>
      </c>
      <c r="K75" s="2" t="s">
        <v>63</v>
      </c>
      <c r="L75" s="2"/>
      <c r="M75" s="2"/>
      <c r="N75" s="2">
        <v>26</v>
      </c>
      <c r="O75" s="2">
        <v>0</v>
      </c>
      <c r="P75" s="18">
        <f>Stenter!G19</f>
        <v>10</v>
      </c>
      <c r="Q75" s="18">
        <f>Stenter!H19</f>
        <v>8</v>
      </c>
      <c r="R75" s="18">
        <f>Stenter!I19</f>
        <v>8</v>
      </c>
      <c r="S75" s="2">
        <v>0</v>
      </c>
      <c r="T75" s="2" t="s">
        <v>160</v>
      </c>
    </row>
    <row r="76" spans="1:20" x14ac:dyDescent="0.35">
      <c r="A76" s="2" t="s">
        <v>20</v>
      </c>
      <c r="B76" s="2" t="s">
        <v>21</v>
      </c>
      <c r="C76" s="2" t="s">
        <v>150</v>
      </c>
      <c r="D76" s="2">
        <v>5</v>
      </c>
      <c r="E76" s="2" t="s">
        <v>151</v>
      </c>
      <c r="F76" s="2" t="s">
        <v>161</v>
      </c>
      <c r="G76" s="2">
        <v>5</v>
      </c>
      <c r="H76" s="2" t="s">
        <v>155</v>
      </c>
      <c r="I76" s="2" t="s">
        <v>156</v>
      </c>
      <c r="J76" s="2">
        <v>13</v>
      </c>
      <c r="K76" s="2" t="s">
        <v>63</v>
      </c>
      <c r="L76" s="2"/>
      <c r="M76" s="2"/>
      <c r="N76" s="2">
        <v>13</v>
      </c>
      <c r="O76" s="2">
        <v>0</v>
      </c>
      <c r="P76" s="18">
        <f>Stenter!G20</f>
        <v>5</v>
      </c>
      <c r="Q76" s="18">
        <f>Stenter!H20</f>
        <v>4</v>
      </c>
      <c r="R76" s="18">
        <f>Stenter!I20</f>
        <v>4</v>
      </c>
      <c r="S76" s="2">
        <v>0</v>
      </c>
      <c r="T76" s="2"/>
    </row>
    <row r="77" spans="1:20" x14ac:dyDescent="0.35">
      <c r="A77" s="2" t="s">
        <v>20</v>
      </c>
      <c r="B77" s="2" t="s">
        <v>21</v>
      </c>
      <c r="C77" s="2" t="s">
        <v>150</v>
      </c>
      <c r="D77" s="2">
        <v>6</v>
      </c>
      <c r="E77" s="2" t="s">
        <v>151</v>
      </c>
      <c r="F77" s="2" t="s">
        <v>162</v>
      </c>
      <c r="G77" s="2"/>
      <c r="H77" s="2" t="s">
        <v>37</v>
      </c>
      <c r="I77" s="2" t="s">
        <v>38</v>
      </c>
      <c r="J77" s="2">
        <v>3</v>
      </c>
      <c r="K77" s="2" t="s">
        <v>67</v>
      </c>
      <c r="L77" s="2"/>
      <c r="M77" s="2"/>
      <c r="N77" s="2">
        <v>3</v>
      </c>
      <c r="O77" s="2">
        <v>0</v>
      </c>
      <c r="P77" s="2">
        <v>1</v>
      </c>
      <c r="Q77" s="2">
        <v>1</v>
      </c>
      <c r="R77" s="2">
        <v>1</v>
      </c>
      <c r="S77" s="2">
        <v>0</v>
      </c>
      <c r="T77" s="2"/>
    </row>
    <row r="78" spans="1:20" x14ac:dyDescent="0.35">
      <c r="A78" s="2" t="s">
        <v>20</v>
      </c>
      <c r="B78" s="2" t="s">
        <v>21</v>
      </c>
      <c r="C78" s="2" t="s">
        <v>150</v>
      </c>
      <c r="D78" s="2">
        <v>7</v>
      </c>
      <c r="E78" s="2" t="s">
        <v>151</v>
      </c>
      <c r="F78" s="2" t="s">
        <v>163</v>
      </c>
      <c r="G78" s="2"/>
      <c r="H78" s="2" t="s">
        <v>37</v>
      </c>
      <c r="I78" s="2" t="s">
        <v>38</v>
      </c>
      <c r="J78" s="2">
        <v>3</v>
      </c>
      <c r="K78" s="2" t="s">
        <v>67</v>
      </c>
      <c r="L78" s="2"/>
      <c r="M78" s="2"/>
      <c r="N78" s="2">
        <v>3</v>
      </c>
      <c r="O78" s="2">
        <v>0</v>
      </c>
      <c r="P78" s="2">
        <v>1</v>
      </c>
      <c r="Q78" s="2">
        <v>1</v>
      </c>
      <c r="R78" s="2">
        <v>1</v>
      </c>
      <c r="S78" s="2">
        <v>0</v>
      </c>
      <c r="T78" s="2"/>
    </row>
    <row r="79" spans="1:20" x14ac:dyDescent="0.35">
      <c r="A79" s="2" t="s">
        <v>20</v>
      </c>
      <c r="B79" s="2" t="s">
        <v>21</v>
      </c>
      <c r="C79" s="2" t="s">
        <v>150</v>
      </c>
      <c r="D79" s="2">
        <v>8</v>
      </c>
      <c r="E79" s="2" t="s">
        <v>151</v>
      </c>
      <c r="F79" s="2" t="s">
        <v>164</v>
      </c>
      <c r="G79" s="2">
        <v>2</v>
      </c>
      <c r="H79" s="2" t="s">
        <v>165</v>
      </c>
      <c r="I79" s="2" t="s">
        <v>83</v>
      </c>
      <c r="J79" s="2">
        <v>6</v>
      </c>
      <c r="K79" s="2" t="s">
        <v>63</v>
      </c>
      <c r="L79" s="2"/>
      <c r="M79" s="2"/>
      <c r="N79" s="2">
        <v>6</v>
      </c>
      <c r="O79" s="2">
        <v>0</v>
      </c>
      <c r="P79" s="2">
        <v>2</v>
      </c>
      <c r="Q79" s="2">
        <v>2</v>
      </c>
      <c r="R79" s="2">
        <v>2</v>
      </c>
      <c r="S79" s="2">
        <v>0</v>
      </c>
      <c r="T79" s="2"/>
    </row>
    <row r="80" spans="1:20" x14ac:dyDescent="0.35">
      <c r="A80" s="2" t="s">
        <v>20</v>
      </c>
      <c r="B80" s="2" t="s">
        <v>21</v>
      </c>
      <c r="C80" s="2" t="s">
        <v>150</v>
      </c>
      <c r="D80" s="2">
        <v>9</v>
      </c>
      <c r="E80" s="2" t="s">
        <v>151</v>
      </c>
      <c r="F80" s="2" t="s">
        <v>166</v>
      </c>
      <c r="G80" s="2"/>
      <c r="H80" s="2" t="s">
        <v>82</v>
      </c>
      <c r="I80" s="2" t="s">
        <v>83</v>
      </c>
      <c r="J80" s="2">
        <v>6</v>
      </c>
      <c r="K80" s="2" t="s">
        <v>67</v>
      </c>
      <c r="L80" s="2"/>
      <c r="M80" s="2"/>
      <c r="N80" s="2">
        <v>6</v>
      </c>
      <c r="O80" s="2">
        <v>0</v>
      </c>
      <c r="P80" s="2">
        <v>2</v>
      </c>
      <c r="Q80" s="2">
        <v>2</v>
      </c>
      <c r="R80" s="2">
        <v>2</v>
      </c>
      <c r="S80" s="2">
        <v>0</v>
      </c>
      <c r="T80" s="2"/>
    </row>
    <row r="81" spans="1:20" x14ac:dyDescent="0.35">
      <c r="A81" s="2" t="s">
        <v>20</v>
      </c>
      <c r="B81" s="2" t="s">
        <v>21</v>
      </c>
      <c r="C81" s="2" t="s">
        <v>167</v>
      </c>
      <c r="D81" s="2">
        <v>1</v>
      </c>
      <c r="E81" s="2" t="s">
        <v>168</v>
      </c>
      <c r="F81" s="2" t="s">
        <v>169</v>
      </c>
      <c r="G81" s="2"/>
      <c r="H81" s="2" t="s">
        <v>170</v>
      </c>
      <c r="I81" s="2" t="s">
        <v>26</v>
      </c>
      <c r="J81" s="2">
        <v>12</v>
      </c>
      <c r="K81" s="2" t="s">
        <v>67</v>
      </c>
      <c r="L81" s="2"/>
      <c r="M81" s="2"/>
      <c r="N81" s="2">
        <v>12</v>
      </c>
      <c r="O81" s="2">
        <v>0</v>
      </c>
      <c r="P81" s="2">
        <v>4</v>
      </c>
      <c r="Q81" s="2">
        <v>4</v>
      </c>
      <c r="R81" s="2">
        <v>4</v>
      </c>
      <c r="S81" s="2">
        <v>0</v>
      </c>
      <c r="T81" s="2"/>
    </row>
    <row r="82" spans="1:20" x14ac:dyDescent="0.35">
      <c r="A82" s="2" t="s">
        <v>20</v>
      </c>
      <c r="B82" s="2" t="s">
        <v>21</v>
      </c>
      <c r="C82" s="2" t="s">
        <v>167</v>
      </c>
      <c r="D82" s="2">
        <v>2</v>
      </c>
      <c r="E82" s="2" t="s">
        <v>168</v>
      </c>
      <c r="F82" s="2" t="s">
        <v>171</v>
      </c>
      <c r="G82" s="2"/>
      <c r="H82" s="2" t="s">
        <v>37</v>
      </c>
      <c r="I82" s="2" t="s">
        <v>38</v>
      </c>
      <c r="J82" s="2">
        <v>3</v>
      </c>
      <c r="K82" s="2" t="s">
        <v>67</v>
      </c>
      <c r="L82" s="2"/>
      <c r="M82" s="2"/>
      <c r="N82" s="2">
        <v>3</v>
      </c>
      <c r="O82" s="2">
        <v>0</v>
      </c>
      <c r="P82" s="2">
        <v>1</v>
      </c>
      <c r="Q82" s="2">
        <v>1</v>
      </c>
      <c r="R82" s="2">
        <v>1</v>
      </c>
      <c r="S82" s="2">
        <v>0</v>
      </c>
      <c r="T82" s="2"/>
    </row>
    <row r="83" spans="1:20" x14ac:dyDescent="0.35">
      <c r="A83" s="2" t="s">
        <v>20</v>
      </c>
      <c r="B83" s="2" t="s">
        <v>21</v>
      </c>
      <c r="C83" s="2" t="s">
        <v>167</v>
      </c>
      <c r="D83" s="2">
        <v>3</v>
      </c>
      <c r="E83" s="2" t="s">
        <v>168</v>
      </c>
      <c r="F83" s="2" t="s">
        <v>172</v>
      </c>
      <c r="G83" s="2"/>
      <c r="H83" s="2" t="s">
        <v>173</v>
      </c>
      <c r="I83" s="2" t="s">
        <v>174</v>
      </c>
      <c r="J83" s="2">
        <v>18</v>
      </c>
      <c r="K83" s="2" t="s">
        <v>67</v>
      </c>
      <c r="L83" s="2"/>
      <c r="M83" s="2"/>
      <c r="N83" s="2">
        <v>18</v>
      </c>
      <c r="O83" s="2">
        <v>0</v>
      </c>
      <c r="P83" s="2">
        <v>6</v>
      </c>
      <c r="Q83" s="2">
        <v>6</v>
      </c>
      <c r="R83" s="2">
        <v>6</v>
      </c>
      <c r="S83" s="2">
        <v>0</v>
      </c>
      <c r="T83" s="2"/>
    </row>
    <row r="84" spans="1:20" x14ac:dyDescent="0.35">
      <c r="A84" s="2" t="s">
        <v>20</v>
      </c>
      <c r="B84" s="2" t="s">
        <v>21</v>
      </c>
      <c r="C84" s="2" t="s">
        <v>175</v>
      </c>
      <c r="D84" s="2">
        <v>1</v>
      </c>
      <c r="E84" s="2" t="s">
        <v>175</v>
      </c>
      <c r="F84" s="2" t="s">
        <v>176</v>
      </c>
      <c r="G84" s="2"/>
      <c r="H84" s="2" t="s">
        <v>92</v>
      </c>
      <c r="I84" s="2" t="s">
        <v>177</v>
      </c>
      <c r="J84" s="2">
        <v>2</v>
      </c>
      <c r="K84" s="2" t="s">
        <v>67</v>
      </c>
      <c r="L84" s="2"/>
      <c r="M84" s="2"/>
      <c r="N84" s="2">
        <v>2</v>
      </c>
      <c r="O84" s="2">
        <v>0</v>
      </c>
      <c r="P84" s="2">
        <v>1</v>
      </c>
      <c r="Q84" s="2">
        <v>1</v>
      </c>
      <c r="R84" s="2">
        <v>0</v>
      </c>
      <c r="S84" s="2">
        <v>0</v>
      </c>
    </row>
    <row r="85" spans="1:20" x14ac:dyDescent="0.35">
      <c r="A85" s="2" t="s">
        <v>20</v>
      </c>
      <c r="B85" s="2" t="s">
        <v>21</v>
      </c>
      <c r="C85" s="2" t="s">
        <v>175</v>
      </c>
      <c r="D85" s="2">
        <v>2</v>
      </c>
      <c r="E85" s="2" t="s">
        <v>175</v>
      </c>
      <c r="F85" s="2" t="s">
        <v>178</v>
      </c>
      <c r="G85" s="2"/>
      <c r="H85" s="2" t="s">
        <v>110</v>
      </c>
      <c r="I85" s="2" t="s">
        <v>38</v>
      </c>
      <c r="J85" s="2">
        <v>3</v>
      </c>
      <c r="K85" s="2" t="s">
        <v>67</v>
      </c>
      <c r="L85" s="2"/>
      <c r="M85" s="2"/>
      <c r="N85" s="2">
        <v>3</v>
      </c>
      <c r="O85" s="2">
        <v>0</v>
      </c>
      <c r="P85" s="2">
        <v>1</v>
      </c>
      <c r="Q85" s="2">
        <v>1</v>
      </c>
      <c r="R85" s="2">
        <v>1</v>
      </c>
      <c r="S85" s="2">
        <v>0</v>
      </c>
    </row>
    <row r="86" spans="1:20" x14ac:dyDescent="0.35">
      <c r="A86" s="2" t="s">
        <v>20</v>
      </c>
      <c r="B86" s="2" t="s">
        <v>21</v>
      </c>
      <c r="C86" s="2" t="s">
        <v>175</v>
      </c>
      <c r="D86" s="2">
        <v>3</v>
      </c>
      <c r="E86" s="2" t="s">
        <v>175</v>
      </c>
      <c r="F86" s="2" t="s">
        <v>179</v>
      </c>
      <c r="G86" s="2"/>
      <c r="H86" s="2" t="s">
        <v>180</v>
      </c>
      <c r="I86" s="2" t="s">
        <v>83</v>
      </c>
      <c r="J86" s="2">
        <v>6</v>
      </c>
      <c r="K86" s="2" t="s">
        <v>67</v>
      </c>
      <c r="L86" s="2"/>
      <c r="M86" s="2"/>
      <c r="N86" s="2">
        <v>6</v>
      </c>
      <c r="O86" s="2">
        <v>0</v>
      </c>
      <c r="P86" s="2">
        <v>2</v>
      </c>
      <c r="Q86" s="2">
        <v>2</v>
      </c>
      <c r="R86" s="2">
        <v>2</v>
      </c>
      <c r="S86" s="2">
        <v>0</v>
      </c>
    </row>
    <row r="87" spans="1:20" x14ac:dyDescent="0.35">
      <c r="A87" s="2" t="s">
        <v>20</v>
      </c>
      <c r="B87" s="2" t="s">
        <v>21</v>
      </c>
      <c r="C87" s="2" t="s">
        <v>175</v>
      </c>
      <c r="D87" s="2">
        <v>4</v>
      </c>
      <c r="E87" s="2" t="s">
        <v>175</v>
      </c>
      <c r="F87" s="2" t="s">
        <v>181</v>
      </c>
      <c r="G87" s="2"/>
      <c r="H87" s="2" t="s">
        <v>182</v>
      </c>
      <c r="I87" s="2" t="s">
        <v>47</v>
      </c>
      <c r="J87" s="2">
        <v>9</v>
      </c>
      <c r="K87" s="2" t="s">
        <v>67</v>
      </c>
      <c r="L87" s="2"/>
      <c r="M87" s="2"/>
      <c r="N87" s="2">
        <v>9</v>
      </c>
      <c r="O87" s="2">
        <v>0</v>
      </c>
      <c r="P87" s="2">
        <v>3</v>
      </c>
      <c r="Q87" s="2">
        <v>3</v>
      </c>
      <c r="R87" s="2">
        <v>3</v>
      </c>
      <c r="S87" s="2">
        <v>0</v>
      </c>
    </row>
    <row r="88" spans="1:20" x14ac:dyDescent="0.35">
      <c r="A88" s="2" t="s">
        <v>20</v>
      </c>
      <c r="B88" s="2" t="s">
        <v>21</v>
      </c>
      <c r="C88" s="2" t="s">
        <v>175</v>
      </c>
      <c r="D88" s="2">
        <v>5</v>
      </c>
      <c r="E88" s="2" t="s">
        <v>175</v>
      </c>
      <c r="F88" s="2" t="s">
        <v>183</v>
      </c>
      <c r="G88" s="2">
        <v>24</v>
      </c>
      <c r="H88" s="2" t="s">
        <v>33</v>
      </c>
      <c r="I88" s="2" t="s">
        <v>184</v>
      </c>
      <c r="J88" s="2">
        <v>72</v>
      </c>
      <c r="K88" s="2" t="s">
        <v>63</v>
      </c>
      <c r="L88" s="2"/>
      <c r="M88" s="2"/>
      <c r="N88" s="2">
        <v>72</v>
      </c>
      <c r="O88" s="2">
        <v>0</v>
      </c>
      <c r="P88" s="2">
        <v>24</v>
      </c>
      <c r="Q88" s="2">
        <v>24</v>
      </c>
      <c r="R88" s="2">
        <v>24</v>
      </c>
      <c r="S88" s="2">
        <v>0</v>
      </c>
    </row>
    <row r="89" spans="1:20" x14ac:dyDescent="0.35">
      <c r="A89" s="2" t="s">
        <v>20</v>
      </c>
      <c r="B89" s="2" t="s">
        <v>21</v>
      </c>
      <c r="C89" s="2" t="s">
        <v>185</v>
      </c>
      <c r="D89" s="2">
        <v>6</v>
      </c>
      <c r="E89" s="2" t="s">
        <v>186</v>
      </c>
      <c r="F89" s="2" t="s">
        <v>187</v>
      </c>
      <c r="G89" s="2"/>
      <c r="H89" s="2" t="s">
        <v>37</v>
      </c>
      <c r="I89" s="2" t="s">
        <v>38</v>
      </c>
      <c r="J89" s="2">
        <v>3</v>
      </c>
      <c r="K89" s="2" t="s">
        <v>67</v>
      </c>
      <c r="L89" s="2"/>
      <c r="M89" s="2"/>
      <c r="N89" s="2">
        <v>3</v>
      </c>
      <c r="O89" s="2">
        <v>0</v>
      </c>
      <c r="P89" s="2">
        <v>1</v>
      </c>
      <c r="Q89" s="2">
        <v>1</v>
      </c>
      <c r="R89" s="2">
        <v>1</v>
      </c>
      <c r="S89" s="2">
        <v>0</v>
      </c>
    </row>
    <row r="90" spans="1:20" x14ac:dyDescent="0.35">
      <c r="A90" s="2" t="s">
        <v>20</v>
      </c>
      <c r="B90" s="2" t="s">
        <v>21</v>
      </c>
      <c r="C90" s="2" t="s">
        <v>185</v>
      </c>
      <c r="D90" s="2">
        <v>7</v>
      </c>
      <c r="E90" s="2" t="s">
        <v>186</v>
      </c>
      <c r="F90" s="2" t="s">
        <v>188</v>
      </c>
      <c r="G90" s="2"/>
      <c r="H90" s="2" t="s">
        <v>37</v>
      </c>
      <c r="I90" s="2" t="s">
        <v>57</v>
      </c>
      <c r="J90" s="2">
        <v>1</v>
      </c>
      <c r="K90" s="2" t="s">
        <v>67</v>
      </c>
      <c r="L90" s="2"/>
      <c r="M90" s="2"/>
      <c r="N90" s="2">
        <v>1</v>
      </c>
      <c r="O90" s="2">
        <v>1</v>
      </c>
      <c r="P90" s="2">
        <v>0</v>
      </c>
      <c r="Q90" s="2">
        <v>0</v>
      </c>
      <c r="R90" s="2">
        <v>0</v>
      </c>
      <c r="S90" s="2">
        <v>0</v>
      </c>
    </row>
    <row r="91" spans="1:20" x14ac:dyDescent="0.35">
      <c r="A91" s="2" t="s">
        <v>20</v>
      </c>
      <c r="B91" s="2" t="s">
        <v>21</v>
      </c>
      <c r="C91" s="2" t="s">
        <v>185</v>
      </c>
      <c r="D91" s="2">
        <v>8</v>
      </c>
      <c r="E91" s="2" t="s">
        <v>186</v>
      </c>
      <c r="F91" s="2" t="s">
        <v>189</v>
      </c>
      <c r="G91" s="2"/>
      <c r="H91" s="2" t="s">
        <v>190</v>
      </c>
      <c r="I91" s="2" t="s">
        <v>83</v>
      </c>
      <c r="J91" s="2">
        <v>6</v>
      </c>
      <c r="K91" s="2" t="s">
        <v>67</v>
      </c>
      <c r="L91" s="2"/>
      <c r="M91" s="2"/>
      <c r="N91" s="2">
        <v>6</v>
      </c>
      <c r="O91" s="2">
        <v>0</v>
      </c>
      <c r="P91" s="2">
        <v>2</v>
      </c>
      <c r="Q91" s="2">
        <v>2</v>
      </c>
      <c r="R91" s="2">
        <v>2</v>
      </c>
      <c r="S91" s="2">
        <v>0</v>
      </c>
    </row>
    <row r="92" spans="1:20" x14ac:dyDescent="0.35">
      <c r="A92" s="2" t="s">
        <v>20</v>
      </c>
      <c r="B92" s="2" t="s">
        <v>21</v>
      </c>
      <c r="C92" s="2" t="s">
        <v>185</v>
      </c>
      <c r="D92" s="2">
        <v>9</v>
      </c>
      <c r="E92" s="2" t="s">
        <v>191</v>
      </c>
      <c r="F92" s="2" t="s">
        <v>192</v>
      </c>
      <c r="G92" s="2">
        <v>3</v>
      </c>
      <c r="H92" s="2" t="s">
        <v>33</v>
      </c>
      <c r="I92" s="2" t="s">
        <v>47</v>
      </c>
      <c r="J92" s="2">
        <v>9</v>
      </c>
      <c r="K92" s="2" t="s">
        <v>63</v>
      </c>
      <c r="L92" s="2"/>
      <c r="M92" s="2"/>
      <c r="N92" s="2">
        <v>9</v>
      </c>
      <c r="O92" s="2">
        <v>0</v>
      </c>
      <c r="P92" s="2">
        <v>3</v>
      </c>
      <c r="Q92" s="2">
        <v>3</v>
      </c>
      <c r="R92" s="2">
        <v>3</v>
      </c>
      <c r="S92" s="2">
        <v>0</v>
      </c>
    </row>
    <row r="93" spans="1:20" x14ac:dyDescent="0.35">
      <c r="A93" s="2" t="s">
        <v>20</v>
      </c>
      <c r="B93" s="2" t="s">
        <v>21</v>
      </c>
      <c r="C93" s="2" t="s">
        <v>185</v>
      </c>
      <c r="D93" s="2">
        <v>10</v>
      </c>
      <c r="E93" s="2" t="s">
        <v>191</v>
      </c>
      <c r="F93" s="2" t="s">
        <v>193</v>
      </c>
      <c r="G93" s="2"/>
      <c r="H93" s="2" t="s">
        <v>170</v>
      </c>
      <c r="I93" s="2" t="s">
        <v>26</v>
      </c>
      <c r="J93" s="2">
        <v>12</v>
      </c>
      <c r="K93" s="2" t="s">
        <v>67</v>
      </c>
      <c r="L93" s="2"/>
      <c r="M93" s="2"/>
      <c r="N93" s="2">
        <v>12</v>
      </c>
      <c r="O93" s="2">
        <v>0</v>
      </c>
      <c r="P93" s="2">
        <v>4</v>
      </c>
      <c r="Q93" s="2">
        <v>4</v>
      </c>
      <c r="R93" s="2">
        <v>4</v>
      </c>
      <c r="S93" s="2">
        <v>0</v>
      </c>
    </row>
    <row r="94" spans="1:20" x14ac:dyDescent="0.35">
      <c r="A94" s="2" t="s">
        <v>20</v>
      </c>
      <c r="B94" s="2" t="s">
        <v>21</v>
      </c>
      <c r="C94" s="2" t="s">
        <v>185</v>
      </c>
      <c r="D94" s="2">
        <v>11</v>
      </c>
      <c r="E94" s="2" t="s">
        <v>185</v>
      </c>
      <c r="F94" s="2" t="s">
        <v>194</v>
      </c>
      <c r="G94" s="2">
        <v>15</v>
      </c>
      <c r="H94" s="2" t="s">
        <v>195</v>
      </c>
      <c r="I94" s="2" t="s">
        <v>196</v>
      </c>
      <c r="J94" s="2">
        <v>15</v>
      </c>
      <c r="K94" s="2" t="s">
        <v>63</v>
      </c>
      <c r="L94" s="2"/>
      <c r="M94" s="2"/>
      <c r="N94" s="2">
        <v>15</v>
      </c>
      <c r="O94" s="2">
        <v>0</v>
      </c>
      <c r="P94" s="2">
        <v>5</v>
      </c>
      <c r="Q94" s="2">
        <v>5</v>
      </c>
      <c r="R94" s="2">
        <v>5</v>
      </c>
      <c r="S94" s="2">
        <v>0</v>
      </c>
    </row>
    <row r="95" spans="1:20" x14ac:dyDescent="0.35">
      <c r="A95" s="2" t="s">
        <v>20</v>
      </c>
      <c r="B95" s="2" t="s">
        <v>21</v>
      </c>
      <c r="C95" s="2" t="s">
        <v>185</v>
      </c>
      <c r="D95" s="2">
        <v>12</v>
      </c>
      <c r="E95" s="2" t="s">
        <v>185</v>
      </c>
      <c r="F95" s="2" t="s">
        <v>197</v>
      </c>
      <c r="G95" s="2"/>
      <c r="H95" s="2" t="s">
        <v>82</v>
      </c>
      <c r="I95" s="2" t="s">
        <v>83</v>
      </c>
      <c r="J95" s="2">
        <v>6</v>
      </c>
      <c r="K95" s="2" t="s">
        <v>67</v>
      </c>
      <c r="L95" s="2"/>
      <c r="M95" s="2"/>
      <c r="N95" s="2">
        <v>6</v>
      </c>
      <c r="O95" s="2">
        <v>0</v>
      </c>
      <c r="P95" s="2">
        <v>2</v>
      </c>
      <c r="Q95" s="2">
        <v>2</v>
      </c>
      <c r="R95" s="2">
        <v>2</v>
      </c>
      <c r="S95" s="2">
        <v>0</v>
      </c>
    </row>
    <row r="96" spans="1:20" x14ac:dyDescent="0.35">
      <c r="A96" s="2" t="s">
        <v>20</v>
      </c>
      <c r="B96" s="2" t="s">
        <v>21</v>
      </c>
      <c r="C96" s="2" t="s">
        <v>185</v>
      </c>
      <c r="D96" s="2">
        <v>13</v>
      </c>
      <c r="E96" s="2" t="s">
        <v>185</v>
      </c>
      <c r="F96" s="2" t="s">
        <v>172</v>
      </c>
      <c r="G96" s="2"/>
      <c r="H96" s="2" t="s">
        <v>170</v>
      </c>
      <c r="I96" s="2" t="s">
        <v>26</v>
      </c>
      <c r="J96" s="2">
        <v>12</v>
      </c>
      <c r="K96" s="2" t="s">
        <v>67</v>
      </c>
      <c r="L96" s="2"/>
      <c r="M96" s="2"/>
      <c r="N96" s="2">
        <v>12</v>
      </c>
      <c r="O96" s="2">
        <v>0</v>
      </c>
      <c r="P96" s="2">
        <v>4</v>
      </c>
      <c r="Q96" s="2">
        <v>4</v>
      </c>
      <c r="R96" s="2">
        <v>4</v>
      </c>
      <c r="S96" s="2">
        <v>0</v>
      </c>
    </row>
    <row r="97" spans="1:20" x14ac:dyDescent="0.35">
      <c r="A97" s="2" t="s">
        <v>20</v>
      </c>
      <c r="B97" s="2" t="s">
        <v>21</v>
      </c>
      <c r="C97" s="2" t="s">
        <v>185</v>
      </c>
      <c r="D97" s="2">
        <v>14</v>
      </c>
      <c r="E97" s="2"/>
      <c r="F97" s="2" t="s">
        <v>198</v>
      </c>
      <c r="G97" s="2"/>
      <c r="H97" s="2" t="s">
        <v>37</v>
      </c>
      <c r="I97" s="2" t="s">
        <v>38</v>
      </c>
      <c r="J97" s="2">
        <v>3</v>
      </c>
      <c r="K97" s="2" t="s">
        <v>67</v>
      </c>
      <c r="L97" s="2"/>
      <c r="M97" s="2"/>
      <c r="N97" s="2">
        <v>3</v>
      </c>
      <c r="O97" s="2">
        <v>0</v>
      </c>
      <c r="P97" s="2">
        <v>1</v>
      </c>
      <c r="Q97" s="2">
        <v>1</v>
      </c>
      <c r="R97" s="2">
        <v>1</v>
      </c>
      <c r="S97" s="2">
        <v>0</v>
      </c>
    </row>
    <row r="98" spans="1:20" x14ac:dyDescent="0.35">
      <c r="A98" t="s">
        <v>20</v>
      </c>
      <c r="B98" t="s">
        <v>21</v>
      </c>
      <c r="C98" t="s">
        <v>199</v>
      </c>
      <c r="D98">
        <v>1</v>
      </c>
      <c r="E98" t="s">
        <v>199</v>
      </c>
      <c r="F98" t="s">
        <v>200</v>
      </c>
      <c r="G98" t="s">
        <v>201</v>
      </c>
      <c r="H98" t="s">
        <v>37</v>
      </c>
      <c r="I98" t="s">
        <v>38</v>
      </c>
      <c r="J98">
        <v>3</v>
      </c>
      <c r="K98" t="s">
        <v>201</v>
      </c>
      <c r="L98" t="s">
        <v>201</v>
      </c>
      <c r="M98" t="s">
        <v>201</v>
      </c>
      <c r="N98">
        <v>3</v>
      </c>
      <c r="O98">
        <v>0</v>
      </c>
      <c r="P98">
        <v>1</v>
      </c>
      <c r="Q98">
        <v>1</v>
      </c>
      <c r="R98">
        <v>1</v>
      </c>
      <c r="S98">
        <v>0</v>
      </c>
      <c r="T98" t="s">
        <v>201</v>
      </c>
    </row>
    <row r="99" spans="1:20" x14ac:dyDescent="0.35">
      <c r="A99" t="s">
        <v>20</v>
      </c>
      <c r="B99" t="s">
        <v>21</v>
      </c>
      <c r="C99" t="s">
        <v>199</v>
      </c>
      <c r="D99">
        <v>2</v>
      </c>
      <c r="E99" t="s">
        <v>199</v>
      </c>
      <c r="F99" t="s">
        <v>202</v>
      </c>
      <c r="G99" t="s">
        <v>201</v>
      </c>
      <c r="H99" t="s">
        <v>37</v>
      </c>
      <c r="I99" t="s">
        <v>38</v>
      </c>
      <c r="J99">
        <v>3</v>
      </c>
      <c r="K99" t="s">
        <v>201</v>
      </c>
      <c r="L99" t="s">
        <v>201</v>
      </c>
      <c r="M99" t="s">
        <v>201</v>
      </c>
      <c r="N99">
        <v>3</v>
      </c>
      <c r="O99">
        <v>0</v>
      </c>
      <c r="P99">
        <v>1</v>
      </c>
      <c r="Q99">
        <v>1</v>
      </c>
      <c r="R99">
        <v>1</v>
      </c>
      <c r="S99">
        <v>0</v>
      </c>
      <c r="T99" t="s">
        <v>201</v>
      </c>
    </row>
    <row r="100" spans="1:20" x14ac:dyDescent="0.35">
      <c r="A100" t="s">
        <v>20</v>
      </c>
      <c r="B100" t="s">
        <v>21</v>
      </c>
      <c r="C100" t="s">
        <v>199</v>
      </c>
      <c r="D100">
        <v>3</v>
      </c>
      <c r="E100" t="s">
        <v>199</v>
      </c>
      <c r="F100" t="s">
        <v>203</v>
      </c>
      <c r="G100">
        <v>4</v>
      </c>
      <c r="H100" t="s">
        <v>33</v>
      </c>
      <c r="I100" t="s">
        <v>26</v>
      </c>
      <c r="J100">
        <v>12</v>
      </c>
      <c r="K100" t="s">
        <v>201</v>
      </c>
      <c r="L100" t="s">
        <v>201</v>
      </c>
      <c r="M100" t="s">
        <v>201</v>
      </c>
      <c r="N100">
        <v>12</v>
      </c>
      <c r="O100">
        <v>0</v>
      </c>
      <c r="P100">
        <v>4</v>
      </c>
      <c r="Q100">
        <v>4</v>
      </c>
      <c r="R100">
        <v>4</v>
      </c>
      <c r="S100">
        <v>0</v>
      </c>
      <c r="T100" t="s">
        <v>204</v>
      </c>
    </row>
    <row r="101" spans="1:20" x14ac:dyDescent="0.35">
      <c r="A101" t="s">
        <v>20</v>
      </c>
      <c r="B101" t="s">
        <v>21</v>
      </c>
      <c r="C101" t="s">
        <v>199</v>
      </c>
      <c r="D101">
        <v>4</v>
      </c>
      <c r="E101" t="s">
        <v>199</v>
      </c>
      <c r="F101" t="s">
        <v>205</v>
      </c>
      <c r="G101">
        <v>4</v>
      </c>
      <c r="H101" t="s">
        <v>33</v>
      </c>
      <c r="I101" t="s">
        <v>26</v>
      </c>
      <c r="J101">
        <v>12</v>
      </c>
      <c r="K101" t="s">
        <v>201</v>
      </c>
      <c r="L101" t="s">
        <v>201</v>
      </c>
      <c r="M101" t="s">
        <v>201</v>
      </c>
      <c r="N101">
        <v>12</v>
      </c>
      <c r="O101">
        <v>0</v>
      </c>
      <c r="P101">
        <v>4</v>
      </c>
      <c r="Q101">
        <v>4</v>
      </c>
      <c r="R101">
        <v>4</v>
      </c>
      <c r="S101">
        <v>0</v>
      </c>
      <c r="T101" t="s">
        <v>204</v>
      </c>
    </row>
    <row r="102" spans="1:20" x14ac:dyDescent="0.35">
      <c r="A102" t="s">
        <v>20</v>
      </c>
      <c r="B102" t="s">
        <v>21</v>
      </c>
      <c r="C102" t="s">
        <v>199</v>
      </c>
      <c r="D102">
        <v>5</v>
      </c>
      <c r="E102" t="s">
        <v>199</v>
      </c>
      <c r="F102" t="s">
        <v>206</v>
      </c>
      <c r="G102" t="s">
        <v>201</v>
      </c>
      <c r="H102" t="s">
        <v>82</v>
      </c>
      <c r="I102" t="s">
        <v>83</v>
      </c>
      <c r="J102">
        <v>6</v>
      </c>
      <c r="K102" t="s">
        <v>201</v>
      </c>
      <c r="L102" t="s">
        <v>201</v>
      </c>
      <c r="M102" t="s">
        <v>201</v>
      </c>
      <c r="N102">
        <v>6</v>
      </c>
      <c r="O102">
        <v>0</v>
      </c>
      <c r="P102">
        <v>2</v>
      </c>
      <c r="Q102">
        <v>2</v>
      </c>
      <c r="R102">
        <v>2</v>
      </c>
      <c r="S102">
        <v>0</v>
      </c>
      <c r="T102" t="s">
        <v>201</v>
      </c>
    </row>
    <row r="103" spans="1:20" x14ac:dyDescent="0.35">
      <c r="A103" t="s">
        <v>20</v>
      </c>
      <c r="B103" t="s">
        <v>21</v>
      </c>
      <c r="C103" t="s">
        <v>199</v>
      </c>
      <c r="D103">
        <v>6</v>
      </c>
      <c r="E103" t="s">
        <v>199</v>
      </c>
      <c r="F103" t="s">
        <v>207</v>
      </c>
      <c r="G103" t="s">
        <v>201</v>
      </c>
      <c r="H103" t="s">
        <v>82</v>
      </c>
      <c r="I103" t="s">
        <v>83</v>
      </c>
      <c r="J103">
        <v>6</v>
      </c>
      <c r="K103" t="s">
        <v>201</v>
      </c>
      <c r="L103" t="s">
        <v>201</v>
      </c>
      <c r="M103" t="s">
        <v>201</v>
      </c>
      <c r="N103">
        <v>6</v>
      </c>
      <c r="O103">
        <v>0</v>
      </c>
      <c r="P103">
        <v>2</v>
      </c>
      <c r="Q103">
        <v>2</v>
      </c>
      <c r="R103">
        <v>2</v>
      </c>
      <c r="S103">
        <v>0</v>
      </c>
      <c r="T103" t="s">
        <v>201</v>
      </c>
    </row>
    <row r="104" spans="1:20" x14ac:dyDescent="0.35">
      <c r="A104" t="s">
        <v>20</v>
      </c>
      <c r="B104" t="s">
        <v>21</v>
      </c>
      <c r="C104" t="s">
        <v>199</v>
      </c>
      <c r="D104">
        <v>7</v>
      </c>
      <c r="E104" t="s">
        <v>199</v>
      </c>
      <c r="F104" t="s">
        <v>208</v>
      </c>
      <c r="G104" t="s">
        <v>201</v>
      </c>
      <c r="H104" t="s">
        <v>82</v>
      </c>
      <c r="I104" t="s">
        <v>83</v>
      </c>
      <c r="J104">
        <v>6</v>
      </c>
      <c r="K104" t="s">
        <v>201</v>
      </c>
      <c r="L104" t="s">
        <v>201</v>
      </c>
      <c r="M104" t="s">
        <v>201</v>
      </c>
      <c r="N104">
        <v>6</v>
      </c>
      <c r="O104">
        <v>0</v>
      </c>
      <c r="P104">
        <v>2</v>
      </c>
      <c r="Q104">
        <v>2</v>
      </c>
      <c r="R104">
        <v>2</v>
      </c>
      <c r="S104">
        <v>0</v>
      </c>
      <c r="T104" t="s">
        <v>209</v>
      </c>
    </row>
    <row r="105" spans="1:20" x14ac:dyDescent="0.35">
      <c r="A105" t="s">
        <v>20</v>
      </c>
      <c r="B105" t="s">
        <v>21</v>
      </c>
      <c r="C105" t="s">
        <v>210</v>
      </c>
      <c r="D105">
        <v>8</v>
      </c>
      <c r="E105" t="s">
        <v>210</v>
      </c>
      <c r="F105" t="s">
        <v>211</v>
      </c>
      <c r="G105" t="s">
        <v>201</v>
      </c>
      <c r="H105" t="s">
        <v>201</v>
      </c>
      <c r="I105" t="s">
        <v>38</v>
      </c>
      <c r="J105">
        <v>3</v>
      </c>
      <c r="K105" t="s">
        <v>201</v>
      </c>
      <c r="L105" t="s">
        <v>201</v>
      </c>
      <c r="M105" t="s">
        <v>201</v>
      </c>
      <c r="N105">
        <v>3</v>
      </c>
      <c r="O105">
        <v>0</v>
      </c>
      <c r="P105">
        <v>1</v>
      </c>
      <c r="Q105">
        <v>1</v>
      </c>
      <c r="R105">
        <v>1</v>
      </c>
      <c r="S105">
        <v>0</v>
      </c>
      <c r="T105" t="s">
        <v>201</v>
      </c>
    </row>
    <row r="106" spans="1:20" x14ac:dyDescent="0.35">
      <c r="A106" t="s">
        <v>20</v>
      </c>
      <c r="B106" t="s">
        <v>21</v>
      </c>
      <c r="C106" t="s">
        <v>210</v>
      </c>
      <c r="D106">
        <v>9</v>
      </c>
      <c r="E106" t="s">
        <v>210</v>
      </c>
      <c r="F106" t="s">
        <v>212</v>
      </c>
      <c r="G106" t="s">
        <v>201</v>
      </c>
      <c r="H106" t="s">
        <v>201</v>
      </c>
      <c r="I106" t="s">
        <v>38</v>
      </c>
      <c r="J106">
        <v>3</v>
      </c>
      <c r="K106" t="s">
        <v>201</v>
      </c>
      <c r="L106" t="s">
        <v>201</v>
      </c>
      <c r="M106" t="s">
        <v>201</v>
      </c>
      <c r="N106">
        <v>3</v>
      </c>
      <c r="O106">
        <v>0</v>
      </c>
      <c r="P106">
        <v>1</v>
      </c>
      <c r="Q106">
        <v>1</v>
      </c>
      <c r="R106">
        <v>1</v>
      </c>
      <c r="S106">
        <v>0</v>
      </c>
      <c r="T106" t="s">
        <v>201</v>
      </c>
    </row>
    <row r="107" spans="1:20" x14ac:dyDescent="0.35">
      <c r="A107" t="s">
        <v>20</v>
      </c>
      <c r="B107" t="s">
        <v>21</v>
      </c>
      <c r="C107" t="s">
        <v>210</v>
      </c>
      <c r="D107">
        <v>10</v>
      </c>
      <c r="E107" t="s">
        <v>210</v>
      </c>
      <c r="F107" t="s">
        <v>213</v>
      </c>
      <c r="G107" t="s">
        <v>201</v>
      </c>
      <c r="H107" t="s">
        <v>201</v>
      </c>
      <c r="I107" t="s">
        <v>83</v>
      </c>
      <c r="J107">
        <v>6</v>
      </c>
      <c r="K107" t="s">
        <v>201</v>
      </c>
      <c r="L107" t="s">
        <v>201</v>
      </c>
      <c r="M107" t="s">
        <v>201</v>
      </c>
      <c r="N107">
        <v>6</v>
      </c>
      <c r="O107">
        <v>0</v>
      </c>
      <c r="P107">
        <v>2</v>
      </c>
      <c r="Q107">
        <v>2</v>
      </c>
      <c r="R107">
        <v>2</v>
      </c>
      <c r="S107">
        <v>0</v>
      </c>
      <c r="T107" t="s">
        <v>201</v>
      </c>
    </row>
    <row r="108" spans="1:20" x14ac:dyDescent="0.35">
      <c r="A108" t="s">
        <v>20</v>
      </c>
      <c r="B108" t="s">
        <v>21</v>
      </c>
      <c r="C108" t="s">
        <v>210</v>
      </c>
      <c r="D108">
        <v>11</v>
      </c>
      <c r="E108" t="s">
        <v>210</v>
      </c>
      <c r="F108" t="s">
        <v>214</v>
      </c>
      <c r="G108" t="s">
        <v>201</v>
      </c>
      <c r="H108" t="s">
        <v>201</v>
      </c>
      <c r="I108" t="s">
        <v>215</v>
      </c>
      <c r="J108">
        <v>60</v>
      </c>
      <c r="K108" t="s">
        <v>201</v>
      </c>
      <c r="L108" t="s">
        <v>201</v>
      </c>
      <c r="M108" t="s">
        <v>201</v>
      </c>
      <c r="N108">
        <v>60</v>
      </c>
      <c r="O108">
        <v>0</v>
      </c>
      <c r="P108">
        <v>20</v>
      </c>
      <c r="Q108">
        <v>20</v>
      </c>
      <c r="R108">
        <v>20</v>
      </c>
      <c r="S108">
        <v>0</v>
      </c>
      <c r="T108" t="s">
        <v>216</v>
      </c>
    </row>
    <row r="109" spans="1:20" x14ac:dyDescent="0.35">
      <c r="A109" t="s">
        <v>20</v>
      </c>
      <c r="B109" t="s">
        <v>21</v>
      </c>
      <c r="C109" t="s">
        <v>210</v>
      </c>
      <c r="D109">
        <v>12</v>
      </c>
      <c r="E109" t="s">
        <v>210</v>
      </c>
      <c r="F109" t="s">
        <v>217</v>
      </c>
      <c r="G109" t="s">
        <v>201</v>
      </c>
      <c r="H109" t="s">
        <v>201</v>
      </c>
      <c r="I109" t="s">
        <v>215</v>
      </c>
      <c r="J109">
        <v>60</v>
      </c>
      <c r="K109" t="s">
        <v>201</v>
      </c>
      <c r="L109" t="s">
        <v>201</v>
      </c>
      <c r="M109" t="s">
        <v>201</v>
      </c>
      <c r="N109">
        <v>60</v>
      </c>
      <c r="O109">
        <v>0</v>
      </c>
      <c r="P109">
        <v>20</v>
      </c>
      <c r="Q109">
        <v>20</v>
      </c>
      <c r="R109">
        <v>20</v>
      </c>
      <c r="S109">
        <v>0</v>
      </c>
      <c r="T109" t="s">
        <v>201</v>
      </c>
    </row>
    <row r="110" spans="1:20" x14ac:dyDescent="0.35">
      <c r="A110" t="s">
        <v>20</v>
      </c>
      <c r="B110" t="s">
        <v>21</v>
      </c>
      <c r="C110" t="s">
        <v>218</v>
      </c>
      <c r="D110">
        <v>13</v>
      </c>
      <c r="E110" t="s">
        <v>218</v>
      </c>
      <c r="F110" t="s">
        <v>219</v>
      </c>
      <c r="G110" t="s">
        <v>201</v>
      </c>
      <c r="H110" t="s">
        <v>201</v>
      </c>
      <c r="I110" t="s">
        <v>83</v>
      </c>
      <c r="J110">
        <v>6</v>
      </c>
      <c r="K110" t="s">
        <v>201</v>
      </c>
      <c r="L110" t="s">
        <v>201</v>
      </c>
      <c r="M110" t="s">
        <v>201</v>
      </c>
      <c r="N110">
        <v>6</v>
      </c>
      <c r="O110">
        <v>0</v>
      </c>
      <c r="P110">
        <v>2</v>
      </c>
      <c r="Q110">
        <v>2</v>
      </c>
      <c r="R110">
        <v>2</v>
      </c>
      <c r="S110">
        <v>0</v>
      </c>
      <c r="T110" t="s">
        <v>201</v>
      </c>
    </row>
    <row r="111" spans="1:20" x14ac:dyDescent="0.35">
      <c r="A111" t="s">
        <v>20</v>
      </c>
      <c r="B111" t="s">
        <v>21</v>
      </c>
      <c r="C111" t="s">
        <v>218</v>
      </c>
      <c r="D111">
        <v>14</v>
      </c>
      <c r="E111" t="s">
        <v>218</v>
      </c>
      <c r="F111" t="s">
        <v>220</v>
      </c>
      <c r="G111" t="s">
        <v>201</v>
      </c>
      <c r="H111" t="s">
        <v>201</v>
      </c>
      <c r="I111" t="s">
        <v>221</v>
      </c>
      <c r="J111">
        <v>19</v>
      </c>
      <c r="K111" t="s">
        <v>201</v>
      </c>
      <c r="L111" t="s">
        <v>201</v>
      </c>
      <c r="M111" t="s">
        <v>201</v>
      </c>
      <c r="N111">
        <v>19</v>
      </c>
      <c r="O111">
        <v>0</v>
      </c>
      <c r="P111">
        <v>7</v>
      </c>
      <c r="Q111">
        <v>6</v>
      </c>
      <c r="R111">
        <v>6</v>
      </c>
      <c r="S111">
        <v>0</v>
      </c>
      <c r="T111" t="s">
        <v>201</v>
      </c>
    </row>
    <row r="112" spans="1:20" x14ac:dyDescent="0.35">
      <c r="A112" t="s">
        <v>20</v>
      </c>
      <c r="B112" t="s">
        <v>21</v>
      </c>
      <c r="C112" t="s">
        <v>222</v>
      </c>
      <c r="D112">
        <v>15</v>
      </c>
      <c r="E112" t="s">
        <v>222</v>
      </c>
      <c r="F112" t="s">
        <v>223</v>
      </c>
      <c r="G112" t="s">
        <v>201</v>
      </c>
      <c r="H112" t="s">
        <v>201</v>
      </c>
      <c r="I112" t="s">
        <v>115</v>
      </c>
      <c r="J112">
        <v>24</v>
      </c>
      <c r="K112" t="s">
        <v>201</v>
      </c>
      <c r="L112" t="s">
        <v>201</v>
      </c>
      <c r="M112" t="s">
        <v>201</v>
      </c>
      <c r="N112">
        <v>24</v>
      </c>
      <c r="O112">
        <v>0</v>
      </c>
      <c r="P112">
        <v>8</v>
      </c>
      <c r="Q112">
        <v>8</v>
      </c>
      <c r="R112">
        <v>8</v>
      </c>
      <c r="S112">
        <v>0</v>
      </c>
      <c r="T112" t="s">
        <v>201</v>
      </c>
    </row>
    <row r="113" spans="1:20" x14ac:dyDescent="0.35">
      <c r="A113" t="s">
        <v>20</v>
      </c>
      <c r="B113" t="s">
        <v>21</v>
      </c>
      <c r="C113" t="s">
        <v>222</v>
      </c>
      <c r="D113">
        <v>16</v>
      </c>
      <c r="E113" t="s">
        <v>222</v>
      </c>
      <c r="F113" t="s">
        <v>224</v>
      </c>
      <c r="G113" t="s">
        <v>201</v>
      </c>
      <c r="H113" t="s">
        <v>201</v>
      </c>
      <c r="I113" t="s">
        <v>225</v>
      </c>
      <c r="J113">
        <v>84</v>
      </c>
      <c r="K113" t="s">
        <v>201</v>
      </c>
      <c r="L113" t="s">
        <v>201</v>
      </c>
      <c r="M113" t="s">
        <v>201</v>
      </c>
      <c r="N113">
        <v>84</v>
      </c>
      <c r="O113">
        <v>0</v>
      </c>
      <c r="P113">
        <v>28</v>
      </c>
      <c r="Q113">
        <v>28</v>
      </c>
      <c r="R113">
        <v>28</v>
      </c>
      <c r="S113">
        <v>0</v>
      </c>
      <c r="T113" t="s">
        <v>201</v>
      </c>
    </row>
    <row r="114" spans="1:20" x14ac:dyDescent="0.35">
      <c r="A114" t="s">
        <v>20</v>
      </c>
      <c r="B114" t="s">
        <v>21</v>
      </c>
      <c r="C114" t="s">
        <v>222</v>
      </c>
      <c r="D114">
        <v>17</v>
      </c>
      <c r="E114" t="s">
        <v>222</v>
      </c>
      <c r="F114" t="s">
        <v>226</v>
      </c>
      <c r="G114" t="s">
        <v>201</v>
      </c>
      <c r="H114" t="s">
        <v>201</v>
      </c>
      <c r="I114" t="s">
        <v>38</v>
      </c>
      <c r="J114">
        <v>3</v>
      </c>
      <c r="K114" t="s">
        <v>201</v>
      </c>
      <c r="L114" t="s">
        <v>201</v>
      </c>
      <c r="M114" t="s">
        <v>201</v>
      </c>
      <c r="N114">
        <v>3</v>
      </c>
      <c r="O114">
        <v>0</v>
      </c>
      <c r="P114">
        <v>1</v>
      </c>
      <c r="Q114">
        <v>1</v>
      </c>
      <c r="R114">
        <v>1</v>
      </c>
      <c r="S114">
        <v>0</v>
      </c>
      <c r="T114" t="s">
        <v>201</v>
      </c>
    </row>
    <row r="115" spans="1:20" x14ac:dyDescent="0.35">
      <c r="A115" t="s">
        <v>20</v>
      </c>
      <c r="B115" t="s">
        <v>21</v>
      </c>
      <c r="C115" t="s">
        <v>227</v>
      </c>
      <c r="D115">
        <v>18</v>
      </c>
      <c r="E115" t="s">
        <v>227</v>
      </c>
      <c r="F115" t="s">
        <v>228</v>
      </c>
      <c r="G115" t="s">
        <v>201</v>
      </c>
      <c r="H115" t="s">
        <v>201</v>
      </c>
      <c r="I115" t="s">
        <v>229</v>
      </c>
      <c r="J115">
        <v>96</v>
      </c>
      <c r="K115" t="s">
        <v>201</v>
      </c>
      <c r="L115" t="s">
        <v>201</v>
      </c>
      <c r="M115" t="s">
        <v>201</v>
      </c>
      <c r="N115">
        <v>96</v>
      </c>
      <c r="O115">
        <v>0</v>
      </c>
      <c r="P115">
        <v>32</v>
      </c>
      <c r="Q115">
        <v>32</v>
      </c>
      <c r="R115">
        <v>32</v>
      </c>
      <c r="S115">
        <v>0</v>
      </c>
      <c r="T115" t="s">
        <v>201</v>
      </c>
    </row>
    <row r="116" spans="1:20" x14ac:dyDescent="0.35">
      <c r="A116" t="s">
        <v>20</v>
      </c>
      <c r="B116" t="s">
        <v>21</v>
      </c>
      <c r="C116" t="s">
        <v>227</v>
      </c>
      <c r="D116">
        <v>19</v>
      </c>
      <c r="E116" t="s">
        <v>227</v>
      </c>
      <c r="F116" t="s">
        <v>230</v>
      </c>
      <c r="G116" t="s">
        <v>201</v>
      </c>
      <c r="H116" t="s">
        <v>201</v>
      </c>
      <c r="I116" t="s">
        <v>231</v>
      </c>
      <c r="J116">
        <v>132</v>
      </c>
      <c r="K116" t="s">
        <v>201</v>
      </c>
      <c r="L116" t="s">
        <v>201</v>
      </c>
      <c r="M116" t="s">
        <v>201</v>
      </c>
      <c r="N116">
        <v>132</v>
      </c>
      <c r="O116">
        <v>0</v>
      </c>
      <c r="P116">
        <v>44</v>
      </c>
      <c r="Q116">
        <v>44</v>
      </c>
      <c r="R116">
        <v>44</v>
      </c>
      <c r="S116">
        <v>0</v>
      </c>
      <c r="T116" t="s">
        <v>201</v>
      </c>
    </row>
    <row r="117" spans="1:20" x14ac:dyDescent="0.35">
      <c r="A117" t="s">
        <v>20</v>
      </c>
      <c r="B117" t="s">
        <v>21</v>
      </c>
      <c r="C117" t="s">
        <v>227</v>
      </c>
      <c r="D117">
        <v>20</v>
      </c>
      <c r="E117" t="s">
        <v>227</v>
      </c>
      <c r="F117" t="s">
        <v>232</v>
      </c>
      <c r="G117" t="s">
        <v>201</v>
      </c>
      <c r="H117" t="s">
        <v>201</v>
      </c>
      <c r="I117" t="s">
        <v>233</v>
      </c>
      <c r="J117">
        <v>461</v>
      </c>
      <c r="K117" t="s">
        <v>201</v>
      </c>
      <c r="L117" t="s">
        <v>201</v>
      </c>
      <c r="M117" t="s">
        <v>201</v>
      </c>
      <c r="N117">
        <v>461</v>
      </c>
      <c r="O117">
        <v>0</v>
      </c>
      <c r="P117">
        <v>154</v>
      </c>
      <c r="Q117">
        <v>154</v>
      </c>
      <c r="R117">
        <v>153</v>
      </c>
      <c r="S117">
        <v>0</v>
      </c>
      <c r="T117" t="s">
        <v>201</v>
      </c>
    </row>
    <row r="118" spans="1:20" x14ac:dyDescent="0.35">
      <c r="A118" t="s">
        <v>20</v>
      </c>
      <c r="B118" t="s">
        <v>21</v>
      </c>
      <c r="C118" t="s">
        <v>227</v>
      </c>
      <c r="D118">
        <v>21</v>
      </c>
      <c r="E118" t="s">
        <v>227</v>
      </c>
      <c r="F118" t="s">
        <v>234</v>
      </c>
      <c r="G118" t="s">
        <v>201</v>
      </c>
      <c r="H118" t="s">
        <v>201</v>
      </c>
      <c r="I118" t="s">
        <v>235</v>
      </c>
      <c r="J118">
        <v>512</v>
      </c>
      <c r="K118" t="s">
        <v>201</v>
      </c>
      <c r="L118" t="s">
        <v>201</v>
      </c>
      <c r="M118" t="s">
        <v>201</v>
      </c>
      <c r="N118">
        <v>512</v>
      </c>
      <c r="O118">
        <v>0</v>
      </c>
      <c r="P118">
        <v>171</v>
      </c>
      <c r="Q118">
        <v>171</v>
      </c>
      <c r="R118">
        <v>170</v>
      </c>
      <c r="S118">
        <v>0</v>
      </c>
      <c r="T118" t="s">
        <v>201</v>
      </c>
    </row>
    <row r="119" spans="1:20" x14ac:dyDescent="0.35">
      <c r="A119" t="s">
        <v>20</v>
      </c>
      <c r="B119" t="s">
        <v>21</v>
      </c>
      <c r="C119" t="s">
        <v>236</v>
      </c>
      <c r="D119">
        <v>22</v>
      </c>
      <c r="E119" t="s">
        <v>236</v>
      </c>
      <c r="F119" t="s">
        <v>237</v>
      </c>
      <c r="G119" t="s">
        <v>201</v>
      </c>
      <c r="H119" t="s">
        <v>201</v>
      </c>
      <c r="I119" t="s">
        <v>38</v>
      </c>
      <c r="J119">
        <v>3</v>
      </c>
      <c r="K119" t="s">
        <v>201</v>
      </c>
      <c r="L119" t="s">
        <v>201</v>
      </c>
      <c r="M119" t="s">
        <v>201</v>
      </c>
      <c r="N119">
        <v>3</v>
      </c>
      <c r="O119">
        <v>0</v>
      </c>
      <c r="P119">
        <v>1</v>
      </c>
      <c r="Q119">
        <v>1</v>
      </c>
      <c r="R119">
        <v>1</v>
      </c>
      <c r="S119">
        <v>0</v>
      </c>
      <c r="T119" t="s">
        <v>201</v>
      </c>
    </row>
    <row r="120" spans="1:20" x14ac:dyDescent="0.35">
      <c r="A120" t="s">
        <v>20</v>
      </c>
      <c r="B120" t="s">
        <v>21</v>
      </c>
      <c r="C120" t="s">
        <v>236</v>
      </c>
      <c r="D120">
        <v>23</v>
      </c>
      <c r="E120" t="s">
        <v>236</v>
      </c>
      <c r="F120" t="s">
        <v>238</v>
      </c>
      <c r="G120" t="s">
        <v>201</v>
      </c>
      <c r="H120" t="s">
        <v>201</v>
      </c>
      <c r="I120" t="s">
        <v>239</v>
      </c>
      <c r="J120">
        <v>36</v>
      </c>
      <c r="K120" t="s">
        <v>201</v>
      </c>
      <c r="L120" t="s">
        <v>201</v>
      </c>
      <c r="M120" t="s">
        <v>201</v>
      </c>
      <c r="N120">
        <v>36</v>
      </c>
      <c r="O120">
        <v>0</v>
      </c>
      <c r="P120">
        <v>12</v>
      </c>
      <c r="Q120">
        <v>12</v>
      </c>
      <c r="R120">
        <v>12</v>
      </c>
      <c r="S120">
        <v>0</v>
      </c>
      <c r="T120" t="s">
        <v>201</v>
      </c>
    </row>
    <row r="121" spans="1:20" x14ac:dyDescent="0.35">
      <c r="A121" t="s">
        <v>20</v>
      </c>
      <c r="B121" t="s">
        <v>21</v>
      </c>
      <c r="C121" t="s">
        <v>240</v>
      </c>
      <c r="D121">
        <v>24</v>
      </c>
      <c r="E121" t="s">
        <v>240</v>
      </c>
      <c r="F121" t="s">
        <v>241</v>
      </c>
      <c r="G121" t="s">
        <v>201</v>
      </c>
      <c r="H121" t="s">
        <v>201</v>
      </c>
      <c r="I121" t="s">
        <v>242</v>
      </c>
      <c r="J121">
        <v>1</v>
      </c>
      <c r="K121" t="s">
        <v>201</v>
      </c>
      <c r="L121" t="s">
        <v>201</v>
      </c>
      <c r="M121" t="s">
        <v>201</v>
      </c>
      <c r="N121">
        <v>1</v>
      </c>
      <c r="O121">
        <v>0</v>
      </c>
      <c r="P121">
        <v>1</v>
      </c>
      <c r="Q121">
        <v>0</v>
      </c>
      <c r="R121">
        <v>0</v>
      </c>
      <c r="S121">
        <v>0</v>
      </c>
      <c r="T121" t="s">
        <v>201</v>
      </c>
    </row>
    <row r="122" spans="1:20" x14ac:dyDescent="0.35">
      <c r="A122" t="s">
        <v>20</v>
      </c>
      <c r="B122" t="s">
        <v>21</v>
      </c>
      <c r="C122" t="s">
        <v>240</v>
      </c>
      <c r="D122">
        <v>25</v>
      </c>
      <c r="E122" t="s">
        <v>240</v>
      </c>
      <c r="F122" t="s">
        <v>243</v>
      </c>
      <c r="G122" t="s">
        <v>201</v>
      </c>
      <c r="H122" t="s">
        <v>201</v>
      </c>
      <c r="I122" t="s">
        <v>83</v>
      </c>
      <c r="J122">
        <v>6</v>
      </c>
      <c r="K122" t="s">
        <v>201</v>
      </c>
      <c r="L122" t="s">
        <v>201</v>
      </c>
      <c r="M122" t="s">
        <v>201</v>
      </c>
      <c r="N122">
        <v>6</v>
      </c>
      <c r="O122">
        <v>0</v>
      </c>
      <c r="P122">
        <v>2</v>
      </c>
      <c r="Q122">
        <v>2</v>
      </c>
      <c r="R122">
        <v>2</v>
      </c>
      <c r="S122">
        <v>0</v>
      </c>
      <c r="T122" t="s">
        <v>201</v>
      </c>
    </row>
    <row r="123" spans="1:20" x14ac:dyDescent="0.35">
      <c r="A123" t="s">
        <v>20</v>
      </c>
      <c r="B123" t="s">
        <v>21</v>
      </c>
      <c r="C123" t="s">
        <v>240</v>
      </c>
      <c r="D123">
        <v>26</v>
      </c>
      <c r="E123" t="s">
        <v>240</v>
      </c>
      <c r="F123" t="s">
        <v>244</v>
      </c>
      <c r="G123" t="s">
        <v>201</v>
      </c>
      <c r="H123" t="s">
        <v>201</v>
      </c>
      <c r="I123" t="s">
        <v>242</v>
      </c>
      <c r="J123">
        <v>1</v>
      </c>
      <c r="K123" t="s">
        <v>201</v>
      </c>
      <c r="L123" t="s">
        <v>201</v>
      </c>
      <c r="M123" t="s">
        <v>201</v>
      </c>
      <c r="N123">
        <v>1</v>
      </c>
      <c r="O123">
        <v>0</v>
      </c>
      <c r="P123">
        <v>1</v>
      </c>
      <c r="Q123">
        <v>0</v>
      </c>
      <c r="R123">
        <v>0</v>
      </c>
      <c r="S123">
        <v>0</v>
      </c>
      <c r="T123" t="s">
        <v>201</v>
      </c>
    </row>
    <row r="124" spans="1:20" x14ac:dyDescent="0.35">
      <c r="A124" t="s">
        <v>20</v>
      </c>
      <c r="B124" t="s">
        <v>21</v>
      </c>
      <c r="C124" t="s">
        <v>240</v>
      </c>
      <c r="D124">
        <v>27</v>
      </c>
      <c r="E124" t="s">
        <v>240</v>
      </c>
      <c r="F124" t="s">
        <v>245</v>
      </c>
      <c r="G124" t="s">
        <v>201</v>
      </c>
      <c r="H124" t="s">
        <v>201</v>
      </c>
      <c r="I124" t="s">
        <v>30</v>
      </c>
      <c r="J124">
        <v>15</v>
      </c>
      <c r="K124" t="s">
        <v>201</v>
      </c>
      <c r="L124" t="s">
        <v>201</v>
      </c>
      <c r="M124" t="s">
        <v>201</v>
      </c>
      <c r="N124">
        <v>15</v>
      </c>
      <c r="O124">
        <v>0</v>
      </c>
      <c r="P124">
        <v>5</v>
      </c>
      <c r="Q124">
        <v>5</v>
      </c>
      <c r="R124">
        <v>5</v>
      </c>
      <c r="S124">
        <v>0</v>
      </c>
      <c r="T124" t="s">
        <v>201</v>
      </c>
    </row>
    <row r="125" spans="1:20" x14ac:dyDescent="0.35">
      <c r="A125" t="s">
        <v>20</v>
      </c>
      <c r="B125" t="s">
        <v>21</v>
      </c>
      <c r="C125" t="s">
        <v>240</v>
      </c>
      <c r="D125">
        <v>28</v>
      </c>
      <c r="E125" t="s">
        <v>240</v>
      </c>
      <c r="F125" t="s">
        <v>246</v>
      </c>
      <c r="G125" t="s">
        <v>201</v>
      </c>
      <c r="H125" t="s">
        <v>201</v>
      </c>
      <c r="I125" t="s">
        <v>38</v>
      </c>
      <c r="J125">
        <v>3</v>
      </c>
      <c r="K125" t="s">
        <v>201</v>
      </c>
      <c r="L125" t="s">
        <v>201</v>
      </c>
      <c r="M125" t="s">
        <v>201</v>
      </c>
      <c r="N125">
        <v>3</v>
      </c>
      <c r="O125">
        <v>0</v>
      </c>
      <c r="P125">
        <v>1</v>
      </c>
      <c r="Q125">
        <v>1</v>
      </c>
      <c r="R125">
        <v>1</v>
      </c>
      <c r="S125">
        <v>0</v>
      </c>
      <c r="T125" t="s">
        <v>201</v>
      </c>
    </row>
    <row r="126" spans="1:20" x14ac:dyDescent="0.35">
      <c r="A126" t="s">
        <v>20</v>
      </c>
      <c r="B126" t="s">
        <v>21</v>
      </c>
      <c r="C126" t="s">
        <v>240</v>
      </c>
      <c r="D126">
        <v>29</v>
      </c>
      <c r="E126" t="s">
        <v>240</v>
      </c>
      <c r="F126" t="s">
        <v>247</v>
      </c>
      <c r="G126" t="s">
        <v>201</v>
      </c>
      <c r="H126" t="s">
        <v>201</v>
      </c>
      <c r="I126" t="s">
        <v>26</v>
      </c>
      <c r="J126">
        <v>12</v>
      </c>
      <c r="K126" t="s">
        <v>201</v>
      </c>
      <c r="L126" t="s">
        <v>201</v>
      </c>
      <c r="M126" t="s">
        <v>201</v>
      </c>
      <c r="N126">
        <v>12</v>
      </c>
      <c r="O126">
        <v>0</v>
      </c>
      <c r="P126">
        <v>4</v>
      </c>
      <c r="Q126">
        <v>4</v>
      </c>
      <c r="R126">
        <v>4</v>
      </c>
      <c r="S126">
        <v>0</v>
      </c>
      <c r="T126" t="s">
        <v>201</v>
      </c>
    </row>
    <row r="127" spans="1:20" x14ac:dyDescent="0.35">
      <c r="A127" t="s">
        <v>20</v>
      </c>
      <c r="B127" t="s">
        <v>21</v>
      </c>
      <c r="C127" t="s">
        <v>240</v>
      </c>
      <c r="D127">
        <v>30</v>
      </c>
      <c r="E127" t="s">
        <v>240</v>
      </c>
      <c r="F127" t="s">
        <v>248</v>
      </c>
      <c r="G127" t="s">
        <v>201</v>
      </c>
      <c r="H127" t="s">
        <v>201</v>
      </c>
      <c r="I127" t="s">
        <v>38</v>
      </c>
      <c r="J127">
        <v>3</v>
      </c>
      <c r="K127" t="s">
        <v>201</v>
      </c>
      <c r="L127" t="s">
        <v>201</v>
      </c>
      <c r="M127" t="s">
        <v>201</v>
      </c>
      <c r="N127">
        <v>3</v>
      </c>
      <c r="O127">
        <v>0</v>
      </c>
      <c r="P127">
        <v>1</v>
      </c>
      <c r="Q127">
        <v>1</v>
      </c>
      <c r="R127">
        <v>1</v>
      </c>
      <c r="S127">
        <v>0</v>
      </c>
      <c r="T127" t="s">
        <v>201</v>
      </c>
    </row>
    <row r="128" spans="1:20" x14ac:dyDescent="0.35">
      <c r="A128" t="s">
        <v>20</v>
      </c>
      <c r="B128" t="s">
        <v>21</v>
      </c>
      <c r="C128" t="s">
        <v>240</v>
      </c>
      <c r="D128">
        <v>31</v>
      </c>
      <c r="E128" t="s">
        <v>240</v>
      </c>
      <c r="F128" t="s">
        <v>249</v>
      </c>
      <c r="G128" t="s">
        <v>201</v>
      </c>
      <c r="H128" t="s">
        <v>201</v>
      </c>
      <c r="I128" t="s">
        <v>30</v>
      </c>
      <c r="J128">
        <v>15</v>
      </c>
      <c r="K128" t="s">
        <v>201</v>
      </c>
      <c r="L128" t="s">
        <v>201</v>
      </c>
      <c r="M128" t="s">
        <v>201</v>
      </c>
      <c r="N128">
        <v>15</v>
      </c>
      <c r="O128">
        <v>0</v>
      </c>
      <c r="P128">
        <v>5</v>
      </c>
      <c r="Q128">
        <v>5</v>
      </c>
      <c r="R128">
        <v>5</v>
      </c>
      <c r="S128">
        <v>0</v>
      </c>
      <c r="T128" t="s">
        <v>201</v>
      </c>
    </row>
    <row r="129" spans="1:20" x14ac:dyDescent="0.35">
      <c r="A129" t="s">
        <v>20</v>
      </c>
      <c r="B129" t="s">
        <v>21</v>
      </c>
      <c r="C129" t="s">
        <v>240</v>
      </c>
      <c r="D129">
        <v>32</v>
      </c>
      <c r="E129" t="s">
        <v>240</v>
      </c>
      <c r="F129" t="s">
        <v>250</v>
      </c>
      <c r="G129" t="s">
        <v>201</v>
      </c>
      <c r="H129" t="s">
        <v>201</v>
      </c>
      <c r="I129" t="s">
        <v>38</v>
      </c>
      <c r="J129">
        <v>3</v>
      </c>
      <c r="K129" t="s">
        <v>201</v>
      </c>
      <c r="L129" t="s">
        <v>201</v>
      </c>
      <c r="M129" t="s">
        <v>201</v>
      </c>
      <c r="N129">
        <v>3</v>
      </c>
      <c r="O129">
        <v>0</v>
      </c>
      <c r="P129">
        <v>1</v>
      </c>
      <c r="Q129">
        <v>1</v>
      </c>
      <c r="R129">
        <v>1</v>
      </c>
      <c r="S129">
        <v>0</v>
      </c>
      <c r="T129" t="s">
        <v>201</v>
      </c>
    </row>
    <row r="130" spans="1:20" x14ac:dyDescent="0.35">
      <c r="A130" t="s">
        <v>20</v>
      </c>
      <c r="B130" t="s">
        <v>21</v>
      </c>
      <c r="C130" t="s">
        <v>240</v>
      </c>
      <c r="D130">
        <v>33</v>
      </c>
      <c r="E130" t="s">
        <v>240</v>
      </c>
      <c r="F130" t="s">
        <v>251</v>
      </c>
      <c r="G130" t="s">
        <v>201</v>
      </c>
      <c r="H130" t="s">
        <v>201</v>
      </c>
      <c r="I130" t="s">
        <v>242</v>
      </c>
      <c r="J130">
        <v>1</v>
      </c>
      <c r="K130" t="s">
        <v>201</v>
      </c>
      <c r="L130" t="s">
        <v>201</v>
      </c>
      <c r="M130" t="s">
        <v>201</v>
      </c>
      <c r="N130">
        <v>1</v>
      </c>
      <c r="O130">
        <v>0</v>
      </c>
      <c r="P130">
        <v>1</v>
      </c>
      <c r="Q130">
        <v>0</v>
      </c>
      <c r="R130">
        <v>0</v>
      </c>
      <c r="S130">
        <v>0</v>
      </c>
      <c r="T130" t="s">
        <v>201</v>
      </c>
    </row>
    <row r="131" spans="1:20" x14ac:dyDescent="0.35">
      <c r="A131" t="s">
        <v>20</v>
      </c>
      <c r="B131" t="s">
        <v>21</v>
      </c>
      <c r="C131" t="s">
        <v>252</v>
      </c>
      <c r="D131">
        <v>34</v>
      </c>
      <c r="E131" t="s">
        <v>252</v>
      </c>
      <c r="F131" t="s">
        <v>253</v>
      </c>
      <c r="G131" t="s">
        <v>201</v>
      </c>
      <c r="H131" t="s">
        <v>201</v>
      </c>
      <c r="I131" t="s">
        <v>38</v>
      </c>
      <c r="J131">
        <v>3</v>
      </c>
      <c r="K131" t="s">
        <v>201</v>
      </c>
      <c r="L131" t="s">
        <v>201</v>
      </c>
      <c r="M131" t="s">
        <v>201</v>
      </c>
      <c r="N131">
        <v>3</v>
      </c>
      <c r="O131">
        <v>0</v>
      </c>
      <c r="P131">
        <v>1</v>
      </c>
      <c r="Q131">
        <v>1</v>
      </c>
      <c r="R131">
        <v>1</v>
      </c>
      <c r="S131">
        <v>0</v>
      </c>
      <c r="T131" t="s">
        <v>201</v>
      </c>
    </row>
    <row r="132" spans="1:20" x14ac:dyDescent="0.35">
      <c r="A132" t="s">
        <v>20</v>
      </c>
      <c r="B132" t="s">
        <v>21</v>
      </c>
      <c r="C132" t="s">
        <v>254</v>
      </c>
      <c r="D132">
        <v>35</v>
      </c>
      <c r="E132" t="s">
        <v>254</v>
      </c>
      <c r="F132" t="s">
        <v>255</v>
      </c>
      <c r="G132" t="s">
        <v>201</v>
      </c>
      <c r="H132" t="s">
        <v>201</v>
      </c>
      <c r="I132" t="s">
        <v>38</v>
      </c>
      <c r="J132">
        <v>3</v>
      </c>
      <c r="K132" t="s">
        <v>201</v>
      </c>
      <c r="L132" t="s">
        <v>201</v>
      </c>
      <c r="M132" t="s">
        <v>201</v>
      </c>
      <c r="N132">
        <v>3</v>
      </c>
      <c r="O132">
        <v>0</v>
      </c>
      <c r="P132">
        <v>1</v>
      </c>
      <c r="Q132">
        <v>1</v>
      </c>
      <c r="R132">
        <v>1</v>
      </c>
      <c r="S132">
        <v>0</v>
      </c>
      <c r="T132" t="s">
        <v>201</v>
      </c>
    </row>
    <row r="133" spans="1:20" x14ac:dyDescent="0.35">
      <c r="A133" t="s">
        <v>20</v>
      </c>
      <c r="B133" t="s">
        <v>21</v>
      </c>
      <c r="C133" t="s">
        <v>256</v>
      </c>
      <c r="D133">
        <v>36</v>
      </c>
      <c r="E133" t="s">
        <v>256</v>
      </c>
      <c r="F133" t="s">
        <v>257</v>
      </c>
      <c r="G133" t="s">
        <v>201</v>
      </c>
      <c r="H133" t="s">
        <v>201</v>
      </c>
      <c r="I133" t="s">
        <v>38</v>
      </c>
      <c r="J133">
        <v>3</v>
      </c>
      <c r="K133" t="s">
        <v>201</v>
      </c>
      <c r="L133" t="s">
        <v>201</v>
      </c>
      <c r="M133" t="s">
        <v>201</v>
      </c>
      <c r="N133">
        <v>3</v>
      </c>
      <c r="O133">
        <v>0</v>
      </c>
      <c r="P133">
        <v>1</v>
      </c>
      <c r="Q133">
        <v>1</v>
      </c>
      <c r="R133">
        <v>1</v>
      </c>
      <c r="S133">
        <v>0</v>
      </c>
      <c r="T133" t="s">
        <v>201</v>
      </c>
    </row>
    <row r="134" spans="1:20" x14ac:dyDescent="0.35">
      <c r="A134" t="s">
        <v>20</v>
      </c>
      <c r="B134" t="s">
        <v>21</v>
      </c>
      <c r="C134" t="s">
        <v>256</v>
      </c>
      <c r="D134">
        <v>37</v>
      </c>
      <c r="E134" t="s">
        <v>256</v>
      </c>
      <c r="F134" t="s">
        <v>258</v>
      </c>
      <c r="G134" t="s">
        <v>201</v>
      </c>
      <c r="H134" t="s">
        <v>201</v>
      </c>
      <c r="I134" t="s">
        <v>47</v>
      </c>
      <c r="J134">
        <v>9</v>
      </c>
      <c r="K134" t="s">
        <v>201</v>
      </c>
      <c r="L134" t="s">
        <v>201</v>
      </c>
      <c r="M134" t="s">
        <v>201</v>
      </c>
      <c r="N134">
        <v>9</v>
      </c>
      <c r="O134">
        <v>0</v>
      </c>
      <c r="P134">
        <v>3</v>
      </c>
      <c r="Q134">
        <v>3</v>
      </c>
      <c r="R134">
        <v>3</v>
      </c>
      <c r="S134">
        <v>0</v>
      </c>
      <c r="T134" t="s">
        <v>201</v>
      </c>
    </row>
    <row r="135" spans="1:20" x14ac:dyDescent="0.35">
      <c r="A135" t="s">
        <v>20</v>
      </c>
      <c r="B135" t="s">
        <v>21</v>
      </c>
      <c r="C135" t="s">
        <v>259</v>
      </c>
      <c r="D135">
        <v>38</v>
      </c>
      <c r="E135" t="s">
        <v>259</v>
      </c>
      <c r="F135" t="s">
        <v>260</v>
      </c>
      <c r="G135" t="s">
        <v>201</v>
      </c>
      <c r="H135" t="s">
        <v>201</v>
      </c>
      <c r="I135" t="s">
        <v>261</v>
      </c>
      <c r="J135">
        <v>105</v>
      </c>
      <c r="K135" t="s">
        <v>201</v>
      </c>
      <c r="L135" t="s">
        <v>201</v>
      </c>
      <c r="M135" t="s">
        <v>201</v>
      </c>
      <c r="N135">
        <v>105</v>
      </c>
      <c r="O135">
        <v>0</v>
      </c>
      <c r="P135">
        <v>35</v>
      </c>
      <c r="Q135">
        <v>35</v>
      </c>
      <c r="R135">
        <v>35</v>
      </c>
      <c r="S135">
        <v>0</v>
      </c>
      <c r="T135" t="s">
        <v>201</v>
      </c>
    </row>
    <row r="136" spans="1:20" x14ac:dyDescent="0.35">
      <c r="A136" t="s">
        <v>20</v>
      </c>
      <c r="B136" t="s">
        <v>21</v>
      </c>
      <c r="C136" t="s">
        <v>259</v>
      </c>
      <c r="D136">
        <v>39</v>
      </c>
      <c r="E136" t="s">
        <v>259</v>
      </c>
      <c r="F136" t="s">
        <v>262</v>
      </c>
      <c r="G136" t="s">
        <v>201</v>
      </c>
      <c r="H136" t="s">
        <v>201</v>
      </c>
      <c r="I136" t="s">
        <v>47</v>
      </c>
      <c r="J136">
        <v>9</v>
      </c>
      <c r="K136" t="s">
        <v>201</v>
      </c>
      <c r="L136" t="s">
        <v>201</v>
      </c>
      <c r="M136" t="s">
        <v>201</v>
      </c>
      <c r="N136">
        <v>9</v>
      </c>
      <c r="O136">
        <v>0</v>
      </c>
      <c r="P136">
        <v>3</v>
      </c>
      <c r="Q136">
        <v>3</v>
      </c>
      <c r="R136">
        <v>3</v>
      </c>
      <c r="S136">
        <v>0</v>
      </c>
      <c r="T136" t="s">
        <v>201</v>
      </c>
    </row>
    <row r="137" spans="1:20" x14ac:dyDescent="0.35">
      <c r="A137" t="s">
        <v>20</v>
      </c>
      <c r="B137" t="s">
        <v>21</v>
      </c>
      <c r="C137" t="s">
        <v>259</v>
      </c>
      <c r="D137">
        <v>40</v>
      </c>
      <c r="E137" t="s">
        <v>259</v>
      </c>
      <c r="F137" t="s">
        <v>263</v>
      </c>
      <c r="G137" t="s">
        <v>201</v>
      </c>
      <c r="H137" t="s">
        <v>201</v>
      </c>
      <c r="I137" t="s">
        <v>26</v>
      </c>
      <c r="J137">
        <v>12</v>
      </c>
      <c r="K137" t="s">
        <v>201</v>
      </c>
      <c r="L137" t="s">
        <v>201</v>
      </c>
      <c r="M137" t="s">
        <v>201</v>
      </c>
      <c r="N137">
        <v>12</v>
      </c>
      <c r="O137">
        <v>0</v>
      </c>
      <c r="P137">
        <v>4</v>
      </c>
      <c r="Q137">
        <v>4</v>
      </c>
      <c r="R137">
        <v>4</v>
      </c>
      <c r="S137">
        <v>0</v>
      </c>
      <c r="T137" t="s">
        <v>201</v>
      </c>
    </row>
    <row r="138" spans="1:20" x14ac:dyDescent="0.35">
      <c r="A138" t="s">
        <v>20</v>
      </c>
      <c r="B138" t="s">
        <v>21</v>
      </c>
      <c r="C138" t="s">
        <v>264</v>
      </c>
      <c r="D138">
        <v>41</v>
      </c>
      <c r="E138" t="s">
        <v>264</v>
      </c>
      <c r="F138" t="s">
        <v>265</v>
      </c>
      <c r="G138" t="s">
        <v>201</v>
      </c>
      <c r="H138" t="s">
        <v>201</v>
      </c>
      <c r="I138" t="s">
        <v>266</v>
      </c>
      <c r="J138">
        <v>8</v>
      </c>
      <c r="K138" t="s">
        <v>201</v>
      </c>
      <c r="L138" t="s">
        <v>201</v>
      </c>
      <c r="M138" t="s">
        <v>201</v>
      </c>
      <c r="N138">
        <v>8</v>
      </c>
      <c r="O138">
        <v>0</v>
      </c>
      <c r="P138">
        <v>3</v>
      </c>
      <c r="Q138">
        <v>3</v>
      </c>
      <c r="R138">
        <v>2</v>
      </c>
      <c r="S138">
        <v>0</v>
      </c>
      <c r="T138" t="s">
        <v>201</v>
      </c>
    </row>
    <row r="139" spans="1:20" x14ac:dyDescent="0.35">
      <c r="A139" t="s">
        <v>20</v>
      </c>
      <c r="B139" t="s">
        <v>21</v>
      </c>
      <c r="C139" t="s">
        <v>264</v>
      </c>
      <c r="D139">
        <v>42</v>
      </c>
      <c r="E139" t="s">
        <v>264</v>
      </c>
      <c r="F139" t="s">
        <v>267</v>
      </c>
      <c r="G139" t="s">
        <v>201</v>
      </c>
      <c r="H139" t="s">
        <v>201</v>
      </c>
      <c r="I139" t="s">
        <v>242</v>
      </c>
      <c r="J139">
        <v>1</v>
      </c>
      <c r="K139" t="s">
        <v>201</v>
      </c>
      <c r="L139" t="s">
        <v>201</v>
      </c>
      <c r="M139" t="s">
        <v>201</v>
      </c>
      <c r="N139">
        <v>1</v>
      </c>
      <c r="O139">
        <v>0</v>
      </c>
      <c r="P139">
        <v>1</v>
      </c>
      <c r="Q139">
        <v>0</v>
      </c>
      <c r="R139">
        <v>0</v>
      </c>
      <c r="S139">
        <v>0</v>
      </c>
      <c r="T139" t="s">
        <v>201</v>
      </c>
    </row>
    <row r="140" spans="1:20" x14ac:dyDescent="0.35">
      <c r="A140" t="s">
        <v>20</v>
      </c>
      <c r="B140" t="s">
        <v>21</v>
      </c>
      <c r="C140" t="s">
        <v>264</v>
      </c>
      <c r="D140">
        <v>43</v>
      </c>
      <c r="E140" t="s">
        <v>264</v>
      </c>
      <c r="F140" t="s">
        <v>268</v>
      </c>
      <c r="G140" t="s">
        <v>201</v>
      </c>
      <c r="H140" t="s">
        <v>201</v>
      </c>
      <c r="I140" t="s">
        <v>38</v>
      </c>
      <c r="J140">
        <v>3</v>
      </c>
      <c r="K140" t="s">
        <v>201</v>
      </c>
      <c r="L140" t="s">
        <v>201</v>
      </c>
      <c r="M140" t="s">
        <v>201</v>
      </c>
      <c r="N140">
        <v>3</v>
      </c>
      <c r="O140">
        <v>0</v>
      </c>
      <c r="P140">
        <v>1</v>
      </c>
      <c r="Q140">
        <v>1</v>
      </c>
      <c r="R140">
        <v>1</v>
      </c>
      <c r="S140">
        <v>0</v>
      </c>
      <c r="T140" t="s">
        <v>201</v>
      </c>
    </row>
    <row r="141" spans="1:20" x14ac:dyDescent="0.35">
      <c r="A141" t="s">
        <v>20</v>
      </c>
      <c r="B141" t="s">
        <v>21</v>
      </c>
      <c r="C141" t="s">
        <v>264</v>
      </c>
      <c r="D141">
        <v>44</v>
      </c>
      <c r="E141" t="s">
        <v>264</v>
      </c>
      <c r="F141" t="s">
        <v>269</v>
      </c>
      <c r="G141" t="s">
        <v>201</v>
      </c>
      <c r="H141" t="s">
        <v>201</v>
      </c>
      <c r="I141" t="s">
        <v>38</v>
      </c>
      <c r="J141">
        <v>3</v>
      </c>
      <c r="K141" t="s">
        <v>201</v>
      </c>
      <c r="L141" t="s">
        <v>201</v>
      </c>
      <c r="M141" t="s">
        <v>201</v>
      </c>
      <c r="N141">
        <v>3</v>
      </c>
      <c r="O141">
        <v>0</v>
      </c>
      <c r="P141">
        <v>1</v>
      </c>
      <c r="Q141">
        <v>1</v>
      </c>
      <c r="R141">
        <v>1</v>
      </c>
      <c r="S141">
        <v>0</v>
      </c>
      <c r="T141" t="s">
        <v>201</v>
      </c>
    </row>
    <row r="142" spans="1:20" x14ac:dyDescent="0.35">
      <c r="A142" t="s">
        <v>20</v>
      </c>
      <c r="B142" t="s">
        <v>21</v>
      </c>
      <c r="C142" t="s">
        <v>264</v>
      </c>
      <c r="D142">
        <v>45</v>
      </c>
      <c r="E142" t="s">
        <v>264</v>
      </c>
      <c r="F142" t="s">
        <v>270</v>
      </c>
      <c r="G142" t="s">
        <v>201</v>
      </c>
      <c r="H142" t="s">
        <v>201</v>
      </c>
      <c r="I142" t="s">
        <v>271</v>
      </c>
      <c r="J142">
        <v>5</v>
      </c>
      <c r="K142" t="s">
        <v>201</v>
      </c>
      <c r="L142" t="s">
        <v>201</v>
      </c>
      <c r="M142" t="s">
        <v>201</v>
      </c>
      <c r="N142">
        <v>5</v>
      </c>
      <c r="O142">
        <v>0</v>
      </c>
      <c r="P142">
        <v>2</v>
      </c>
      <c r="Q142">
        <v>2</v>
      </c>
      <c r="R142">
        <v>1</v>
      </c>
      <c r="S142">
        <v>0</v>
      </c>
      <c r="T142" t="s">
        <v>201</v>
      </c>
    </row>
    <row r="143" spans="1:20" x14ac:dyDescent="0.35">
      <c r="A143" t="s">
        <v>20</v>
      </c>
      <c r="B143" t="s">
        <v>21</v>
      </c>
      <c r="C143" t="s">
        <v>264</v>
      </c>
      <c r="D143">
        <v>46</v>
      </c>
      <c r="E143" t="s">
        <v>264</v>
      </c>
      <c r="F143" t="s">
        <v>272</v>
      </c>
      <c r="G143" t="s">
        <v>201</v>
      </c>
      <c r="H143" t="s">
        <v>201</v>
      </c>
      <c r="I143" t="s">
        <v>30</v>
      </c>
      <c r="J143">
        <v>15</v>
      </c>
      <c r="K143" t="s">
        <v>201</v>
      </c>
      <c r="L143" t="s">
        <v>201</v>
      </c>
      <c r="M143" t="s">
        <v>201</v>
      </c>
      <c r="N143">
        <v>15</v>
      </c>
      <c r="O143">
        <v>0</v>
      </c>
      <c r="P143">
        <v>5</v>
      </c>
      <c r="Q143">
        <v>5</v>
      </c>
      <c r="R143">
        <v>5</v>
      </c>
      <c r="S143">
        <v>0</v>
      </c>
      <c r="T143" t="s">
        <v>201</v>
      </c>
    </row>
    <row r="144" spans="1:20" x14ac:dyDescent="0.35">
      <c r="A144" t="s">
        <v>20</v>
      </c>
      <c r="B144" t="s">
        <v>21</v>
      </c>
      <c r="C144" t="s">
        <v>264</v>
      </c>
      <c r="D144">
        <v>47</v>
      </c>
      <c r="E144" t="s">
        <v>264</v>
      </c>
      <c r="F144" t="s">
        <v>273</v>
      </c>
      <c r="G144" t="s">
        <v>201</v>
      </c>
      <c r="H144" t="s">
        <v>201</v>
      </c>
      <c r="I144" t="s">
        <v>30</v>
      </c>
      <c r="J144">
        <v>15</v>
      </c>
      <c r="K144" t="s">
        <v>201</v>
      </c>
      <c r="L144" t="s">
        <v>201</v>
      </c>
      <c r="M144" t="s">
        <v>201</v>
      </c>
      <c r="N144">
        <v>15</v>
      </c>
      <c r="O144">
        <v>0</v>
      </c>
      <c r="P144">
        <v>5</v>
      </c>
      <c r="Q144">
        <v>5</v>
      </c>
      <c r="R144">
        <v>5</v>
      </c>
      <c r="S144">
        <v>0</v>
      </c>
      <c r="T144" t="s">
        <v>201</v>
      </c>
    </row>
    <row r="145" spans="1:20" x14ac:dyDescent="0.35">
      <c r="A145" t="s">
        <v>20</v>
      </c>
      <c r="B145" t="s">
        <v>21</v>
      </c>
      <c r="C145" t="s">
        <v>264</v>
      </c>
      <c r="D145">
        <v>48</v>
      </c>
      <c r="E145" t="s">
        <v>264</v>
      </c>
      <c r="F145" t="s">
        <v>274</v>
      </c>
      <c r="G145" t="s">
        <v>201</v>
      </c>
      <c r="H145" t="s">
        <v>201</v>
      </c>
      <c r="I145" t="s">
        <v>30</v>
      </c>
      <c r="J145">
        <v>15</v>
      </c>
      <c r="K145" t="s">
        <v>201</v>
      </c>
      <c r="L145" t="s">
        <v>201</v>
      </c>
      <c r="M145" t="s">
        <v>201</v>
      </c>
      <c r="N145">
        <v>15</v>
      </c>
      <c r="O145">
        <v>0</v>
      </c>
      <c r="P145">
        <v>5</v>
      </c>
      <c r="Q145">
        <v>5</v>
      </c>
      <c r="R145">
        <v>5</v>
      </c>
      <c r="S145">
        <v>0</v>
      </c>
      <c r="T145" t="s">
        <v>201</v>
      </c>
    </row>
    <row r="146" spans="1:20" x14ac:dyDescent="0.35">
      <c r="A146" t="s">
        <v>20</v>
      </c>
      <c r="B146" t="s">
        <v>21</v>
      </c>
      <c r="C146" t="s">
        <v>275</v>
      </c>
      <c r="D146">
        <v>49</v>
      </c>
      <c r="E146" t="s">
        <v>275</v>
      </c>
      <c r="F146" t="s">
        <v>276</v>
      </c>
      <c r="G146" t="s">
        <v>201</v>
      </c>
      <c r="H146" t="s">
        <v>201</v>
      </c>
      <c r="I146" t="s">
        <v>277</v>
      </c>
      <c r="J146">
        <v>432</v>
      </c>
      <c r="K146" t="s">
        <v>201</v>
      </c>
      <c r="L146" t="s">
        <v>201</v>
      </c>
      <c r="M146" t="s">
        <v>201</v>
      </c>
      <c r="N146">
        <v>432</v>
      </c>
      <c r="O146">
        <v>0</v>
      </c>
      <c r="P146">
        <v>144</v>
      </c>
      <c r="Q146">
        <v>144</v>
      </c>
      <c r="R146">
        <v>144</v>
      </c>
      <c r="S146">
        <v>0</v>
      </c>
      <c r="T146" t="s">
        <v>201</v>
      </c>
    </row>
    <row r="147" spans="1:20" x14ac:dyDescent="0.35">
      <c r="A147" t="s">
        <v>20</v>
      </c>
      <c r="B147" t="s">
        <v>21</v>
      </c>
      <c r="C147" t="s">
        <v>278</v>
      </c>
      <c r="D147">
        <v>50</v>
      </c>
      <c r="E147" t="s">
        <v>278</v>
      </c>
      <c r="F147" t="s">
        <v>279</v>
      </c>
      <c r="G147" t="s">
        <v>201</v>
      </c>
      <c r="H147" t="s">
        <v>201</v>
      </c>
      <c r="I147" t="s">
        <v>280</v>
      </c>
      <c r="J147">
        <v>27</v>
      </c>
      <c r="K147" t="s">
        <v>201</v>
      </c>
      <c r="L147" t="s">
        <v>201</v>
      </c>
      <c r="M147" t="s">
        <v>201</v>
      </c>
      <c r="N147">
        <v>27</v>
      </c>
      <c r="O147">
        <v>0</v>
      </c>
      <c r="P147">
        <v>9</v>
      </c>
      <c r="Q147">
        <v>9</v>
      </c>
      <c r="R147">
        <v>9</v>
      </c>
      <c r="S147">
        <v>0</v>
      </c>
      <c r="T147" t="s">
        <v>201</v>
      </c>
    </row>
    <row r="148" spans="1:20" x14ac:dyDescent="0.35">
      <c r="A148" t="s">
        <v>20</v>
      </c>
      <c r="B148" t="s">
        <v>21</v>
      </c>
      <c r="C148" t="s">
        <v>281</v>
      </c>
      <c r="D148">
        <v>51</v>
      </c>
      <c r="E148" t="s">
        <v>281</v>
      </c>
      <c r="F148" t="s">
        <v>201</v>
      </c>
      <c r="G148" t="s">
        <v>201</v>
      </c>
      <c r="H148" t="s">
        <v>201</v>
      </c>
      <c r="I148" t="s">
        <v>282</v>
      </c>
      <c r="J148">
        <v>30</v>
      </c>
      <c r="K148" t="s">
        <v>201</v>
      </c>
      <c r="L148" t="s">
        <v>201</v>
      </c>
      <c r="M148" t="s">
        <v>201</v>
      </c>
      <c r="N148">
        <v>30</v>
      </c>
      <c r="O148">
        <v>0</v>
      </c>
      <c r="P148">
        <v>10</v>
      </c>
      <c r="Q148">
        <v>10</v>
      </c>
      <c r="R148">
        <v>10</v>
      </c>
      <c r="S148">
        <v>0</v>
      </c>
      <c r="T148" t="s">
        <v>201</v>
      </c>
    </row>
    <row r="149" spans="1:20" x14ac:dyDescent="0.35">
      <c r="A149" t="s">
        <v>20</v>
      </c>
      <c r="B149" t="s">
        <v>21</v>
      </c>
      <c r="C149" t="s">
        <v>283</v>
      </c>
      <c r="D149">
        <v>1</v>
      </c>
      <c r="E149" t="s">
        <v>284</v>
      </c>
      <c r="F149" t="s">
        <v>285</v>
      </c>
      <c r="H149" t="s">
        <v>286</v>
      </c>
      <c r="I149" t="s">
        <v>38</v>
      </c>
      <c r="J149">
        <v>1</v>
      </c>
      <c r="N149">
        <v>1</v>
      </c>
      <c r="O149">
        <v>0</v>
      </c>
      <c r="P149">
        <v>1</v>
      </c>
      <c r="Q149">
        <v>0</v>
      </c>
      <c r="R149">
        <v>0</v>
      </c>
      <c r="S149">
        <v>0</v>
      </c>
    </row>
    <row r="150" spans="1:20" x14ac:dyDescent="0.35">
      <c r="A150" t="s">
        <v>20</v>
      </c>
      <c r="B150" t="s">
        <v>21</v>
      </c>
      <c r="C150" t="s">
        <v>283</v>
      </c>
      <c r="D150">
        <v>2</v>
      </c>
      <c r="E150" t="s">
        <v>287</v>
      </c>
      <c r="F150" t="s">
        <v>285</v>
      </c>
      <c r="H150" t="s">
        <v>288</v>
      </c>
      <c r="I150" t="s">
        <v>47</v>
      </c>
      <c r="J150">
        <v>9</v>
      </c>
      <c r="N150">
        <v>9</v>
      </c>
      <c r="O150">
        <v>0</v>
      </c>
      <c r="P150">
        <v>3</v>
      </c>
      <c r="Q150">
        <v>3</v>
      </c>
      <c r="R150">
        <v>3</v>
      </c>
      <c r="S150">
        <v>0</v>
      </c>
    </row>
    <row r="151" spans="1:20" x14ac:dyDescent="0.35">
      <c r="A151" t="s">
        <v>20</v>
      </c>
      <c r="B151" t="s">
        <v>21</v>
      </c>
      <c r="C151" t="s">
        <v>283</v>
      </c>
      <c r="D151">
        <v>3</v>
      </c>
      <c r="E151" t="s">
        <v>289</v>
      </c>
      <c r="F151" t="s">
        <v>290</v>
      </c>
      <c r="H151" t="s">
        <v>291</v>
      </c>
      <c r="I151" t="s">
        <v>83</v>
      </c>
      <c r="J151">
        <v>6</v>
      </c>
      <c r="N151">
        <v>6</v>
      </c>
      <c r="O151">
        <v>0</v>
      </c>
      <c r="P151">
        <v>2</v>
      </c>
      <c r="Q151">
        <v>2</v>
      </c>
      <c r="R151">
        <v>2</v>
      </c>
      <c r="S151">
        <v>0</v>
      </c>
    </row>
    <row r="152" spans="1:20" x14ac:dyDescent="0.35">
      <c r="A152" t="s">
        <v>20</v>
      </c>
      <c r="B152" t="s">
        <v>21</v>
      </c>
      <c r="C152" t="s">
        <v>283</v>
      </c>
      <c r="D152">
        <v>4</v>
      </c>
      <c r="E152" t="s">
        <v>292</v>
      </c>
      <c r="F152" t="s">
        <v>293</v>
      </c>
      <c r="H152" t="s">
        <v>291</v>
      </c>
      <c r="I152" t="s">
        <v>83</v>
      </c>
      <c r="J152">
        <v>6</v>
      </c>
      <c r="N152">
        <v>6</v>
      </c>
      <c r="O152">
        <v>0</v>
      </c>
      <c r="P152">
        <v>2</v>
      </c>
      <c r="Q152">
        <v>2</v>
      </c>
      <c r="R152">
        <v>2</v>
      </c>
      <c r="S152">
        <v>0</v>
      </c>
    </row>
    <row r="153" spans="1:20" x14ac:dyDescent="0.35">
      <c r="A153" t="s">
        <v>20</v>
      </c>
      <c r="B153" t="s">
        <v>21</v>
      </c>
      <c r="C153" t="s">
        <v>283</v>
      </c>
      <c r="D153">
        <v>5</v>
      </c>
      <c r="E153" t="s">
        <v>294</v>
      </c>
      <c r="F153" t="s">
        <v>295</v>
      </c>
      <c r="H153" t="s">
        <v>296</v>
      </c>
      <c r="I153" t="s">
        <v>26</v>
      </c>
      <c r="J153">
        <v>8</v>
      </c>
      <c r="N153">
        <v>8</v>
      </c>
      <c r="O153">
        <v>0</v>
      </c>
      <c r="P153">
        <v>3</v>
      </c>
      <c r="Q153">
        <v>3</v>
      </c>
      <c r="R153">
        <v>2</v>
      </c>
      <c r="S153">
        <v>0</v>
      </c>
    </row>
    <row r="154" spans="1:20" x14ac:dyDescent="0.35">
      <c r="A154" t="s">
        <v>20</v>
      </c>
      <c r="B154" t="s">
        <v>21</v>
      </c>
      <c r="C154" t="s">
        <v>297</v>
      </c>
      <c r="D154">
        <v>6</v>
      </c>
      <c r="E154" t="s">
        <v>297</v>
      </c>
      <c r="F154" t="s">
        <v>298</v>
      </c>
      <c r="H154" t="s">
        <v>37</v>
      </c>
      <c r="I154" t="s">
        <v>38</v>
      </c>
      <c r="J154">
        <v>3</v>
      </c>
      <c r="N154">
        <v>3</v>
      </c>
      <c r="O154">
        <v>0</v>
      </c>
      <c r="P154">
        <v>1</v>
      </c>
      <c r="Q154">
        <v>1</v>
      </c>
      <c r="R154">
        <v>1</v>
      </c>
      <c r="S154">
        <v>0</v>
      </c>
    </row>
    <row r="155" spans="1:20" x14ac:dyDescent="0.35">
      <c r="A155" t="s">
        <v>20</v>
      </c>
      <c r="B155" t="s">
        <v>21</v>
      </c>
      <c r="C155" t="s">
        <v>297</v>
      </c>
      <c r="D155">
        <v>7</v>
      </c>
      <c r="E155" t="s">
        <v>297</v>
      </c>
      <c r="F155" t="s">
        <v>299</v>
      </c>
      <c r="H155" t="s">
        <v>182</v>
      </c>
      <c r="I155" t="s">
        <v>47</v>
      </c>
      <c r="J155">
        <v>9</v>
      </c>
      <c r="N155">
        <v>9</v>
      </c>
      <c r="O155">
        <v>0</v>
      </c>
      <c r="P155">
        <v>3</v>
      </c>
      <c r="Q155">
        <v>3</v>
      </c>
      <c r="R155">
        <v>3</v>
      </c>
      <c r="S155">
        <v>0</v>
      </c>
    </row>
    <row r="156" spans="1:20" x14ac:dyDescent="0.35">
      <c r="A156" t="s">
        <v>20</v>
      </c>
      <c r="B156" t="s">
        <v>21</v>
      </c>
      <c r="C156" t="s">
        <v>297</v>
      </c>
      <c r="D156">
        <v>8</v>
      </c>
      <c r="E156" t="s">
        <v>297</v>
      </c>
      <c r="F156" t="s">
        <v>300</v>
      </c>
      <c r="H156" t="s">
        <v>37</v>
      </c>
      <c r="I156" t="s">
        <v>38</v>
      </c>
      <c r="J156">
        <v>3</v>
      </c>
      <c r="N156">
        <v>3</v>
      </c>
      <c r="O156">
        <v>0</v>
      </c>
      <c r="P156">
        <v>1</v>
      </c>
      <c r="Q156">
        <v>1</v>
      </c>
      <c r="R156">
        <v>1</v>
      </c>
      <c r="S156">
        <v>0</v>
      </c>
    </row>
    <row r="157" spans="1:20" x14ac:dyDescent="0.35">
      <c r="A157" t="s">
        <v>20</v>
      </c>
      <c r="B157" t="s">
        <v>21</v>
      </c>
      <c r="C157" t="s">
        <v>297</v>
      </c>
      <c r="D157">
        <v>9</v>
      </c>
      <c r="E157" t="s">
        <v>297</v>
      </c>
      <c r="F157" t="s">
        <v>301</v>
      </c>
      <c r="H157" t="s">
        <v>37</v>
      </c>
      <c r="I157" t="s">
        <v>38</v>
      </c>
      <c r="J157">
        <v>3</v>
      </c>
      <c r="N157">
        <v>3</v>
      </c>
      <c r="O157">
        <v>0</v>
      </c>
      <c r="P157">
        <v>1</v>
      </c>
      <c r="Q157">
        <v>1</v>
      </c>
      <c r="R157">
        <v>1</v>
      </c>
      <c r="S157">
        <v>0</v>
      </c>
    </row>
    <row r="158" spans="1:20" x14ac:dyDescent="0.35">
      <c r="A158" t="s">
        <v>20</v>
      </c>
      <c r="B158" t="s">
        <v>21</v>
      </c>
      <c r="C158" t="s">
        <v>302</v>
      </c>
      <c r="D158">
        <v>10</v>
      </c>
      <c r="E158" t="s">
        <v>284</v>
      </c>
      <c r="F158" t="s">
        <v>303</v>
      </c>
      <c r="H158" t="s">
        <v>170</v>
      </c>
      <c r="I158" t="s">
        <v>26</v>
      </c>
      <c r="J158">
        <v>9</v>
      </c>
      <c r="N158">
        <v>9</v>
      </c>
      <c r="O158">
        <v>0</v>
      </c>
      <c r="P158">
        <v>3</v>
      </c>
      <c r="Q158">
        <v>3</v>
      </c>
      <c r="R158">
        <v>3</v>
      </c>
      <c r="S158">
        <v>0</v>
      </c>
    </row>
    <row r="159" spans="1:20" x14ac:dyDescent="0.35">
      <c r="A159" t="s">
        <v>20</v>
      </c>
      <c r="B159" t="s">
        <v>21</v>
      </c>
      <c r="C159" t="s">
        <v>302</v>
      </c>
      <c r="D159">
        <v>11</v>
      </c>
      <c r="E159" t="s">
        <v>304</v>
      </c>
      <c r="F159" t="s">
        <v>303</v>
      </c>
      <c r="H159" t="s">
        <v>82</v>
      </c>
      <c r="I159" t="s">
        <v>83</v>
      </c>
      <c r="J159">
        <v>6</v>
      </c>
      <c r="N159">
        <v>6</v>
      </c>
      <c r="O159">
        <v>0</v>
      </c>
      <c r="P159">
        <v>2</v>
      </c>
      <c r="Q159">
        <v>2</v>
      </c>
      <c r="R159">
        <v>2</v>
      </c>
      <c r="S159">
        <v>0</v>
      </c>
    </row>
    <row r="160" spans="1:20" x14ac:dyDescent="0.35">
      <c r="A160" t="s">
        <v>20</v>
      </c>
      <c r="B160" t="s">
        <v>21</v>
      </c>
      <c r="C160" t="s">
        <v>302</v>
      </c>
      <c r="D160">
        <v>12</v>
      </c>
      <c r="E160" t="s">
        <v>287</v>
      </c>
      <c r="F160" t="s">
        <v>303</v>
      </c>
      <c r="H160" t="s">
        <v>305</v>
      </c>
      <c r="I160" t="s">
        <v>115</v>
      </c>
      <c r="J160">
        <v>18</v>
      </c>
      <c r="N160">
        <v>18</v>
      </c>
      <c r="O160">
        <v>0</v>
      </c>
      <c r="P160">
        <v>6</v>
      </c>
      <c r="Q160">
        <v>6</v>
      </c>
      <c r="R160">
        <v>6</v>
      </c>
      <c r="S160">
        <v>0</v>
      </c>
    </row>
    <row r="161" spans="1:19" x14ac:dyDescent="0.35">
      <c r="A161" t="s">
        <v>20</v>
      </c>
      <c r="B161" t="s">
        <v>21</v>
      </c>
      <c r="C161" t="s">
        <v>302</v>
      </c>
      <c r="D161">
        <v>13</v>
      </c>
      <c r="E161" t="s">
        <v>306</v>
      </c>
      <c r="F161" t="s">
        <v>303</v>
      </c>
      <c r="H161" t="s">
        <v>305</v>
      </c>
      <c r="I161" t="s">
        <v>115</v>
      </c>
      <c r="J161">
        <v>21</v>
      </c>
      <c r="N161">
        <v>21</v>
      </c>
      <c r="O161">
        <v>0</v>
      </c>
      <c r="P161">
        <v>7</v>
      </c>
      <c r="Q161">
        <v>7</v>
      </c>
      <c r="R161">
        <v>7</v>
      </c>
      <c r="S161">
        <v>0</v>
      </c>
    </row>
    <row r="162" spans="1:19" x14ac:dyDescent="0.35">
      <c r="A162" t="s">
        <v>20</v>
      </c>
      <c r="B162" t="s">
        <v>21</v>
      </c>
      <c r="C162" t="s">
        <v>307</v>
      </c>
      <c r="D162">
        <v>14</v>
      </c>
      <c r="E162" t="s">
        <v>307</v>
      </c>
      <c r="F162" t="s">
        <v>308</v>
      </c>
      <c r="J162">
        <v>9</v>
      </c>
      <c r="N162">
        <v>9</v>
      </c>
      <c r="O162">
        <v>0</v>
      </c>
      <c r="P162">
        <v>3</v>
      </c>
      <c r="Q162">
        <v>3</v>
      </c>
      <c r="R162">
        <v>3</v>
      </c>
      <c r="S162">
        <v>0</v>
      </c>
    </row>
    <row r="163" spans="1:19" x14ac:dyDescent="0.35">
      <c r="A163" t="s">
        <v>20</v>
      </c>
      <c r="B163" t="s">
        <v>21</v>
      </c>
      <c r="C163" t="s">
        <v>309</v>
      </c>
      <c r="D163">
        <v>15</v>
      </c>
      <c r="E163" t="s">
        <v>309</v>
      </c>
      <c r="F163" t="s">
        <v>310</v>
      </c>
      <c r="H163" t="s">
        <v>182</v>
      </c>
      <c r="I163" t="s">
        <v>47</v>
      </c>
      <c r="J163">
        <v>9</v>
      </c>
      <c r="N163">
        <v>9</v>
      </c>
      <c r="O163">
        <v>0</v>
      </c>
      <c r="P163">
        <v>3</v>
      </c>
      <c r="Q163">
        <v>3</v>
      </c>
      <c r="R163">
        <v>3</v>
      </c>
      <c r="S163">
        <v>0</v>
      </c>
    </row>
    <row r="164" spans="1:19" x14ac:dyDescent="0.35">
      <c r="A164" t="s">
        <v>20</v>
      </c>
      <c r="B164" t="s">
        <v>21</v>
      </c>
      <c r="C164" t="s">
        <v>309</v>
      </c>
      <c r="D164">
        <v>16</v>
      </c>
      <c r="E164" t="s">
        <v>309</v>
      </c>
      <c r="F164" t="s">
        <v>311</v>
      </c>
      <c r="H164" t="s">
        <v>37</v>
      </c>
      <c r="I164" t="s">
        <v>38</v>
      </c>
      <c r="J164">
        <v>6</v>
      </c>
      <c r="N164">
        <v>6</v>
      </c>
      <c r="O164">
        <v>0</v>
      </c>
      <c r="P164">
        <v>2</v>
      </c>
      <c r="Q164">
        <v>2</v>
      </c>
      <c r="R164">
        <v>2</v>
      </c>
      <c r="S164">
        <v>0</v>
      </c>
    </row>
    <row r="165" spans="1:19" x14ac:dyDescent="0.35">
      <c r="A165" t="s">
        <v>20</v>
      </c>
      <c r="B165" t="s">
        <v>21</v>
      </c>
      <c r="C165" t="s">
        <v>309</v>
      </c>
      <c r="D165">
        <v>17</v>
      </c>
      <c r="E165" t="s">
        <v>309</v>
      </c>
      <c r="F165" t="s">
        <v>312</v>
      </c>
      <c r="H165" t="s">
        <v>37</v>
      </c>
      <c r="I165" t="s">
        <v>38</v>
      </c>
      <c r="J165">
        <v>3</v>
      </c>
      <c r="N165">
        <v>3</v>
      </c>
      <c r="O165">
        <v>0</v>
      </c>
      <c r="P165">
        <v>1</v>
      </c>
      <c r="Q165">
        <v>1</v>
      </c>
      <c r="R165">
        <v>1</v>
      </c>
      <c r="S165">
        <v>0</v>
      </c>
    </row>
    <row r="166" spans="1:19" x14ac:dyDescent="0.35">
      <c r="A166" t="s">
        <v>20</v>
      </c>
      <c r="B166" t="s">
        <v>21</v>
      </c>
      <c r="C166" t="s">
        <v>309</v>
      </c>
      <c r="D166">
        <v>18</v>
      </c>
      <c r="E166" t="s">
        <v>309</v>
      </c>
      <c r="F166" t="s">
        <v>313</v>
      </c>
      <c r="H166" t="s">
        <v>37</v>
      </c>
      <c r="I166" t="s">
        <v>38</v>
      </c>
      <c r="J166">
        <v>6</v>
      </c>
      <c r="N166">
        <v>6</v>
      </c>
      <c r="O166">
        <v>0</v>
      </c>
      <c r="P166">
        <v>2</v>
      </c>
      <c r="Q166">
        <v>2</v>
      </c>
      <c r="R166">
        <v>2</v>
      </c>
      <c r="S166">
        <v>0</v>
      </c>
    </row>
    <row r="167" spans="1:19" x14ac:dyDescent="0.35">
      <c r="A167" t="s">
        <v>20</v>
      </c>
      <c r="B167" t="s">
        <v>21</v>
      </c>
      <c r="C167" t="s">
        <v>309</v>
      </c>
      <c r="D167">
        <v>19</v>
      </c>
      <c r="E167" t="s">
        <v>309</v>
      </c>
      <c r="F167" t="s">
        <v>314</v>
      </c>
      <c r="H167" t="s">
        <v>37</v>
      </c>
      <c r="I167" t="s">
        <v>38</v>
      </c>
      <c r="J167">
        <v>3</v>
      </c>
      <c r="N167">
        <v>3</v>
      </c>
      <c r="O167">
        <v>0</v>
      </c>
      <c r="P167">
        <v>1</v>
      </c>
      <c r="Q167">
        <v>1</v>
      </c>
      <c r="R167">
        <v>1</v>
      </c>
      <c r="S167">
        <v>0</v>
      </c>
    </row>
    <row r="168" spans="1:19" x14ac:dyDescent="0.35">
      <c r="A168" t="s">
        <v>20</v>
      </c>
      <c r="B168" t="s">
        <v>21</v>
      </c>
      <c r="C168" t="s">
        <v>309</v>
      </c>
      <c r="D168">
        <v>20</v>
      </c>
      <c r="E168" t="s">
        <v>309</v>
      </c>
      <c r="F168" t="s">
        <v>315</v>
      </c>
      <c r="H168" t="s">
        <v>37</v>
      </c>
      <c r="I168" t="s">
        <v>38</v>
      </c>
      <c r="J168">
        <v>3</v>
      </c>
      <c r="N168">
        <v>3</v>
      </c>
      <c r="O168">
        <v>0</v>
      </c>
      <c r="P168">
        <v>1</v>
      </c>
      <c r="Q168">
        <v>1</v>
      </c>
      <c r="R168">
        <v>1</v>
      </c>
      <c r="S168">
        <v>0</v>
      </c>
    </row>
    <row r="169" spans="1:19" x14ac:dyDescent="0.35">
      <c r="A169" t="s">
        <v>20</v>
      </c>
      <c r="B169" t="s">
        <v>21</v>
      </c>
      <c r="C169" t="s">
        <v>309</v>
      </c>
      <c r="D169">
        <v>21</v>
      </c>
      <c r="E169" t="s">
        <v>309</v>
      </c>
      <c r="F169" t="s">
        <v>316</v>
      </c>
      <c r="H169" t="s">
        <v>37</v>
      </c>
      <c r="I169" t="s">
        <v>38</v>
      </c>
      <c r="J169">
        <v>3</v>
      </c>
      <c r="N169">
        <v>3</v>
      </c>
      <c r="O169">
        <v>0</v>
      </c>
      <c r="P169">
        <v>1</v>
      </c>
      <c r="Q169">
        <v>1</v>
      </c>
      <c r="R169">
        <v>1</v>
      </c>
      <c r="S169">
        <v>0</v>
      </c>
    </row>
    <row r="170" spans="1:19" x14ac:dyDescent="0.35">
      <c r="A170" t="s">
        <v>20</v>
      </c>
      <c r="B170" t="s">
        <v>21</v>
      </c>
      <c r="C170" t="s">
        <v>309</v>
      </c>
      <c r="D170">
        <v>22</v>
      </c>
      <c r="E170" t="s">
        <v>309</v>
      </c>
      <c r="F170" t="s">
        <v>317</v>
      </c>
      <c r="H170" t="s">
        <v>37</v>
      </c>
      <c r="I170" t="s">
        <v>38</v>
      </c>
      <c r="J170">
        <v>3</v>
      </c>
      <c r="N170">
        <v>3</v>
      </c>
      <c r="O170">
        <v>0</v>
      </c>
      <c r="P170">
        <v>1</v>
      </c>
      <c r="Q170">
        <v>1</v>
      </c>
      <c r="R170">
        <v>1</v>
      </c>
      <c r="S170">
        <v>0</v>
      </c>
    </row>
    <row r="171" spans="1:19" x14ac:dyDescent="0.35">
      <c r="A171" t="s">
        <v>20</v>
      </c>
      <c r="B171" t="s">
        <v>21</v>
      </c>
      <c r="C171" t="s">
        <v>318</v>
      </c>
      <c r="D171">
        <v>23</v>
      </c>
      <c r="E171" t="s">
        <v>318</v>
      </c>
      <c r="F171" t="s">
        <v>319</v>
      </c>
      <c r="H171" t="s">
        <v>82</v>
      </c>
      <c r="I171" t="s">
        <v>83</v>
      </c>
      <c r="J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35">
      <c r="A172" t="s">
        <v>20</v>
      </c>
      <c r="B172" t="s">
        <v>21</v>
      </c>
      <c r="C172" t="s">
        <v>320</v>
      </c>
      <c r="D172">
        <v>24</v>
      </c>
      <c r="E172" t="s">
        <v>320</v>
      </c>
      <c r="F172" t="s">
        <v>321</v>
      </c>
      <c r="H172" t="s">
        <v>322</v>
      </c>
      <c r="I172" t="s">
        <v>57</v>
      </c>
      <c r="J172">
        <v>1</v>
      </c>
      <c r="N172">
        <v>1</v>
      </c>
      <c r="O172">
        <v>1</v>
      </c>
      <c r="P172">
        <v>0</v>
      </c>
      <c r="Q172">
        <v>0</v>
      </c>
      <c r="R172">
        <v>0</v>
      </c>
      <c r="S172">
        <v>0</v>
      </c>
    </row>
    <row r="173" spans="1:19" x14ac:dyDescent="0.35">
      <c r="A173" t="s">
        <v>20</v>
      </c>
      <c r="B173" t="s">
        <v>21</v>
      </c>
      <c r="C173" t="s">
        <v>323</v>
      </c>
      <c r="D173">
        <v>25</v>
      </c>
      <c r="E173" t="s">
        <v>323</v>
      </c>
      <c r="F173" t="s">
        <v>321</v>
      </c>
      <c r="H173" t="s">
        <v>324</v>
      </c>
      <c r="I173" t="s">
        <v>325</v>
      </c>
      <c r="J173">
        <v>10</v>
      </c>
      <c r="N173">
        <v>10</v>
      </c>
      <c r="O173">
        <v>10</v>
      </c>
      <c r="P173">
        <v>0</v>
      </c>
      <c r="Q173">
        <v>0</v>
      </c>
      <c r="R173">
        <v>0</v>
      </c>
      <c r="S173">
        <v>0</v>
      </c>
    </row>
    <row r="174" spans="1:19" x14ac:dyDescent="0.35">
      <c r="A174" t="s">
        <v>20</v>
      </c>
      <c r="B174" t="s">
        <v>21</v>
      </c>
      <c r="C174" t="s">
        <v>326</v>
      </c>
      <c r="D174">
        <v>26</v>
      </c>
      <c r="E174" t="s">
        <v>326</v>
      </c>
      <c r="F174" t="s">
        <v>327</v>
      </c>
      <c r="H174" t="s">
        <v>328</v>
      </c>
      <c r="I174" t="s">
        <v>57</v>
      </c>
      <c r="J174">
        <v>6</v>
      </c>
      <c r="N174">
        <v>6</v>
      </c>
      <c r="O174">
        <v>1</v>
      </c>
      <c r="P174">
        <v>2</v>
      </c>
      <c r="Q174">
        <v>2</v>
      </c>
      <c r="R174">
        <v>1</v>
      </c>
      <c r="S174">
        <v>0</v>
      </c>
    </row>
    <row r="175" spans="1:19" x14ac:dyDescent="0.35">
      <c r="A175" t="s">
        <v>20</v>
      </c>
      <c r="B175" t="s">
        <v>21</v>
      </c>
      <c r="C175" t="s">
        <v>329</v>
      </c>
      <c r="D175">
        <v>27</v>
      </c>
      <c r="E175" t="s">
        <v>329</v>
      </c>
      <c r="F175" t="s">
        <v>330</v>
      </c>
      <c r="H175" t="s">
        <v>331</v>
      </c>
      <c r="I175" t="s">
        <v>83</v>
      </c>
      <c r="J175">
        <v>6</v>
      </c>
      <c r="N175">
        <v>6</v>
      </c>
      <c r="O175">
        <v>0</v>
      </c>
      <c r="P175">
        <v>2</v>
      </c>
      <c r="Q175">
        <v>2</v>
      </c>
      <c r="R175">
        <v>2</v>
      </c>
      <c r="S175">
        <v>0</v>
      </c>
    </row>
    <row r="176" spans="1:19" x14ac:dyDescent="0.35">
      <c r="A176" t="s">
        <v>20</v>
      </c>
      <c r="B176" t="s">
        <v>21</v>
      </c>
      <c r="C176" t="s">
        <v>332</v>
      </c>
      <c r="D176">
        <v>28</v>
      </c>
      <c r="E176" t="s">
        <v>332</v>
      </c>
      <c r="F176" t="s">
        <v>332</v>
      </c>
      <c r="H176" t="s">
        <v>333</v>
      </c>
      <c r="I176" t="s">
        <v>334</v>
      </c>
      <c r="J176">
        <v>64</v>
      </c>
      <c r="N176">
        <v>64</v>
      </c>
      <c r="O176">
        <v>0</v>
      </c>
      <c r="P176">
        <v>22</v>
      </c>
      <c r="Q176">
        <v>21</v>
      </c>
      <c r="R176">
        <v>21</v>
      </c>
      <c r="S176">
        <v>0</v>
      </c>
    </row>
    <row r="177" spans="1:19" x14ac:dyDescent="0.35">
      <c r="A177" t="s">
        <v>20</v>
      </c>
      <c r="B177" t="s">
        <v>21</v>
      </c>
      <c r="C177" t="s">
        <v>335</v>
      </c>
      <c r="D177">
        <v>29</v>
      </c>
      <c r="E177" t="s">
        <v>335</v>
      </c>
      <c r="F177" t="s">
        <v>319</v>
      </c>
      <c r="H177" t="s">
        <v>173</v>
      </c>
      <c r="I177" t="s">
        <v>174</v>
      </c>
      <c r="J177">
        <v>15</v>
      </c>
      <c r="N177">
        <v>15</v>
      </c>
      <c r="O177">
        <v>0</v>
      </c>
      <c r="P177">
        <v>5</v>
      </c>
      <c r="Q177">
        <v>5</v>
      </c>
      <c r="R177">
        <v>5</v>
      </c>
      <c r="S177">
        <v>0</v>
      </c>
    </row>
    <row r="178" spans="1:19" x14ac:dyDescent="0.35">
      <c r="A178" t="s">
        <v>20</v>
      </c>
      <c r="B178" t="s">
        <v>21</v>
      </c>
      <c r="C178" t="s">
        <v>336</v>
      </c>
      <c r="D178">
        <v>30</v>
      </c>
      <c r="E178" t="s">
        <v>336</v>
      </c>
      <c r="F178" t="s">
        <v>105</v>
      </c>
      <c r="H178" t="s">
        <v>337</v>
      </c>
      <c r="I178" t="s">
        <v>215</v>
      </c>
      <c r="J178">
        <v>60</v>
      </c>
      <c r="N178">
        <v>60</v>
      </c>
      <c r="O178">
        <v>0</v>
      </c>
      <c r="P178">
        <v>20</v>
      </c>
      <c r="Q178">
        <v>20</v>
      </c>
      <c r="R178">
        <v>20</v>
      </c>
      <c r="S178">
        <v>0</v>
      </c>
    </row>
    <row r="179" spans="1:19" x14ac:dyDescent="0.35">
      <c r="A179" t="s">
        <v>20</v>
      </c>
      <c r="B179" t="s">
        <v>21</v>
      </c>
      <c r="C179" t="s">
        <v>338</v>
      </c>
      <c r="D179">
        <v>31</v>
      </c>
      <c r="E179" t="s">
        <v>339</v>
      </c>
      <c r="F179" t="s">
        <v>340</v>
      </c>
      <c r="H179" t="s">
        <v>341</v>
      </c>
      <c r="I179" t="s">
        <v>342</v>
      </c>
      <c r="J179">
        <v>3</v>
      </c>
      <c r="N179">
        <v>6</v>
      </c>
      <c r="O179">
        <v>3</v>
      </c>
      <c r="P179">
        <v>1</v>
      </c>
      <c r="Q179">
        <v>1</v>
      </c>
      <c r="R179">
        <v>1</v>
      </c>
      <c r="S179">
        <v>0</v>
      </c>
    </row>
    <row r="180" spans="1:19" x14ac:dyDescent="0.35">
      <c r="A180" t="s">
        <v>20</v>
      </c>
      <c r="B180" t="s">
        <v>21</v>
      </c>
      <c r="C180" t="s">
        <v>343</v>
      </c>
      <c r="D180">
        <v>32</v>
      </c>
      <c r="E180" t="s">
        <v>344</v>
      </c>
      <c r="F180" t="s">
        <v>345</v>
      </c>
      <c r="H180" t="s">
        <v>346</v>
      </c>
      <c r="I180" t="s">
        <v>115</v>
      </c>
      <c r="J180">
        <v>18</v>
      </c>
      <c r="N180">
        <v>18</v>
      </c>
      <c r="O180">
        <v>0</v>
      </c>
      <c r="P180">
        <v>6</v>
      </c>
      <c r="Q180">
        <v>6</v>
      </c>
      <c r="R180">
        <v>6</v>
      </c>
      <c r="S180">
        <v>0</v>
      </c>
    </row>
    <row r="181" spans="1:19" x14ac:dyDescent="0.35">
      <c r="A181" t="s">
        <v>20</v>
      </c>
      <c r="B181" t="s">
        <v>21</v>
      </c>
      <c r="C181" t="s">
        <v>347</v>
      </c>
      <c r="D181">
        <v>33</v>
      </c>
      <c r="E181" t="s">
        <v>347</v>
      </c>
      <c r="F181" t="s">
        <v>347</v>
      </c>
      <c r="H181" t="s">
        <v>348</v>
      </c>
      <c r="I181" t="s">
        <v>349</v>
      </c>
      <c r="J181">
        <v>30</v>
      </c>
      <c r="N181">
        <v>30</v>
      </c>
      <c r="O181">
        <v>0</v>
      </c>
      <c r="P181">
        <v>10</v>
      </c>
      <c r="Q181">
        <v>10</v>
      </c>
      <c r="R181">
        <v>10</v>
      </c>
      <c r="S181">
        <v>0</v>
      </c>
    </row>
    <row r="182" spans="1:19" x14ac:dyDescent="0.35">
      <c r="A182" t="s">
        <v>20</v>
      </c>
      <c r="B182" t="s">
        <v>21</v>
      </c>
      <c r="C182" t="s">
        <v>350</v>
      </c>
      <c r="D182">
        <v>34</v>
      </c>
      <c r="E182" t="s">
        <v>350</v>
      </c>
      <c r="F182" t="s">
        <v>351</v>
      </c>
      <c r="H182" t="s">
        <v>352</v>
      </c>
      <c r="I182" t="s">
        <v>353</v>
      </c>
      <c r="J182">
        <v>42</v>
      </c>
      <c r="N182">
        <v>42</v>
      </c>
      <c r="O182">
        <v>0</v>
      </c>
      <c r="P182">
        <v>14</v>
      </c>
      <c r="Q182">
        <v>14</v>
      </c>
      <c r="R182">
        <v>14</v>
      </c>
      <c r="S182">
        <v>0</v>
      </c>
    </row>
    <row r="183" spans="1:19" x14ac:dyDescent="0.35">
      <c r="A183" t="s">
        <v>20</v>
      </c>
      <c r="B183" t="s">
        <v>21</v>
      </c>
      <c r="C183" t="s">
        <v>354</v>
      </c>
      <c r="D183">
        <v>35</v>
      </c>
      <c r="E183" t="s">
        <v>354</v>
      </c>
      <c r="F183" t="s">
        <v>355</v>
      </c>
      <c r="H183" t="s">
        <v>356</v>
      </c>
      <c r="I183" t="s">
        <v>83</v>
      </c>
      <c r="J183">
        <v>6</v>
      </c>
      <c r="N183">
        <v>6</v>
      </c>
      <c r="O183">
        <v>0</v>
      </c>
      <c r="P183">
        <v>2</v>
      </c>
      <c r="Q183">
        <v>2</v>
      </c>
      <c r="R183">
        <v>2</v>
      </c>
      <c r="S183">
        <v>0</v>
      </c>
    </row>
    <row r="184" spans="1:19" x14ac:dyDescent="0.35">
      <c r="A184" t="s">
        <v>20</v>
      </c>
      <c r="B184" t="s">
        <v>21</v>
      </c>
      <c r="C184" t="s">
        <v>357</v>
      </c>
      <c r="D184">
        <v>36</v>
      </c>
      <c r="E184" t="s">
        <v>357</v>
      </c>
      <c r="F184" t="s">
        <v>358</v>
      </c>
      <c r="H184" t="s">
        <v>359</v>
      </c>
      <c r="I184" t="s">
        <v>229</v>
      </c>
      <c r="J184">
        <v>90</v>
      </c>
      <c r="N184">
        <v>90</v>
      </c>
      <c r="O184">
        <v>0</v>
      </c>
      <c r="P184">
        <v>30</v>
      </c>
      <c r="Q184">
        <v>30</v>
      </c>
      <c r="R184">
        <v>30</v>
      </c>
      <c r="S18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2"/>
  <sheetViews>
    <sheetView zoomScale="53" workbookViewId="0">
      <selection activeCell="D55" sqref="D55"/>
    </sheetView>
  </sheetViews>
  <sheetFormatPr defaultRowHeight="14.5" x14ac:dyDescent="0.35"/>
  <cols>
    <col min="1" max="1" width="8.26953125" bestFit="1" customWidth="1"/>
    <col min="2" max="2" width="8.1796875" bestFit="1" customWidth="1"/>
    <col min="3" max="3" width="43.453125" customWidth="1"/>
    <col min="4" max="4" width="6.1796875" bestFit="1" customWidth="1"/>
    <col min="5" max="5" width="31.26953125" bestFit="1" customWidth="1"/>
    <col min="6" max="6" width="33.81640625" bestFit="1" customWidth="1"/>
    <col min="7" max="7" width="14.54296875" bestFit="1" customWidth="1"/>
    <col min="8" max="8" width="18.7265625" bestFit="1" customWidth="1"/>
    <col min="9" max="9" width="12" bestFit="1" customWidth="1"/>
    <col min="10" max="10" width="22.7265625" bestFit="1" customWidth="1"/>
    <col min="11" max="11" width="13.7265625" bestFit="1" customWidth="1"/>
    <col min="12" max="12" width="10.7265625" bestFit="1" customWidth="1"/>
    <col min="13" max="13" width="18.26953125" bestFit="1" customWidth="1"/>
    <col min="14" max="14" width="18.81640625" bestFit="1" customWidth="1"/>
    <col min="15" max="15" width="12.26953125" bestFit="1" customWidth="1"/>
    <col min="16" max="16" width="7.1796875" bestFit="1" customWidth="1"/>
    <col min="17" max="18" width="7" bestFit="1" customWidth="1"/>
    <col min="19" max="19" width="7.7265625" bestFit="1" customWidth="1"/>
    <col min="20" max="20" width="30" bestFit="1" customWidth="1"/>
  </cols>
  <sheetData>
    <row r="1" spans="1:2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360</v>
      </c>
      <c r="K1" s="1" t="s">
        <v>10</v>
      </c>
      <c r="L1" s="1" t="s">
        <v>11</v>
      </c>
      <c r="M1" s="1" t="s">
        <v>12</v>
      </c>
      <c r="N1" s="1" t="s">
        <v>361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t="s">
        <v>20</v>
      </c>
      <c r="B2" t="s">
        <v>21</v>
      </c>
      <c r="C2" t="s">
        <v>199</v>
      </c>
      <c r="D2">
        <v>1</v>
      </c>
      <c r="E2" t="s">
        <v>199</v>
      </c>
      <c r="F2" t="s">
        <v>200</v>
      </c>
      <c r="G2" t="s">
        <v>201</v>
      </c>
      <c r="H2" t="s">
        <v>37</v>
      </c>
      <c r="I2" t="s">
        <v>38</v>
      </c>
      <c r="J2">
        <v>3</v>
      </c>
      <c r="K2" t="s">
        <v>201</v>
      </c>
      <c r="L2" t="s">
        <v>201</v>
      </c>
      <c r="M2" t="s">
        <v>201</v>
      </c>
      <c r="N2" s="29">
        <v>3</v>
      </c>
      <c r="O2">
        <v>0</v>
      </c>
      <c r="P2">
        <v>1</v>
      </c>
      <c r="Q2">
        <v>1</v>
      </c>
      <c r="R2">
        <v>1</v>
      </c>
      <c r="S2">
        <v>0</v>
      </c>
      <c r="T2" t="s">
        <v>201</v>
      </c>
    </row>
    <row r="3" spans="1:20" x14ac:dyDescent="0.35">
      <c r="A3" t="s">
        <v>20</v>
      </c>
      <c r="B3" t="s">
        <v>21</v>
      </c>
      <c r="C3" t="s">
        <v>199</v>
      </c>
      <c r="D3">
        <v>2</v>
      </c>
      <c r="E3" t="s">
        <v>199</v>
      </c>
      <c r="F3" t="s">
        <v>202</v>
      </c>
      <c r="G3" t="s">
        <v>201</v>
      </c>
      <c r="H3" t="s">
        <v>37</v>
      </c>
      <c r="I3" t="s">
        <v>38</v>
      </c>
      <c r="J3">
        <v>3</v>
      </c>
      <c r="K3" t="s">
        <v>201</v>
      </c>
      <c r="L3" t="s">
        <v>201</v>
      </c>
      <c r="M3" t="s">
        <v>201</v>
      </c>
      <c r="N3" s="30">
        <v>3</v>
      </c>
      <c r="O3">
        <v>0</v>
      </c>
      <c r="P3">
        <v>1</v>
      </c>
      <c r="Q3">
        <v>1</v>
      </c>
      <c r="R3">
        <v>1</v>
      </c>
      <c r="S3">
        <v>0</v>
      </c>
      <c r="T3" t="s">
        <v>201</v>
      </c>
    </row>
    <row r="4" spans="1:20" x14ac:dyDescent="0.35">
      <c r="A4" t="s">
        <v>20</v>
      </c>
      <c r="B4" t="s">
        <v>21</v>
      </c>
      <c r="C4" t="s">
        <v>199</v>
      </c>
      <c r="D4">
        <v>3</v>
      </c>
      <c r="E4" t="s">
        <v>199</v>
      </c>
      <c r="F4" t="s">
        <v>203</v>
      </c>
      <c r="G4">
        <v>4</v>
      </c>
      <c r="H4" t="s">
        <v>33</v>
      </c>
      <c r="I4" t="s">
        <v>26</v>
      </c>
      <c r="J4">
        <v>12</v>
      </c>
      <c r="K4" t="s">
        <v>201</v>
      </c>
      <c r="L4" t="s">
        <v>201</v>
      </c>
      <c r="M4" t="s">
        <v>201</v>
      </c>
      <c r="N4" s="29">
        <f>('TT_Cut&amp;Sew_LC'!$J$18+1)*3</f>
        <v>12</v>
      </c>
      <c r="O4">
        <v>0</v>
      </c>
      <c r="P4">
        <v>4</v>
      </c>
      <c r="Q4">
        <v>4</v>
      </c>
      <c r="R4">
        <v>4</v>
      </c>
      <c r="S4">
        <v>0</v>
      </c>
      <c r="T4" t="s">
        <v>204</v>
      </c>
    </row>
    <row r="5" spans="1:20" x14ac:dyDescent="0.35">
      <c r="A5" t="s">
        <v>20</v>
      </c>
      <c r="B5" t="s">
        <v>21</v>
      </c>
      <c r="C5" t="s">
        <v>199</v>
      </c>
      <c r="D5">
        <v>4</v>
      </c>
      <c r="E5" t="s">
        <v>199</v>
      </c>
      <c r="F5" t="s">
        <v>205</v>
      </c>
      <c r="G5">
        <v>4</v>
      </c>
      <c r="H5" t="s">
        <v>33</v>
      </c>
      <c r="I5" t="s">
        <v>26</v>
      </c>
      <c r="J5">
        <v>12</v>
      </c>
      <c r="K5" t="s">
        <v>201</v>
      </c>
      <c r="L5" t="s">
        <v>201</v>
      </c>
      <c r="M5" t="s">
        <v>201</v>
      </c>
      <c r="N5" s="30">
        <f>('TT_Cut&amp;Sew_LC'!$J$18+1)*3</f>
        <v>12</v>
      </c>
      <c r="O5">
        <v>0</v>
      </c>
      <c r="P5">
        <v>4</v>
      </c>
      <c r="Q5">
        <v>4</v>
      </c>
      <c r="R5">
        <v>4</v>
      </c>
      <c r="S5">
        <v>0</v>
      </c>
      <c r="T5" t="s">
        <v>204</v>
      </c>
    </row>
    <row r="6" spans="1:20" x14ac:dyDescent="0.35">
      <c r="A6" t="s">
        <v>20</v>
      </c>
      <c r="B6" t="s">
        <v>21</v>
      </c>
      <c r="C6" t="s">
        <v>199</v>
      </c>
      <c r="D6">
        <v>5</v>
      </c>
      <c r="E6" t="s">
        <v>199</v>
      </c>
      <c r="F6" t="s">
        <v>206</v>
      </c>
      <c r="G6" t="s">
        <v>201</v>
      </c>
      <c r="H6" t="s">
        <v>82</v>
      </c>
      <c r="I6" t="s">
        <v>83</v>
      </c>
      <c r="J6">
        <v>6</v>
      </c>
      <c r="K6" t="s">
        <v>201</v>
      </c>
      <c r="L6" t="s">
        <v>201</v>
      </c>
      <c r="M6" t="s">
        <v>201</v>
      </c>
      <c r="N6" s="29">
        <v>6</v>
      </c>
      <c r="O6">
        <v>0</v>
      </c>
      <c r="P6">
        <v>2</v>
      </c>
      <c r="Q6">
        <v>2</v>
      </c>
      <c r="R6">
        <v>2</v>
      </c>
      <c r="S6">
        <v>0</v>
      </c>
      <c r="T6" t="s">
        <v>201</v>
      </c>
    </row>
    <row r="7" spans="1:20" x14ac:dyDescent="0.35">
      <c r="A7" t="s">
        <v>20</v>
      </c>
      <c r="B7" t="s">
        <v>21</v>
      </c>
      <c r="C7" t="s">
        <v>199</v>
      </c>
      <c r="D7">
        <v>6</v>
      </c>
      <c r="E7" t="s">
        <v>199</v>
      </c>
      <c r="F7" t="s">
        <v>207</v>
      </c>
      <c r="G7" t="s">
        <v>201</v>
      </c>
      <c r="H7" t="s">
        <v>82</v>
      </c>
      <c r="I7" t="s">
        <v>83</v>
      </c>
      <c r="J7">
        <v>6</v>
      </c>
      <c r="K7" t="s">
        <v>201</v>
      </c>
      <c r="L7" t="s">
        <v>201</v>
      </c>
      <c r="M7" t="s">
        <v>201</v>
      </c>
      <c r="N7" s="30">
        <v>6</v>
      </c>
      <c r="O7">
        <v>0</v>
      </c>
      <c r="P7">
        <v>2</v>
      </c>
      <c r="Q7">
        <v>2</v>
      </c>
      <c r="R7">
        <v>2</v>
      </c>
      <c r="S7">
        <v>0</v>
      </c>
      <c r="T7" t="s">
        <v>201</v>
      </c>
    </row>
    <row r="8" spans="1:20" x14ac:dyDescent="0.35">
      <c r="A8" t="s">
        <v>20</v>
      </c>
      <c r="B8" t="s">
        <v>21</v>
      </c>
      <c r="C8" t="s">
        <v>199</v>
      </c>
      <c r="D8">
        <v>7</v>
      </c>
      <c r="E8" t="s">
        <v>199</v>
      </c>
      <c r="F8" t="s">
        <v>208</v>
      </c>
      <c r="G8" t="s">
        <v>201</v>
      </c>
      <c r="H8" t="s">
        <v>82</v>
      </c>
      <c r="I8" t="s">
        <v>83</v>
      </c>
      <c r="J8">
        <v>6</v>
      </c>
      <c r="K8" t="s">
        <v>201</v>
      </c>
      <c r="L8" t="s">
        <v>201</v>
      </c>
      <c r="M8" t="s">
        <v>201</v>
      </c>
      <c r="N8" s="29">
        <v>6</v>
      </c>
      <c r="O8">
        <v>0</v>
      </c>
      <c r="P8">
        <v>2</v>
      </c>
      <c r="Q8">
        <v>2</v>
      </c>
      <c r="R8">
        <v>2</v>
      </c>
      <c r="S8">
        <v>0</v>
      </c>
      <c r="T8" t="s">
        <v>209</v>
      </c>
    </row>
    <row r="9" spans="1:20" x14ac:dyDescent="0.35">
      <c r="A9" t="s">
        <v>20</v>
      </c>
      <c r="B9" t="s">
        <v>21</v>
      </c>
      <c r="C9" t="s">
        <v>210</v>
      </c>
      <c r="D9">
        <v>8</v>
      </c>
      <c r="E9" t="s">
        <v>210</v>
      </c>
      <c r="F9" t="s">
        <v>211</v>
      </c>
      <c r="G9" t="s">
        <v>201</v>
      </c>
      <c r="H9" t="s">
        <v>201</v>
      </c>
      <c r="I9" t="s">
        <v>38</v>
      </c>
      <c r="J9">
        <v>3</v>
      </c>
      <c r="K9" t="s">
        <v>201</v>
      </c>
      <c r="L9" t="s">
        <v>201</v>
      </c>
      <c r="M9" t="s">
        <v>201</v>
      </c>
      <c r="N9" s="30">
        <v>3</v>
      </c>
      <c r="O9">
        <v>0</v>
      </c>
      <c r="P9">
        <v>1</v>
      </c>
      <c r="Q9">
        <v>1</v>
      </c>
      <c r="R9">
        <v>1</v>
      </c>
      <c r="S9">
        <v>0</v>
      </c>
      <c r="T9" t="s">
        <v>201</v>
      </c>
    </row>
    <row r="10" spans="1:20" x14ac:dyDescent="0.35">
      <c r="A10" t="s">
        <v>20</v>
      </c>
      <c r="B10" t="s">
        <v>21</v>
      </c>
      <c r="C10" t="s">
        <v>210</v>
      </c>
      <c r="D10">
        <v>9</v>
      </c>
      <c r="E10" t="s">
        <v>210</v>
      </c>
      <c r="F10" t="s">
        <v>212</v>
      </c>
      <c r="G10" t="s">
        <v>201</v>
      </c>
      <c r="H10" t="s">
        <v>201</v>
      </c>
      <c r="I10" t="s">
        <v>38</v>
      </c>
      <c r="J10">
        <v>3</v>
      </c>
      <c r="K10" t="s">
        <v>201</v>
      </c>
      <c r="L10" t="s">
        <v>201</v>
      </c>
      <c r="M10" t="s">
        <v>201</v>
      </c>
      <c r="N10" s="29">
        <v>3</v>
      </c>
      <c r="O10">
        <v>0</v>
      </c>
      <c r="P10">
        <v>1</v>
      </c>
      <c r="Q10">
        <v>1</v>
      </c>
      <c r="R10">
        <v>1</v>
      </c>
      <c r="S10">
        <v>0</v>
      </c>
      <c r="T10" t="s">
        <v>201</v>
      </c>
    </row>
    <row r="11" spans="1:20" x14ac:dyDescent="0.35">
      <c r="A11" t="s">
        <v>20</v>
      </c>
      <c r="B11" t="s">
        <v>21</v>
      </c>
      <c r="C11" t="s">
        <v>210</v>
      </c>
      <c r="D11">
        <v>10</v>
      </c>
      <c r="E11" t="s">
        <v>210</v>
      </c>
      <c r="F11" t="s">
        <v>213</v>
      </c>
      <c r="G11" t="s">
        <v>201</v>
      </c>
      <c r="H11" t="s">
        <v>201</v>
      </c>
      <c r="I11" t="s">
        <v>83</v>
      </c>
      <c r="J11">
        <v>6</v>
      </c>
      <c r="K11" t="s">
        <v>201</v>
      </c>
      <c r="L11" t="s">
        <v>201</v>
      </c>
      <c r="M11" t="s">
        <v>201</v>
      </c>
      <c r="N11" s="30">
        <v>6</v>
      </c>
      <c r="O11">
        <v>0</v>
      </c>
      <c r="P11">
        <v>2</v>
      </c>
      <c r="Q11">
        <v>2</v>
      </c>
      <c r="R11">
        <v>2</v>
      </c>
      <c r="S11">
        <v>0</v>
      </c>
      <c r="T11" t="s">
        <v>201</v>
      </c>
    </row>
    <row r="12" spans="1:20" x14ac:dyDescent="0.35">
      <c r="A12" t="s">
        <v>20</v>
      </c>
      <c r="B12" t="s">
        <v>21</v>
      </c>
      <c r="C12" t="s">
        <v>210</v>
      </c>
      <c r="D12">
        <v>11</v>
      </c>
      <c r="E12" t="s">
        <v>210</v>
      </c>
      <c r="F12" t="s">
        <v>214</v>
      </c>
      <c r="G12" t="s">
        <v>201</v>
      </c>
      <c r="H12" t="s">
        <v>201</v>
      </c>
      <c r="I12" t="s">
        <v>215</v>
      </c>
      <c r="J12">
        <v>60</v>
      </c>
      <c r="K12" t="s">
        <v>201</v>
      </c>
      <c r="L12" t="s">
        <v>201</v>
      </c>
      <c r="M12" t="s">
        <v>201</v>
      </c>
      <c r="N12" s="29">
        <f>('TT_Cut&amp;Sew_LH'!$J$20+1)*3</f>
        <v>60</v>
      </c>
      <c r="O12">
        <v>0</v>
      </c>
      <c r="P12">
        <v>20</v>
      </c>
      <c r="Q12">
        <v>20</v>
      </c>
      <c r="R12">
        <v>20</v>
      </c>
      <c r="S12">
        <v>0</v>
      </c>
      <c r="T12" t="s">
        <v>216</v>
      </c>
    </row>
    <row r="13" spans="1:20" x14ac:dyDescent="0.35">
      <c r="A13" t="s">
        <v>20</v>
      </c>
      <c r="B13" t="s">
        <v>21</v>
      </c>
      <c r="C13" t="s">
        <v>210</v>
      </c>
      <c r="D13">
        <v>12</v>
      </c>
      <c r="E13" t="s">
        <v>210</v>
      </c>
      <c r="F13" t="s">
        <v>217</v>
      </c>
      <c r="G13" t="s">
        <v>201</v>
      </c>
      <c r="H13" t="s">
        <v>201</v>
      </c>
      <c r="I13" t="s">
        <v>215</v>
      </c>
      <c r="J13">
        <v>60</v>
      </c>
      <c r="K13" t="s">
        <v>201</v>
      </c>
      <c r="L13" t="s">
        <v>201</v>
      </c>
      <c r="M13" t="s">
        <v>201</v>
      </c>
      <c r="N13" s="30">
        <f>('TT_Cut&amp;Sew_LH'!$J$20+1)*3</f>
        <v>60</v>
      </c>
      <c r="O13">
        <v>0</v>
      </c>
      <c r="P13">
        <v>20</v>
      </c>
      <c r="Q13">
        <v>20</v>
      </c>
      <c r="R13">
        <v>20</v>
      </c>
      <c r="S13">
        <v>0</v>
      </c>
      <c r="T13" t="s">
        <v>201</v>
      </c>
    </row>
    <row r="14" spans="1:20" x14ac:dyDescent="0.35">
      <c r="A14" t="s">
        <v>20</v>
      </c>
      <c r="B14" t="s">
        <v>21</v>
      </c>
      <c r="C14" t="s">
        <v>218</v>
      </c>
      <c r="D14">
        <v>13</v>
      </c>
      <c r="E14" t="s">
        <v>218</v>
      </c>
      <c r="F14" t="s">
        <v>219</v>
      </c>
      <c r="G14" t="s">
        <v>201</v>
      </c>
      <c r="H14" t="s">
        <v>201</v>
      </c>
      <c r="I14" t="s">
        <v>83</v>
      </c>
      <c r="J14">
        <v>6</v>
      </c>
      <c r="K14" t="s">
        <v>201</v>
      </c>
      <c r="L14" t="s">
        <v>201</v>
      </c>
      <c r="M14" t="s">
        <v>201</v>
      </c>
      <c r="N14" s="29">
        <v>6</v>
      </c>
      <c r="O14">
        <v>0</v>
      </c>
      <c r="P14">
        <v>2</v>
      </c>
      <c r="Q14">
        <v>2</v>
      </c>
      <c r="R14">
        <v>2</v>
      </c>
      <c r="S14">
        <v>0</v>
      </c>
      <c r="T14" t="s">
        <v>201</v>
      </c>
    </row>
    <row r="15" spans="1:20" x14ac:dyDescent="0.35">
      <c r="A15" t="s">
        <v>20</v>
      </c>
      <c r="B15" t="s">
        <v>21</v>
      </c>
      <c r="C15" t="s">
        <v>218</v>
      </c>
      <c r="D15">
        <v>14</v>
      </c>
      <c r="E15" t="s">
        <v>218</v>
      </c>
      <c r="F15" t="s">
        <v>220</v>
      </c>
      <c r="G15" t="s">
        <v>201</v>
      </c>
      <c r="H15" t="s">
        <v>201</v>
      </c>
      <c r="I15" t="s">
        <v>221</v>
      </c>
      <c r="J15">
        <v>19</v>
      </c>
      <c r="K15" t="s">
        <v>201</v>
      </c>
      <c r="L15" t="s">
        <v>201</v>
      </c>
      <c r="M15" t="s">
        <v>201</v>
      </c>
      <c r="N15" s="30">
        <f>('TT_Cut&amp;Sew_LH'!J20/3)*3</f>
        <v>19</v>
      </c>
      <c r="O15">
        <v>0</v>
      </c>
      <c r="P15">
        <v>7</v>
      </c>
      <c r="Q15">
        <v>6</v>
      </c>
      <c r="R15">
        <v>6</v>
      </c>
      <c r="S15">
        <v>0</v>
      </c>
      <c r="T15" t="s">
        <v>201</v>
      </c>
    </row>
    <row r="16" spans="1:20" x14ac:dyDescent="0.35">
      <c r="A16" t="s">
        <v>20</v>
      </c>
      <c r="B16" t="s">
        <v>21</v>
      </c>
      <c r="C16" t="s">
        <v>222</v>
      </c>
      <c r="D16">
        <v>15</v>
      </c>
      <c r="E16" t="s">
        <v>222</v>
      </c>
      <c r="F16" t="s">
        <v>223</v>
      </c>
      <c r="G16" t="s">
        <v>201</v>
      </c>
      <c r="H16" t="s">
        <v>201</v>
      </c>
      <c r="I16" t="s">
        <v>115</v>
      </c>
      <c r="J16">
        <v>24</v>
      </c>
      <c r="K16" t="s">
        <v>201</v>
      </c>
      <c r="L16" t="s">
        <v>201</v>
      </c>
      <c r="M16" t="s">
        <v>201</v>
      </c>
      <c r="N16" s="29">
        <f>(8*3)</f>
        <v>24</v>
      </c>
      <c r="O16">
        <v>0</v>
      </c>
      <c r="P16">
        <v>8</v>
      </c>
      <c r="Q16">
        <v>8</v>
      </c>
      <c r="R16">
        <v>8</v>
      </c>
      <c r="S16">
        <v>0</v>
      </c>
      <c r="T16" t="s">
        <v>201</v>
      </c>
    </row>
    <row r="17" spans="1:20" x14ac:dyDescent="0.35">
      <c r="A17" t="s">
        <v>20</v>
      </c>
      <c r="B17" t="s">
        <v>21</v>
      </c>
      <c r="C17" t="s">
        <v>222</v>
      </c>
      <c r="D17">
        <v>16</v>
      </c>
      <c r="E17" t="s">
        <v>222</v>
      </c>
      <c r="F17" t="s">
        <v>224</v>
      </c>
      <c r="G17" t="s">
        <v>201</v>
      </c>
      <c r="H17" t="s">
        <v>201</v>
      </c>
      <c r="I17" t="s">
        <v>225</v>
      </c>
      <c r="J17">
        <v>84</v>
      </c>
      <c r="K17" t="s">
        <v>201</v>
      </c>
      <c r="L17" t="s">
        <v>201</v>
      </c>
      <c r="M17" t="s">
        <v>201</v>
      </c>
      <c r="N17" s="30">
        <f>(8*3.5)*3</f>
        <v>84</v>
      </c>
      <c r="O17">
        <v>0</v>
      </c>
      <c r="P17">
        <v>28</v>
      </c>
      <c r="Q17">
        <v>28</v>
      </c>
      <c r="R17">
        <v>28</v>
      </c>
      <c r="S17">
        <v>0</v>
      </c>
      <c r="T17" t="s">
        <v>201</v>
      </c>
    </row>
    <row r="18" spans="1:20" x14ac:dyDescent="0.35">
      <c r="A18" t="s">
        <v>20</v>
      </c>
      <c r="B18" t="s">
        <v>21</v>
      </c>
      <c r="C18" t="s">
        <v>222</v>
      </c>
      <c r="D18">
        <v>17</v>
      </c>
      <c r="E18" t="s">
        <v>222</v>
      </c>
      <c r="F18" t="s">
        <v>226</v>
      </c>
      <c r="G18" t="s">
        <v>201</v>
      </c>
      <c r="H18" t="s">
        <v>201</v>
      </c>
      <c r="I18" t="s">
        <v>38</v>
      </c>
      <c r="J18">
        <v>3</v>
      </c>
      <c r="K18" t="s">
        <v>201</v>
      </c>
      <c r="L18" t="s">
        <v>201</v>
      </c>
      <c r="M18" t="s">
        <v>201</v>
      </c>
      <c r="N18" s="29">
        <v>3</v>
      </c>
      <c r="O18">
        <v>0</v>
      </c>
      <c r="P18">
        <v>1</v>
      </c>
      <c r="Q18">
        <v>1</v>
      </c>
      <c r="R18">
        <v>1</v>
      </c>
      <c r="S18">
        <v>0</v>
      </c>
      <c r="T18" t="s">
        <v>201</v>
      </c>
    </row>
    <row r="19" spans="1:20" x14ac:dyDescent="0.35">
      <c r="A19" t="s">
        <v>20</v>
      </c>
      <c r="B19" t="s">
        <v>21</v>
      </c>
      <c r="C19" t="s">
        <v>227</v>
      </c>
      <c r="D19">
        <v>18</v>
      </c>
      <c r="E19" t="s">
        <v>227</v>
      </c>
      <c r="F19" t="s">
        <v>228</v>
      </c>
      <c r="G19" t="s">
        <v>201</v>
      </c>
      <c r="H19" t="s">
        <v>201</v>
      </c>
      <c r="I19" t="s">
        <v>229</v>
      </c>
      <c r="J19">
        <v>96</v>
      </c>
      <c r="K19" t="s">
        <v>201</v>
      </c>
      <c r="L19" t="s">
        <v>201</v>
      </c>
      <c r="M19" t="s">
        <v>201</v>
      </c>
      <c r="N19" s="31">
        <f>SUM(DTA!C6:D6)</f>
        <v>95.575135470462214</v>
      </c>
      <c r="O19">
        <v>0</v>
      </c>
      <c r="P19">
        <v>32</v>
      </c>
      <c r="Q19">
        <v>32</v>
      </c>
      <c r="R19">
        <v>32</v>
      </c>
      <c r="S19">
        <v>0</v>
      </c>
      <c r="T19" t="s">
        <v>201</v>
      </c>
    </row>
    <row r="20" spans="1:20" x14ac:dyDescent="0.35">
      <c r="A20" t="s">
        <v>20</v>
      </c>
      <c r="B20" t="s">
        <v>21</v>
      </c>
      <c r="C20" t="s">
        <v>227</v>
      </c>
      <c r="D20">
        <v>19</v>
      </c>
      <c r="E20" t="s">
        <v>227</v>
      </c>
      <c r="F20" t="s">
        <v>230</v>
      </c>
      <c r="G20" t="s">
        <v>201</v>
      </c>
      <c r="H20" t="s">
        <v>201</v>
      </c>
      <c r="I20" t="s">
        <v>231</v>
      </c>
      <c r="J20">
        <v>132</v>
      </c>
      <c r="K20" t="s">
        <v>201</v>
      </c>
      <c r="L20" t="s">
        <v>201</v>
      </c>
      <c r="M20" t="s">
        <v>201</v>
      </c>
      <c r="N20" s="32">
        <f>SUM(DTA!E6:G6)</f>
        <v>132.11856962093304</v>
      </c>
      <c r="O20">
        <v>0</v>
      </c>
      <c r="P20">
        <v>44</v>
      </c>
      <c r="Q20">
        <v>44</v>
      </c>
      <c r="R20">
        <v>44</v>
      </c>
      <c r="S20">
        <v>0</v>
      </c>
      <c r="T20" t="s">
        <v>201</v>
      </c>
    </row>
    <row r="21" spans="1:20" x14ac:dyDescent="0.35">
      <c r="A21" t="s">
        <v>20</v>
      </c>
      <c r="B21" t="s">
        <v>21</v>
      </c>
      <c r="C21" t="s">
        <v>227</v>
      </c>
      <c r="D21">
        <v>20</v>
      </c>
      <c r="E21" t="s">
        <v>227</v>
      </c>
      <c r="F21" t="s">
        <v>232</v>
      </c>
      <c r="G21" t="s">
        <v>201</v>
      </c>
      <c r="H21" t="s">
        <v>201</v>
      </c>
      <c r="I21" t="s">
        <v>233</v>
      </c>
      <c r="J21">
        <v>461</v>
      </c>
      <c r="K21" t="s">
        <v>201</v>
      </c>
      <c r="L21" t="s">
        <v>201</v>
      </c>
      <c r="M21" t="s">
        <v>201</v>
      </c>
      <c r="N21" s="31">
        <f>N22*0.9</f>
        <v>460.7515963287633</v>
      </c>
      <c r="O21">
        <v>0</v>
      </c>
      <c r="P21">
        <v>154</v>
      </c>
      <c r="Q21">
        <v>154</v>
      </c>
      <c r="R21">
        <v>153</v>
      </c>
      <c r="S21">
        <v>0</v>
      </c>
      <c r="T21" t="s">
        <v>201</v>
      </c>
    </row>
    <row r="22" spans="1:20" x14ac:dyDescent="0.35">
      <c r="A22" t="s">
        <v>20</v>
      </c>
      <c r="B22" t="s">
        <v>21</v>
      </c>
      <c r="C22" t="s">
        <v>227</v>
      </c>
      <c r="D22">
        <v>21</v>
      </c>
      <c r="E22" t="s">
        <v>227</v>
      </c>
      <c r="F22" t="s">
        <v>234</v>
      </c>
      <c r="G22" t="s">
        <v>201</v>
      </c>
      <c r="H22" t="s">
        <v>201</v>
      </c>
      <c r="I22" t="s">
        <v>235</v>
      </c>
      <c r="J22">
        <v>512</v>
      </c>
      <c r="K22" t="s">
        <v>201</v>
      </c>
      <c r="L22" t="s">
        <v>201</v>
      </c>
      <c r="M22" t="s">
        <v>201</v>
      </c>
      <c r="N22" s="32">
        <f>JUKI!O9</f>
        <v>511.94621814307033</v>
      </c>
      <c r="O22">
        <v>0</v>
      </c>
      <c r="P22">
        <v>171</v>
      </c>
      <c r="Q22">
        <v>171</v>
      </c>
      <c r="R22">
        <v>170</v>
      </c>
      <c r="S22">
        <v>0</v>
      </c>
      <c r="T22" t="s">
        <v>201</v>
      </c>
    </row>
    <row r="23" spans="1:20" x14ac:dyDescent="0.35">
      <c r="A23" t="s">
        <v>20</v>
      </c>
      <c r="B23" t="s">
        <v>21</v>
      </c>
      <c r="C23" t="s">
        <v>236</v>
      </c>
      <c r="D23">
        <v>22</v>
      </c>
      <c r="E23" t="s">
        <v>236</v>
      </c>
      <c r="F23" t="s">
        <v>237</v>
      </c>
      <c r="G23" t="s">
        <v>201</v>
      </c>
      <c r="H23" t="s">
        <v>201</v>
      </c>
      <c r="I23" t="s">
        <v>38</v>
      </c>
      <c r="J23">
        <v>3</v>
      </c>
      <c r="K23" t="s">
        <v>201</v>
      </c>
      <c r="L23" t="s">
        <v>201</v>
      </c>
      <c r="M23" t="s">
        <v>201</v>
      </c>
      <c r="N23" s="30">
        <v>3</v>
      </c>
      <c r="O23">
        <v>0</v>
      </c>
      <c r="P23">
        <v>1</v>
      </c>
      <c r="Q23">
        <v>1</v>
      </c>
      <c r="R23">
        <v>1</v>
      </c>
      <c r="S23">
        <v>0</v>
      </c>
      <c r="T23" t="s">
        <v>201</v>
      </c>
    </row>
    <row r="24" spans="1:20" x14ac:dyDescent="0.35">
      <c r="A24" t="s">
        <v>20</v>
      </c>
      <c r="B24" t="s">
        <v>21</v>
      </c>
      <c r="C24" t="s">
        <v>236</v>
      </c>
      <c r="D24">
        <v>23</v>
      </c>
      <c r="E24" t="s">
        <v>236</v>
      </c>
      <c r="F24" t="s">
        <v>238</v>
      </c>
      <c r="G24" t="s">
        <v>201</v>
      </c>
      <c r="H24" t="s">
        <v>201</v>
      </c>
      <c r="I24" t="s">
        <v>239</v>
      </c>
      <c r="J24">
        <v>36</v>
      </c>
      <c r="K24" t="s">
        <v>201</v>
      </c>
      <c r="L24" t="s">
        <v>201</v>
      </c>
      <c r="M24" t="s">
        <v>201</v>
      </c>
      <c r="N24" s="29">
        <f>12*3</f>
        <v>36</v>
      </c>
      <c r="O24">
        <v>0</v>
      </c>
      <c r="P24">
        <v>12</v>
      </c>
      <c r="Q24">
        <v>12</v>
      </c>
      <c r="R24">
        <v>12</v>
      </c>
      <c r="S24">
        <v>0</v>
      </c>
      <c r="T24" t="s">
        <v>201</v>
      </c>
    </row>
    <row r="25" spans="1:20" x14ac:dyDescent="0.35">
      <c r="A25" t="s">
        <v>20</v>
      </c>
      <c r="B25" t="s">
        <v>21</v>
      </c>
      <c r="C25" t="s">
        <v>240</v>
      </c>
      <c r="D25">
        <v>24</v>
      </c>
      <c r="E25" t="s">
        <v>240</v>
      </c>
      <c r="F25" t="s">
        <v>241</v>
      </c>
      <c r="G25" t="s">
        <v>201</v>
      </c>
      <c r="H25" t="s">
        <v>201</v>
      </c>
      <c r="I25" t="s">
        <v>242</v>
      </c>
      <c r="J25">
        <v>1</v>
      </c>
      <c r="K25" t="s">
        <v>201</v>
      </c>
      <c r="L25" t="s">
        <v>201</v>
      </c>
      <c r="M25" t="s">
        <v>201</v>
      </c>
      <c r="N25" s="30">
        <v>1</v>
      </c>
      <c r="O25">
        <v>0</v>
      </c>
      <c r="P25">
        <v>1</v>
      </c>
      <c r="Q25">
        <v>0</v>
      </c>
      <c r="R25">
        <v>0</v>
      </c>
      <c r="S25">
        <v>0</v>
      </c>
      <c r="T25" t="s">
        <v>201</v>
      </c>
    </row>
    <row r="26" spans="1:20" x14ac:dyDescent="0.35">
      <c r="A26" t="s">
        <v>20</v>
      </c>
      <c r="B26" t="s">
        <v>21</v>
      </c>
      <c r="C26" t="s">
        <v>240</v>
      </c>
      <c r="D26">
        <v>25</v>
      </c>
      <c r="E26" t="s">
        <v>240</v>
      </c>
      <c r="F26" t="s">
        <v>243</v>
      </c>
      <c r="G26" t="s">
        <v>201</v>
      </c>
      <c r="H26" t="s">
        <v>201</v>
      </c>
      <c r="I26" t="s">
        <v>83</v>
      </c>
      <c r="J26">
        <v>6</v>
      </c>
      <c r="K26" t="s">
        <v>201</v>
      </c>
      <c r="L26" t="s">
        <v>201</v>
      </c>
      <c r="M26" t="s">
        <v>201</v>
      </c>
      <c r="N26" s="29">
        <v>6</v>
      </c>
      <c r="O26">
        <v>0</v>
      </c>
      <c r="P26">
        <v>2</v>
      </c>
      <c r="Q26">
        <v>2</v>
      </c>
      <c r="R26">
        <v>2</v>
      </c>
      <c r="S26">
        <v>0</v>
      </c>
      <c r="T26" t="s">
        <v>201</v>
      </c>
    </row>
    <row r="27" spans="1:20" x14ac:dyDescent="0.35">
      <c r="A27" t="s">
        <v>20</v>
      </c>
      <c r="B27" t="s">
        <v>21</v>
      </c>
      <c r="C27" t="s">
        <v>240</v>
      </c>
      <c r="D27">
        <v>26</v>
      </c>
      <c r="E27" t="s">
        <v>240</v>
      </c>
      <c r="F27" t="s">
        <v>244</v>
      </c>
      <c r="G27" t="s">
        <v>201</v>
      </c>
      <c r="H27" t="s">
        <v>201</v>
      </c>
      <c r="I27" t="s">
        <v>242</v>
      </c>
      <c r="J27">
        <v>1</v>
      </c>
      <c r="K27" t="s">
        <v>201</v>
      </c>
      <c r="L27" t="s">
        <v>201</v>
      </c>
      <c r="M27" t="s">
        <v>201</v>
      </c>
      <c r="N27" s="30">
        <v>1</v>
      </c>
      <c r="O27">
        <v>0</v>
      </c>
      <c r="P27">
        <v>1</v>
      </c>
      <c r="Q27">
        <v>0</v>
      </c>
      <c r="R27">
        <v>0</v>
      </c>
      <c r="S27">
        <v>0</v>
      </c>
      <c r="T27" t="s">
        <v>201</v>
      </c>
    </row>
    <row r="28" spans="1:20" x14ac:dyDescent="0.35">
      <c r="A28" t="s">
        <v>20</v>
      </c>
      <c r="B28" t="s">
        <v>21</v>
      </c>
      <c r="C28" t="s">
        <v>240</v>
      </c>
      <c r="D28">
        <v>27</v>
      </c>
      <c r="E28" t="s">
        <v>240</v>
      </c>
      <c r="F28" t="s">
        <v>245</v>
      </c>
      <c r="G28" t="s">
        <v>201</v>
      </c>
      <c r="H28" t="s">
        <v>201</v>
      </c>
      <c r="I28" t="s">
        <v>30</v>
      </c>
      <c r="J28">
        <v>15</v>
      </c>
      <c r="K28" t="s">
        <v>201</v>
      </c>
      <c r="L28" t="s">
        <v>201</v>
      </c>
      <c r="M28" t="s">
        <v>201</v>
      </c>
      <c r="N28" s="29">
        <v>15</v>
      </c>
      <c r="O28">
        <v>0</v>
      </c>
      <c r="P28">
        <v>5</v>
      </c>
      <c r="Q28">
        <v>5</v>
      </c>
      <c r="R28">
        <v>5</v>
      </c>
      <c r="S28">
        <v>0</v>
      </c>
      <c r="T28" t="s">
        <v>201</v>
      </c>
    </row>
    <row r="29" spans="1:20" x14ac:dyDescent="0.35">
      <c r="A29" t="s">
        <v>20</v>
      </c>
      <c r="B29" t="s">
        <v>21</v>
      </c>
      <c r="C29" t="s">
        <v>240</v>
      </c>
      <c r="D29">
        <v>28</v>
      </c>
      <c r="E29" t="s">
        <v>240</v>
      </c>
      <c r="F29" t="s">
        <v>246</v>
      </c>
      <c r="G29" t="s">
        <v>201</v>
      </c>
      <c r="H29" t="s">
        <v>201</v>
      </c>
      <c r="I29" t="s">
        <v>38</v>
      </c>
      <c r="J29">
        <v>3</v>
      </c>
      <c r="K29" t="s">
        <v>201</v>
      </c>
      <c r="L29" t="s">
        <v>201</v>
      </c>
      <c r="M29" t="s">
        <v>201</v>
      </c>
      <c r="N29" s="30">
        <v>3</v>
      </c>
      <c r="O29">
        <v>0</v>
      </c>
      <c r="P29">
        <v>1</v>
      </c>
      <c r="Q29">
        <v>1</v>
      </c>
      <c r="R29">
        <v>1</v>
      </c>
      <c r="S29">
        <v>0</v>
      </c>
      <c r="T29" t="s">
        <v>201</v>
      </c>
    </row>
    <row r="30" spans="1:20" x14ac:dyDescent="0.35">
      <c r="A30" t="s">
        <v>20</v>
      </c>
      <c r="B30" t="s">
        <v>21</v>
      </c>
      <c r="C30" t="s">
        <v>240</v>
      </c>
      <c r="D30">
        <v>29</v>
      </c>
      <c r="E30" t="s">
        <v>240</v>
      </c>
      <c r="F30" t="s">
        <v>247</v>
      </c>
      <c r="G30" t="s">
        <v>201</v>
      </c>
      <c r="H30" t="s">
        <v>201</v>
      </c>
      <c r="I30" t="s">
        <v>26</v>
      </c>
      <c r="J30">
        <v>12</v>
      </c>
      <c r="K30" t="s">
        <v>201</v>
      </c>
      <c r="L30" t="s">
        <v>201</v>
      </c>
      <c r="M30" t="s">
        <v>201</v>
      </c>
      <c r="N30" s="29">
        <v>12</v>
      </c>
      <c r="O30">
        <v>0</v>
      </c>
      <c r="P30">
        <v>4</v>
      </c>
      <c r="Q30">
        <v>4</v>
      </c>
      <c r="R30">
        <v>4</v>
      </c>
      <c r="S30">
        <v>0</v>
      </c>
      <c r="T30" t="s">
        <v>201</v>
      </c>
    </row>
    <row r="31" spans="1:20" x14ac:dyDescent="0.35">
      <c r="A31" t="s">
        <v>20</v>
      </c>
      <c r="B31" t="s">
        <v>21</v>
      </c>
      <c r="C31" t="s">
        <v>240</v>
      </c>
      <c r="D31">
        <v>30</v>
      </c>
      <c r="E31" t="s">
        <v>240</v>
      </c>
      <c r="F31" t="s">
        <v>248</v>
      </c>
      <c r="G31" t="s">
        <v>201</v>
      </c>
      <c r="H31" t="s">
        <v>201</v>
      </c>
      <c r="I31" t="s">
        <v>38</v>
      </c>
      <c r="J31">
        <v>3</v>
      </c>
      <c r="K31" t="s">
        <v>201</v>
      </c>
      <c r="L31" t="s">
        <v>201</v>
      </c>
      <c r="M31" t="s">
        <v>201</v>
      </c>
      <c r="N31" s="30">
        <v>3</v>
      </c>
      <c r="O31">
        <v>0</v>
      </c>
      <c r="P31">
        <v>1</v>
      </c>
      <c r="Q31">
        <v>1</v>
      </c>
      <c r="R31">
        <v>1</v>
      </c>
      <c r="S31">
        <v>0</v>
      </c>
      <c r="T31" t="s">
        <v>201</v>
      </c>
    </row>
    <row r="32" spans="1:20" x14ac:dyDescent="0.35">
      <c r="A32" t="s">
        <v>20</v>
      </c>
      <c r="B32" t="s">
        <v>21</v>
      </c>
      <c r="C32" t="s">
        <v>240</v>
      </c>
      <c r="D32">
        <v>31</v>
      </c>
      <c r="E32" t="s">
        <v>240</v>
      </c>
      <c r="F32" t="s">
        <v>249</v>
      </c>
      <c r="G32" t="s">
        <v>201</v>
      </c>
      <c r="H32" t="s">
        <v>201</v>
      </c>
      <c r="I32" t="s">
        <v>30</v>
      </c>
      <c r="J32">
        <v>15</v>
      </c>
      <c r="K32" t="s">
        <v>201</v>
      </c>
      <c r="L32" t="s">
        <v>201</v>
      </c>
      <c r="M32" t="s">
        <v>201</v>
      </c>
      <c r="N32" s="29">
        <v>15</v>
      </c>
      <c r="O32">
        <v>0</v>
      </c>
      <c r="P32">
        <v>5</v>
      </c>
      <c r="Q32">
        <v>5</v>
      </c>
      <c r="R32">
        <v>5</v>
      </c>
      <c r="S32">
        <v>0</v>
      </c>
      <c r="T32" t="s">
        <v>201</v>
      </c>
    </row>
    <row r="33" spans="1:20" x14ac:dyDescent="0.35">
      <c r="A33" t="s">
        <v>20</v>
      </c>
      <c r="B33" t="s">
        <v>21</v>
      </c>
      <c r="C33" t="s">
        <v>240</v>
      </c>
      <c r="D33">
        <v>32</v>
      </c>
      <c r="E33" t="s">
        <v>240</v>
      </c>
      <c r="F33" t="s">
        <v>250</v>
      </c>
      <c r="G33" t="s">
        <v>201</v>
      </c>
      <c r="H33" t="s">
        <v>201</v>
      </c>
      <c r="I33" t="s">
        <v>38</v>
      </c>
      <c r="J33">
        <v>3</v>
      </c>
      <c r="K33" t="s">
        <v>201</v>
      </c>
      <c r="L33" t="s">
        <v>201</v>
      </c>
      <c r="M33" t="s">
        <v>201</v>
      </c>
      <c r="N33" s="30">
        <v>3</v>
      </c>
      <c r="O33">
        <v>0</v>
      </c>
      <c r="P33">
        <v>1</v>
      </c>
      <c r="Q33">
        <v>1</v>
      </c>
      <c r="R33">
        <v>1</v>
      </c>
      <c r="S33">
        <v>0</v>
      </c>
      <c r="T33" t="s">
        <v>201</v>
      </c>
    </row>
    <row r="34" spans="1:20" x14ac:dyDescent="0.35">
      <c r="A34" t="s">
        <v>20</v>
      </c>
      <c r="B34" t="s">
        <v>21</v>
      </c>
      <c r="C34" t="s">
        <v>240</v>
      </c>
      <c r="D34">
        <v>33</v>
      </c>
      <c r="E34" t="s">
        <v>240</v>
      </c>
      <c r="F34" t="s">
        <v>251</v>
      </c>
      <c r="G34" t="s">
        <v>201</v>
      </c>
      <c r="H34" t="s">
        <v>201</v>
      </c>
      <c r="I34" t="s">
        <v>242</v>
      </c>
      <c r="J34">
        <v>1</v>
      </c>
      <c r="K34" t="s">
        <v>201</v>
      </c>
      <c r="L34" t="s">
        <v>201</v>
      </c>
      <c r="M34" t="s">
        <v>201</v>
      </c>
      <c r="N34" s="29">
        <v>1</v>
      </c>
      <c r="O34">
        <v>0</v>
      </c>
      <c r="P34">
        <v>1</v>
      </c>
      <c r="Q34">
        <v>0</v>
      </c>
      <c r="R34">
        <v>0</v>
      </c>
      <c r="S34">
        <v>0</v>
      </c>
      <c r="T34" t="s">
        <v>201</v>
      </c>
    </row>
    <row r="35" spans="1:20" x14ac:dyDescent="0.35">
      <c r="A35" t="s">
        <v>20</v>
      </c>
      <c r="B35" t="s">
        <v>21</v>
      </c>
      <c r="C35" t="s">
        <v>252</v>
      </c>
      <c r="D35">
        <v>34</v>
      </c>
      <c r="E35" t="s">
        <v>252</v>
      </c>
      <c r="F35" t="s">
        <v>253</v>
      </c>
      <c r="G35" t="s">
        <v>201</v>
      </c>
      <c r="H35" t="s">
        <v>201</v>
      </c>
      <c r="I35" t="s">
        <v>38</v>
      </c>
      <c r="J35">
        <v>3</v>
      </c>
      <c r="K35" t="s">
        <v>201</v>
      </c>
      <c r="L35" t="s">
        <v>201</v>
      </c>
      <c r="M35" t="s">
        <v>201</v>
      </c>
      <c r="N35" s="30">
        <v>3</v>
      </c>
      <c r="O35">
        <v>0</v>
      </c>
      <c r="P35">
        <v>1</v>
      </c>
      <c r="Q35">
        <v>1</v>
      </c>
      <c r="R35">
        <v>1</v>
      </c>
      <c r="S35">
        <v>0</v>
      </c>
      <c r="T35" t="s">
        <v>201</v>
      </c>
    </row>
    <row r="36" spans="1:20" x14ac:dyDescent="0.35">
      <c r="A36" t="s">
        <v>20</v>
      </c>
      <c r="B36" t="s">
        <v>21</v>
      </c>
      <c r="C36" t="s">
        <v>254</v>
      </c>
      <c r="D36">
        <v>35</v>
      </c>
      <c r="E36" t="s">
        <v>254</v>
      </c>
      <c r="F36" t="s">
        <v>255</v>
      </c>
      <c r="G36" t="s">
        <v>201</v>
      </c>
      <c r="H36" t="s">
        <v>201</v>
      </c>
      <c r="I36" t="s">
        <v>38</v>
      </c>
      <c r="J36">
        <v>3</v>
      </c>
      <c r="K36" t="s">
        <v>201</v>
      </c>
      <c r="L36" t="s">
        <v>201</v>
      </c>
      <c r="M36" t="s">
        <v>201</v>
      </c>
      <c r="N36" s="29">
        <v>3</v>
      </c>
      <c r="O36">
        <v>0</v>
      </c>
      <c r="P36">
        <v>1</v>
      </c>
      <c r="Q36">
        <v>1</v>
      </c>
      <c r="R36">
        <v>1</v>
      </c>
      <c r="S36">
        <v>0</v>
      </c>
      <c r="T36" t="s">
        <v>201</v>
      </c>
    </row>
    <row r="37" spans="1:20" x14ac:dyDescent="0.35">
      <c r="A37" t="s">
        <v>20</v>
      </c>
      <c r="B37" t="s">
        <v>21</v>
      </c>
      <c r="C37" t="s">
        <v>256</v>
      </c>
      <c r="D37">
        <v>36</v>
      </c>
      <c r="E37" t="s">
        <v>256</v>
      </c>
      <c r="F37" t="s">
        <v>257</v>
      </c>
      <c r="G37" t="s">
        <v>201</v>
      </c>
      <c r="H37" t="s">
        <v>201</v>
      </c>
      <c r="I37" t="s">
        <v>38</v>
      </c>
      <c r="J37">
        <v>3</v>
      </c>
      <c r="K37" t="s">
        <v>201</v>
      </c>
      <c r="L37" t="s">
        <v>201</v>
      </c>
      <c r="M37" t="s">
        <v>201</v>
      </c>
      <c r="N37" s="30">
        <v>3</v>
      </c>
      <c r="O37">
        <v>0</v>
      </c>
      <c r="P37">
        <v>1</v>
      </c>
      <c r="Q37">
        <v>1</v>
      </c>
      <c r="R37">
        <v>1</v>
      </c>
      <c r="S37">
        <v>0</v>
      </c>
      <c r="T37" t="s">
        <v>201</v>
      </c>
    </row>
    <row r="38" spans="1:20" x14ac:dyDescent="0.35">
      <c r="A38" t="s">
        <v>20</v>
      </c>
      <c r="B38" t="s">
        <v>21</v>
      </c>
      <c r="C38" t="s">
        <v>256</v>
      </c>
      <c r="D38">
        <v>37</v>
      </c>
      <c r="E38" t="s">
        <v>256</v>
      </c>
      <c r="F38" t="s">
        <v>258</v>
      </c>
      <c r="G38" t="s">
        <v>201</v>
      </c>
      <c r="H38" t="s">
        <v>201</v>
      </c>
      <c r="I38" t="s">
        <v>47</v>
      </c>
      <c r="J38">
        <v>9</v>
      </c>
      <c r="K38" t="s">
        <v>201</v>
      </c>
      <c r="L38" t="s">
        <v>201</v>
      </c>
      <c r="M38" t="s">
        <v>201</v>
      </c>
      <c r="N38" s="29">
        <v>9</v>
      </c>
      <c r="O38">
        <v>0</v>
      </c>
      <c r="P38">
        <v>3</v>
      </c>
      <c r="Q38">
        <v>3</v>
      </c>
      <c r="R38">
        <v>3</v>
      </c>
      <c r="S38">
        <v>0</v>
      </c>
      <c r="T38" t="s">
        <v>201</v>
      </c>
    </row>
    <row r="39" spans="1:20" x14ac:dyDescent="0.35">
      <c r="A39" t="s">
        <v>20</v>
      </c>
      <c r="B39" t="s">
        <v>21</v>
      </c>
      <c r="C39" t="s">
        <v>259</v>
      </c>
      <c r="D39">
        <v>38</v>
      </c>
      <c r="E39" t="s">
        <v>259</v>
      </c>
      <c r="F39" t="s">
        <v>260</v>
      </c>
      <c r="G39" t="s">
        <v>201</v>
      </c>
      <c r="H39" t="s">
        <v>201</v>
      </c>
      <c r="I39" t="s">
        <v>261</v>
      </c>
      <c r="J39">
        <v>105</v>
      </c>
      <c r="K39" t="s">
        <v>201</v>
      </c>
      <c r="L39" t="s">
        <v>201</v>
      </c>
      <c r="M39" t="s">
        <v>201</v>
      </c>
      <c r="N39" s="30">
        <f>ROUND((Size_wise_details_summary!C10*112/83499),0)</f>
        <v>105</v>
      </c>
      <c r="O39">
        <v>0</v>
      </c>
      <c r="P39">
        <v>35</v>
      </c>
      <c r="Q39">
        <v>35</v>
      </c>
      <c r="R39">
        <v>35</v>
      </c>
      <c r="S39">
        <v>0</v>
      </c>
      <c r="T39" t="s">
        <v>201</v>
      </c>
    </row>
    <row r="40" spans="1:20" x14ac:dyDescent="0.35">
      <c r="A40" t="s">
        <v>20</v>
      </c>
      <c r="B40" t="s">
        <v>21</v>
      </c>
      <c r="C40" t="s">
        <v>259</v>
      </c>
      <c r="D40">
        <v>39</v>
      </c>
      <c r="E40" t="s">
        <v>259</v>
      </c>
      <c r="F40" t="s">
        <v>262</v>
      </c>
      <c r="G40" t="s">
        <v>201</v>
      </c>
      <c r="H40" t="s">
        <v>201</v>
      </c>
      <c r="I40" t="s">
        <v>47</v>
      </c>
      <c r="J40">
        <v>9</v>
      </c>
      <c r="K40" t="s">
        <v>201</v>
      </c>
      <c r="L40" t="s">
        <v>201</v>
      </c>
      <c r="M40" t="s">
        <v>201</v>
      </c>
      <c r="N40" s="29">
        <v>9</v>
      </c>
      <c r="O40">
        <v>0</v>
      </c>
      <c r="P40">
        <v>3</v>
      </c>
      <c r="Q40">
        <v>3</v>
      </c>
      <c r="R40">
        <v>3</v>
      </c>
      <c r="S40">
        <v>0</v>
      </c>
      <c r="T40" t="s">
        <v>201</v>
      </c>
    </row>
    <row r="41" spans="1:20" x14ac:dyDescent="0.35">
      <c r="A41" t="s">
        <v>20</v>
      </c>
      <c r="B41" t="s">
        <v>21</v>
      </c>
      <c r="C41" t="s">
        <v>259</v>
      </c>
      <c r="D41">
        <v>40</v>
      </c>
      <c r="E41" t="s">
        <v>259</v>
      </c>
      <c r="F41" t="s">
        <v>263</v>
      </c>
      <c r="G41" t="s">
        <v>201</v>
      </c>
      <c r="H41" t="s">
        <v>201</v>
      </c>
      <c r="I41" t="s">
        <v>26</v>
      </c>
      <c r="J41">
        <v>12</v>
      </c>
      <c r="K41" t="s">
        <v>201</v>
      </c>
      <c r="L41" t="s">
        <v>201</v>
      </c>
      <c r="M41" t="s">
        <v>201</v>
      </c>
      <c r="N41" s="30">
        <v>12</v>
      </c>
      <c r="O41">
        <v>0</v>
      </c>
      <c r="P41">
        <v>4</v>
      </c>
      <c r="Q41">
        <v>4</v>
      </c>
      <c r="R41">
        <v>4</v>
      </c>
      <c r="S41">
        <v>0</v>
      </c>
      <c r="T41" t="s">
        <v>201</v>
      </c>
    </row>
    <row r="42" spans="1:20" x14ac:dyDescent="0.35">
      <c r="A42" t="s">
        <v>20</v>
      </c>
      <c r="B42" t="s">
        <v>21</v>
      </c>
      <c r="C42" t="s">
        <v>264</v>
      </c>
      <c r="D42">
        <v>41</v>
      </c>
      <c r="E42" t="s">
        <v>264</v>
      </c>
      <c r="F42" t="s">
        <v>265</v>
      </c>
      <c r="G42" t="s">
        <v>201</v>
      </c>
      <c r="H42" t="s">
        <v>201</v>
      </c>
      <c r="I42" t="s">
        <v>266</v>
      </c>
      <c r="J42">
        <v>8</v>
      </c>
      <c r="K42" t="s">
        <v>201</v>
      </c>
      <c r="L42" t="s">
        <v>201</v>
      </c>
      <c r="M42" t="s">
        <v>201</v>
      </c>
      <c r="N42" s="29">
        <v>8</v>
      </c>
      <c r="O42">
        <v>0</v>
      </c>
      <c r="P42">
        <v>3</v>
      </c>
      <c r="Q42">
        <v>3</v>
      </c>
      <c r="R42">
        <v>2</v>
      </c>
      <c r="S42">
        <v>0</v>
      </c>
      <c r="T42" t="s">
        <v>201</v>
      </c>
    </row>
    <row r="43" spans="1:20" x14ac:dyDescent="0.35">
      <c r="A43" t="s">
        <v>20</v>
      </c>
      <c r="B43" t="s">
        <v>21</v>
      </c>
      <c r="C43" t="s">
        <v>264</v>
      </c>
      <c r="D43">
        <v>42</v>
      </c>
      <c r="E43" t="s">
        <v>264</v>
      </c>
      <c r="F43" t="s">
        <v>267</v>
      </c>
      <c r="G43" t="s">
        <v>201</v>
      </c>
      <c r="H43" t="s">
        <v>201</v>
      </c>
      <c r="I43" t="s">
        <v>242</v>
      </c>
      <c r="J43">
        <v>1</v>
      </c>
      <c r="K43" t="s">
        <v>201</v>
      </c>
      <c r="L43" t="s">
        <v>201</v>
      </c>
      <c r="M43" t="s">
        <v>201</v>
      </c>
      <c r="N43" s="30">
        <v>1</v>
      </c>
      <c r="O43">
        <v>0</v>
      </c>
      <c r="P43">
        <v>1</v>
      </c>
      <c r="Q43">
        <v>0</v>
      </c>
      <c r="R43">
        <v>0</v>
      </c>
      <c r="S43">
        <v>0</v>
      </c>
      <c r="T43" t="s">
        <v>201</v>
      </c>
    </row>
    <row r="44" spans="1:20" x14ac:dyDescent="0.35">
      <c r="A44" t="s">
        <v>20</v>
      </c>
      <c r="B44" t="s">
        <v>21</v>
      </c>
      <c r="C44" t="s">
        <v>264</v>
      </c>
      <c r="D44">
        <v>43</v>
      </c>
      <c r="E44" t="s">
        <v>264</v>
      </c>
      <c r="F44" t="s">
        <v>268</v>
      </c>
      <c r="G44" t="s">
        <v>201</v>
      </c>
      <c r="H44" t="s">
        <v>201</v>
      </c>
      <c r="I44" t="s">
        <v>38</v>
      </c>
      <c r="J44">
        <v>3</v>
      </c>
      <c r="K44" t="s">
        <v>201</v>
      </c>
      <c r="L44" t="s">
        <v>201</v>
      </c>
      <c r="M44" t="s">
        <v>201</v>
      </c>
      <c r="N44" s="29">
        <v>3</v>
      </c>
      <c r="O44">
        <v>0</v>
      </c>
      <c r="P44">
        <v>1</v>
      </c>
      <c r="Q44">
        <v>1</v>
      </c>
      <c r="R44">
        <v>1</v>
      </c>
      <c r="S44">
        <v>0</v>
      </c>
      <c r="T44" t="s">
        <v>201</v>
      </c>
    </row>
    <row r="45" spans="1:20" x14ac:dyDescent="0.35">
      <c r="A45" t="s">
        <v>20</v>
      </c>
      <c r="B45" t="s">
        <v>21</v>
      </c>
      <c r="C45" t="s">
        <v>264</v>
      </c>
      <c r="D45">
        <v>44</v>
      </c>
      <c r="E45" t="s">
        <v>264</v>
      </c>
      <c r="F45" t="s">
        <v>269</v>
      </c>
      <c r="G45" t="s">
        <v>201</v>
      </c>
      <c r="H45" t="s">
        <v>201</v>
      </c>
      <c r="I45" t="s">
        <v>38</v>
      </c>
      <c r="J45">
        <v>3</v>
      </c>
      <c r="K45" t="s">
        <v>201</v>
      </c>
      <c r="L45" t="s">
        <v>201</v>
      </c>
      <c r="M45" t="s">
        <v>201</v>
      </c>
      <c r="N45" s="30">
        <v>3</v>
      </c>
      <c r="O45">
        <v>0</v>
      </c>
      <c r="P45">
        <v>1</v>
      </c>
      <c r="Q45">
        <v>1</v>
      </c>
      <c r="R45">
        <v>1</v>
      </c>
      <c r="S45">
        <v>0</v>
      </c>
      <c r="T45" t="s">
        <v>201</v>
      </c>
    </row>
    <row r="46" spans="1:20" x14ac:dyDescent="0.35">
      <c r="A46" t="s">
        <v>20</v>
      </c>
      <c r="B46" t="s">
        <v>21</v>
      </c>
      <c r="C46" t="s">
        <v>264</v>
      </c>
      <c r="D46">
        <v>45</v>
      </c>
      <c r="E46" t="s">
        <v>264</v>
      </c>
      <c r="F46" t="s">
        <v>270</v>
      </c>
      <c r="G46" t="s">
        <v>201</v>
      </c>
      <c r="H46" t="s">
        <v>201</v>
      </c>
      <c r="I46" t="s">
        <v>271</v>
      </c>
      <c r="J46">
        <v>5</v>
      </c>
      <c r="K46" t="s">
        <v>201</v>
      </c>
      <c r="L46" t="s">
        <v>201</v>
      </c>
      <c r="M46" t="s">
        <v>201</v>
      </c>
      <c r="N46" s="29">
        <v>5</v>
      </c>
      <c r="O46">
        <v>0</v>
      </c>
      <c r="P46">
        <v>2</v>
      </c>
      <c r="Q46">
        <v>2</v>
      </c>
      <c r="R46">
        <v>1</v>
      </c>
      <c r="S46">
        <v>0</v>
      </c>
      <c r="T46" t="s">
        <v>201</v>
      </c>
    </row>
    <row r="47" spans="1:20" x14ac:dyDescent="0.35">
      <c r="A47" t="s">
        <v>20</v>
      </c>
      <c r="B47" t="s">
        <v>21</v>
      </c>
      <c r="C47" t="s">
        <v>264</v>
      </c>
      <c r="D47">
        <v>46</v>
      </c>
      <c r="E47" t="s">
        <v>264</v>
      </c>
      <c r="F47" t="s">
        <v>272</v>
      </c>
      <c r="G47" t="s">
        <v>201</v>
      </c>
      <c r="H47" t="s">
        <v>201</v>
      </c>
      <c r="I47" t="s">
        <v>30</v>
      </c>
      <c r="J47">
        <v>15</v>
      </c>
      <c r="K47" t="s">
        <v>201</v>
      </c>
      <c r="L47" t="s">
        <v>201</v>
      </c>
      <c r="M47" t="s">
        <v>201</v>
      </c>
      <c r="N47" s="30">
        <v>15</v>
      </c>
      <c r="O47">
        <v>0</v>
      </c>
      <c r="P47">
        <v>5</v>
      </c>
      <c r="Q47">
        <v>5</v>
      </c>
      <c r="R47">
        <v>5</v>
      </c>
      <c r="S47">
        <v>0</v>
      </c>
      <c r="T47" t="s">
        <v>201</v>
      </c>
    </row>
    <row r="48" spans="1:20" x14ac:dyDescent="0.35">
      <c r="A48" t="s">
        <v>20</v>
      </c>
      <c r="B48" t="s">
        <v>21</v>
      </c>
      <c r="C48" t="s">
        <v>264</v>
      </c>
      <c r="D48">
        <v>47</v>
      </c>
      <c r="E48" t="s">
        <v>264</v>
      </c>
      <c r="F48" t="s">
        <v>273</v>
      </c>
      <c r="G48" t="s">
        <v>201</v>
      </c>
      <c r="H48" t="s">
        <v>201</v>
      </c>
      <c r="I48" t="s">
        <v>30</v>
      </c>
      <c r="J48">
        <v>15</v>
      </c>
      <c r="K48" t="s">
        <v>201</v>
      </c>
      <c r="L48" t="s">
        <v>201</v>
      </c>
      <c r="M48" t="s">
        <v>201</v>
      </c>
      <c r="N48" s="29">
        <v>15</v>
      </c>
      <c r="O48">
        <v>0</v>
      </c>
      <c r="P48">
        <v>5</v>
      </c>
      <c r="Q48">
        <v>5</v>
      </c>
      <c r="R48">
        <v>5</v>
      </c>
      <c r="S48">
        <v>0</v>
      </c>
      <c r="T48" t="s">
        <v>201</v>
      </c>
    </row>
    <row r="49" spans="1:20" x14ac:dyDescent="0.35">
      <c r="A49" t="s">
        <v>20</v>
      </c>
      <c r="B49" t="s">
        <v>21</v>
      </c>
      <c r="C49" t="s">
        <v>264</v>
      </c>
      <c r="D49">
        <v>48</v>
      </c>
      <c r="E49" t="s">
        <v>264</v>
      </c>
      <c r="F49" t="s">
        <v>274</v>
      </c>
      <c r="G49" t="s">
        <v>201</v>
      </c>
      <c r="H49" t="s">
        <v>201</v>
      </c>
      <c r="I49" t="s">
        <v>30</v>
      </c>
      <c r="J49">
        <v>15</v>
      </c>
      <c r="K49" t="s">
        <v>201</v>
      </c>
      <c r="L49" t="s">
        <v>201</v>
      </c>
      <c r="M49" t="s">
        <v>201</v>
      </c>
      <c r="N49" s="30">
        <v>15</v>
      </c>
      <c r="O49">
        <v>0</v>
      </c>
      <c r="P49">
        <v>5</v>
      </c>
      <c r="Q49">
        <v>5</v>
      </c>
      <c r="R49">
        <v>5</v>
      </c>
      <c r="S49">
        <v>0</v>
      </c>
      <c r="T49" t="s">
        <v>201</v>
      </c>
    </row>
    <row r="50" spans="1:20" x14ac:dyDescent="0.35">
      <c r="A50" t="s">
        <v>20</v>
      </c>
      <c r="B50" t="s">
        <v>21</v>
      </c>
      <c r="C50" t="s">
        <v>275</v>
      </c>
      <c r="D50">
        <v>49</v>
      </c>
      <c r="E50" t="s">
        <v>275</v>
      </c>
      <c r="F50" t="s">
        <v>276</v>
      </c>
      <c r="G50" t="s">
        <v>201</v>
      </c>
      <c r="H50" t="s">
        <v>201</v>
      </c>
      <c r="I50" t="s">
        <v>277</v>
      </c>
      <c r="J50">
        <v>432</v>
      </c>
      <c r="K50" t="s">
        <v>201</v>
      </c>
      <c r="L50" t="s">
        <v>201</v>
      </c>
      <c r="M50" t="s">
        <v>201</v>
      </c>
      <c r="N50" s="32">
        <f>(N22*0.75)+48</f>
        <v>431.95966360730273</v>
      </c>
      <c r="O50">
        <v>0</v>
      </c>
      <c r="P50">
        <v>144</v>
      </c>
      <c r="Q50">
        <v>144</v>
      </c>
      <c r="R50">
        <v>144</v>
      </c>
      <c r="S50">
        <v>0</v>
      </c>
      <c r="T50" t="s">
        <v>201</v>
      </c>
    </row>
    <row r="51" spans="1:20" x14ac:dyDescent="0.35">
      <c r="A51" t="s">
        <v>20</v>
      </c>
      <c r="B51" t="s">
        <v>21</v>
      </c>
      <c r="C51" t="s">
        <v>278</v>
      </c>
      <c r="D51">
        <v>50</v>
      </c>
      <c r="E51" t="s">
        <v>278</v>
      </c>
      <c r="F51" t="s">
        <v>279</v>
      </c>
      <c r="G51" t="s">
        <v>201</v>
      </c>
      <c r="H51" t="s">
        <v>201</v>
      </c>
      <c r="I51" t="s">
        <v>280</v>
      </c>
      <c r="J51">
        <v>27</v>
      </c>
      <c r="K51" t="s">
        <v>201</v>
      </c>
      <c r="L51" t="s">
        <v>201</v>
      </c>
      <c r="M51" t="s">
        <v>201</v>
      </c>
      <c r="N51" s="30">
        <f>9*3</f>
        <v>27</v>
      </c>
      <c r="O51">
        <v>0</v>
      </c>
      <c r="P51">
        <v>9</v>
      </c>
      <c r="Q51">
        <v>9</v>
      </c>
      <c r="R51">
        <v>9</v>
      </c>
      <c r="S51">
        <v>0</v>
      </c>
      <c r="T51" t="s">
        <v>201</v>
      </c>
    </row>
    <row r="52" spans="1:20" x14ac:dyDescent="0.35">
      <c r="A52" t="s">
        <v>20</v>
      </c>
      <c r="B52" t="s">
        <v>21</v>
      </c>
      <c r="C52" t="s">
        <v>281</v>
      </c>
      <c r="D52">
        <v>51</v>
      </c>
      <c r="E52" t="s">
        <v>281</v>
      </c>
      <c r="F52" t="s">
        <v>201</v>
      </c>
      <c r="G52" t="s">
        <v>201</v>
      </c>
      <c r="H52" t="s">
        <v>201</v>
      </c>
      <c r="I52" t="s">
        <v>282</v>
      </c>
      <c r="J52">
        <v>30</v>
      </c>
      <c r="K52" t="s">
        <v>201</v>
      </c>
      <c r="L52" t="s">
        <v>201</v>
      </c>
      <c r="M52" t="s">
        <v>201</v>
      </c>
      <c r="N52" s="29">
        <f>(6*3)+(4*3)</f>
        <v>30</v>
      </c>
      <c r="O52">
        <v>0</v>
      </c>
      <c r="P52">
        <v>10</v>
      </c>
      <c r="Q52">
        <v>10</v>
      </c>
      <c r="R52">
        <v>10</v>
      </c>
      <c r="S52">
        <v>0</v>
      </c>
      <c r="T52" t="s">
        <v>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E7" sqref="E7"/>
    </sheetView>
  </sheetViews>
  <sheetFormatPr defaultRowHeight="14.5" x14ac:dyDescent="0.35"/>
  <cols>
    <col min="1" max="1" width="25.453125" bestFit="1" customWidth="1"/>
    <col min="2" max="3" width="11.26953125" bestFit="1" customWidth="1"/>
    <col min="4" max="5" width="10.26953125" bestFit="1" customWidth="1"/>
    <col min="6" max="6" width="6.26953125" bestFit="1" customWidth="1"/>
  </cols>
  <sheetData>
    <row r="1" spans="1:6" x14ac:dyDescent="0.35">
      <c r="A1" t="s">
        <v>362</v>
      </c>
      <c r="B1" t="s">
        <v>363</v>
      </c>
      <c r="C1" t="s">
        <v>364</v>
      </c>
      <c r="D1" t="s">
        <v>365</v>
      </c>
      <c r="E1" t="s">
        <v>366</v>
      </c>
      <c r="F1" t="s">
        <v>367</v>
      </c>
    </row>
    <row r="2" spans="1:6" x14ac:dyDescent="0.35">
      <c r="A2" t="s">
        <v>368</v>
      </c>
      <c r="B2">
        <v>51</v>
      </c>
      <c r="C2">
        <v>90</v>
      </c>
      <c r="D2">
        <v>36</v>
      </c>
      <c r="E2">
        <v>4</v>
      </c>
      <c r="F2">
        <f>SUM(B2:E2)</f>
        <v>181</v>
      </c>
    </row>
    <row r="3" spans="1:6" x14ac:dyDescent="0.35">
      <c r="A3" t="s">
        <v>369</v>
      </c>
      <c r="B3">
        <v>6</v>
      </c>
      <c r="C3">
        <v>6</v>
      </c>
      <c r="D3">
        <v>6</v>
      </c>
      <c r="E3">
        <v>4</v>
      </c>
    </row>
    <row r="4" spans="1:6" x14ac:dyDescent="0.35">
      <c r="B4" s="3">
        <f>B2/B3</f>
        <v>8.5</v>
      </c>
      <c r="C4" s="4">
        <f>C2/C3</f>
        <v>15</v>
      </c>
      <c r="D4" s="3">
        <f>D2/D3</f>
        <v>6</v>
      </c>
      <c r="E4" s="3">
        <f>E2/E3</f>
        <v>1</v>
      </c>
    </row>
    <row r="5" spans="1:6" x14ac:dyDescent="0.35">
      <c r="A5" t="s">
        <v>370</v>
      </c>
      <c r="B5" s="3">
        <f>ROUND(B4,0)</f>
        <v>9</v>
      </c>
      <c r="C5" s="3">
        <v>15</v>
      </c>
      <c r="D5" s="3">
        <f>D4</f>
        <v>6</v>
      </c>
      <c r="E5" s="3">
        <v>1</v>
      </c>
      <c r="F5" s="3"/>
    </row>
    <row r="6" spans="1:6" x14ac:dyDescent="0.35">
      <c r="A6" t="s">
        <v>371</v>
      </c>
      <c r="B6">
        <f>B5*3</f>
        <v>27</v>
      </c>
      <c r="C6">
        <f>C5*3</f>
        <v>45</v>
      </c>
      <c r="D6">
        <f>D5*3</f>
        <v>18</v>
      </c>
      <c r="E6">
        <f>E5*3</f>
        <v>3</v>
      </c>
      <c r="F6">
        <f>SUM(B6:E6)</f>
        <v>93</v>
      </c>
    </row>
    <row r="7" spans="1:6" x14ac:dyDescent="0.35">
      <c r="A7" t="s">
        <v>372</v>
      </c>
      <c r="B7">
        <v>5</v>
      </c>
      <c r="C7">
        <v>5</v>
      </c>
      <c r="D7">
        <v>5</v>
      </c>
      <c r="E7">
        <v>5</v>
      </c>
      <c r="F7">
        <f>SUM(B7:E7)</f>
        <v>20</v>
      </c>
    </row>
    <row r="8" spans="1:6" x14ac:dyDescent="0.35">
      <c r="A8" t="s">
        <v>373</v>
      </c>
      <c r="B8">
        <f>ROUND((B5/B7),0.25)</f>
        <v>2</v>
      </c>
      <c r="C8">
        <f>ROUND((C5/C7),0)</f>
        <v>3</v>
      </c>
      <c r="D8">
        <f>ROUNDUP((D5/D7),0)</f>
        <v>2</v>
      </c>
      <c r="E8">
        <f>ROUNDUP((E5/E7),0.25)</f>
        <v>1</v>
      </c>
      <c r="F8">
        <f>SUM(B8:E8)</f>
        <v>8</v>
      </c>
    </row>
    <row r="9" spans="1:6" x14ac:dyDescent="0.35">
      <c r="A9" t="s">
        <v>374</v>
      </c>
      <c r="B9" s="3">
        <f>B8*3</f>
        <v>6</v>
      </c>
      <c r="C9" s="3">
        <f>C8*3</f>
        <v>9</v>
      </c>
      <c r="D9" s="3">
        <f t="shared" ref="D9:E9" si="0">D8*3</f>
        <v>6</v>
      </c>
      <c r="E9" s="3">
        <f t="shared" si="0"/>
        <v>3</v>
      </c>
      <c r="F9" s="3">
        <f>SUM(B9:E9)</f>
        <v>24</v>
      </c>
    </row>
    <row r="10" spans="1:6" x14ac:dyDescent="0.35">
      <c r="A10" t="s">
        <v>86</v>
      </c>
      <c r="B10">
        <f>ROUNDUP(B2/24,0)*3</f>
        <v>9</v>
      </c>
      <c r="C10">
        <f t="shared" ref="C10:E10" si="1">ROUNDUP(C2/24,0)*3</f>
        <v>12</v>
      </c>
      <c r="D10">
        <f t="shared" si="1"/>
        <v>6</v>
      </c>
      <c r="E10">
        <f t="shared" si="1"/>
        <v>3</v>
      </c>
      <c r="F10">
        <f>SUM(B10:E10)</f>
        <v>30</v>
      </c>
    </row>
    <row r="11" spans="1:6" x14ac:dyDescent="0.35">
      <c r="A11" t="s">
        <v>93</v>
      </c>
      <c r="B11">
        <f>ROUNDUP(B2/28,0)*3</f>
        <v>6</v>
      </c>
      <c r="C11">
        <f t="shared" ref="C11:E11" si="2">ROUNDUP(C2/28,0)*3</f>
        <v>12</v>
      </c>
      <c r="D11">
        <f>ROUNDUP(D2/28,0)*3</f>
        <v>6</v>
      </c>
      <c r="E11">
        <f t="shared" si="2"/>
        <v>3</v>
      </c>
      <c r="F11">
        <f>SUM(B11:E11)</f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workbookViewId="0">
      <selection activeCell="G20" sqref="G20"/>
    </sheetView>
  </sheetViews>
  <sheetFormatPr defaultRowHeight="14.5" x14ac:dyDescent="0.35"/>
  <cols>
    <col min="1" max="1" width="62.7265625" bestFit="1" customWidth="1"/>
    <col min="2" max="2" width="18.7265625" bestFit="1" customWidth="1"/>
    <col min="3" max="3" width="23.26953125" bestFit="1" customWidth="1"/>
    <col min="4" max="4" width="26" bestFit="1" customWidth="1"/>
    <col min="5" max="5" width="18.81640625" bestFit="1" customWidth="1"/>
    <col min="6" max="6" width="12.26953125" bestFit="1" customWidth="1"/>
    <col min="7" max="7" width="7.1796875" bestFit="1" customWidth="1"/>
    <col min="8" max="9" width="7" bestFit="1" customWidth="1"/>
    <col min="10" max="10" width="7.7265625" bestFit="1" customWidth="1"/>
  </cols>
  <sheetData>
    <row r="1" spans="1:10" ht="18.5" x14ac:dyDescent="0.45">
      <c r="A1" s="33" t="s">
        <v>375</v>
      </c>
      <c r="B1" s="34"/>
      <c r="C1" s="35"/>
      <c r="D1" s="34"/>
      <c r="E1" s="34"/>
      <c r="F1" s="35"/>
      <c r="G1" s="34"/>
      <c r="H1" s="34"/>
      <c r="I1" s="5"/>
      <c r="J1" s="6"/>
    </row>
    <row r="2" spans="1:10" x14ac:dyDescent="0.35">
      <c r="A2" s="6"/>
      <c r="B2" s="5"/>
      <c r="C2" s="6"/>
      <c r="D2" s="5"/>
      <c r="E2" s="5"/>
      <c r="F2" s="6"/>
      <c r="G2" s="5"/>
      <c r="H2" s="5"/>
      <c r="I2" s="5"/>
      <c r="J2" s="6"/>
    </row>
    <row r="3" spans="1:10" x14ac:dyDescent="0.35">
      <c r="A3" s="7" t="s">
        <v>376</v>
      </c>
      <c r="B3" s="8">
        <v>85</v>
      </c>
      <c r="C3" s="9"/>
      <c r="D3" s="10" t="s">
        <v>377</v>
      </c>
      <c r="E3" s="11"/>
      <c r="F3" s="9"/>
      <c r="G3" s="11"/>
      <c r="H3" s="11"/>
      <c r="I3" s="11"/>
      <c r="J3" s="9"/>
    </row>
    <row r="4" spans="1:10" x14ac:dyDescent="0.35">
      <c r="A4" s="7" t="s">
        <v>378</v>
      </c>
      <c r="B4" s="8">
        <v>7</v>
      </c>
      <c r="C4" s="9"/>
      <c r="D4" s="11"/>
      <c r="E4" s="11"/>
      <c r="F4" s="9"/>
      <c r="G4" s="11"/>
      <c r="H4" s="11"/>
      <c r="I4" s="11"/>
      <c r="J4" s="9"/>
    </row>
    <row r="5" spans="1:10" x14ac:dyDescent="0.35">
      <c r="A5" s="7" t="s">
        <v>379</v>
      </c>
      <c r="B5" s="8">
        <v>5</v>
      </c>
      <c r="C5" s="9"/>
      <c r="D5" s="11"/>
      <c r="E5" s="11"/>
      <c r="F5" s="9"/>
      <c r="G5" s="11"/>
      <c r="H5" s="11"/>
      <c r="I5" s="11"/>
      <c r="J5" s="9"/>
    </row>
    <row r="6" spans="1:10" x14ac:dyDescent="0.35">
      <c r="A6" s="7" t="s">
        <v>380</v>
      </c>
      <c r="B6" s="12">
        <f>ROUNDUP(B3/B4,0)</f>
        <v>13</v>
      </c>
      <c r="C6" s="9"/>
      <c r="D6" s="11"/>
      <c r="E6" s="11"/>
      <c r="F6" s="9"/>
      <c r="G6" s="11"/>
      <c r="H6" s="11"/>
      <c r="I6" s="11"/>
      <c r="J6" s="9"/>
    </row>
    <row r="7" spans="1:10" x14ac:dyDescent="0.35">
      <c r="A7" s="7" t="s">
        <v>381</v>
      </c>
      <c r="B7" s="12">
        <f>ROUNDDOWN(B6/3,0)</f>
        <v>4</v>
      </c>
      <c r="C7" s="9"/>
      <c r="D7" s="11"/>
      <c r="E7" s="11"/>
      <c r="F7" s="9"/>
      <c r="G7" s="11"/>
      <c r="H7" s="11"/>
      <c r="I7" s="11"/>
      <c r="J7" s="9"/>
    </row>
    <row r="8" spans="1:10" x14ac:dyDescent="0.35">
      <c r="A8" s="7" t="s">
        <v>382</v>
      </c>
      <c r="B8" s="12">
        <f>MOD(B6,3)</f>
        <v>1</v>
      </c>
      <c r="C8" s="9"/>
      <c r="D8" s="11"/>
      <c r="E8" s="11"/>
      <c r="F8" s="9"/>
      <c r="G8" s="11"/>
      <c r="H8" s="11"/>
      <c r="I8" s="11"/>
      <c r="J8" s="9"/>
    </row>
    <row r="9" spans="1:10" x14ac:dyDescent="0.35">
      <c r="A9" s="6"/>
      <c r="B9" s="11"/>
      <c r="C9" s="9"/>
      <c r="D9" s="11"/>
      <c r="E9" s="11"/>
      <c r="F9" s="9"/>
      <c r="G9" s="11"/>
      <c r="H9" s="11"/>
      <c r="I9" s="11"/>
      <c r="J9" s="9"/>
    </row>
    <row r="10" spans="1:10" x14ac:dyDescent="0.35">
      <c r="A10" s="13" t="s">
        <v>383</v>
      </c>
      <c r="B10" s="14" t="s">
        <v>384</v>
      </c>
      <c r="C10" s="14" t="s">
        <v>385</v>
      </c>
      <c r="D10" s="14" t="s">
        <v>386</v>
      </c>
      <c r="E10" s="11"/>
      <c r="F10" s="9"/>
      <c r="G10" s="11"/>
      <c r="H10" s="11"/>
      <c r="I10" s="11"/>
      <c r="J10" s="9"/>
    </row>
    <row r="11" spans="1:10" x14ac:dyDescent="0.35">
      <c r="A11" s="6" t="s">
        <v>387</v>
      </c>
      <c r="B11" s="11">
        <f>MIN($B$5,$B$7+IF(1&lt;=$B$8,1,0))</f>
        <v>5</v>
      </c>
      <c r="C11" s="9">
        <f>$B$4</f>
        <v>7</v>
      </c>
      <c r="D11" s="11">
        <f>B11*C11</f>
        <v>35</v>
      </c>
      <c r="E11" s="11"/>
      <c r="F11" s="9"/>
      <c r="G11" s="11"/>
      <c r="H11" s="11"/>
      <c r="I11" s="11"/>
      <c r="J11" s="9"/>
    </row>
    <row r="12" spans="1:10" x14ac:dyDescent="0.35">
      <c r="A12" s="6" t="s">
        <v>388</v>
      </c>
      <c r="B12" s="11">
        <f>MIN($B$5,$B$7+IF(2&lt;=$B$8,1,0))</f>
        <v>4</v>
      </c>
      <c r="C12" s="9">
        <f>$B$4</f>
        <v>7</v>
      </c>
      <c r="D12" s="11">
        <f>B12*C12</f>
        <v>28</v>
      </c>
      <c r="E12" s="11"/>
      <c r="F12" s="9"/>
      <c r="G12" s="11"/>
      <c r="H12" s="11"/>
      <c r="I12" s="11"/>
      <c r="J12" s="9"/>
    </row>
    <row r="13" spans="1:10" x14ac:dyDescent="0.35">
      <c r="A13" s="6" t="s">
        <v>389</v>
      </c>
      <c r="B13" s="11">
        <f>MIN($B$5,$B$7+IF(3&lt;=$B$8,1,0))</f>
        <v>4</v>
      </c>
      <c r="C13" s="9">
        <f>$B$4</f>
        <v>7</v>
      </c>
      <c r="D13" s="11">
        <f>B13*C13</f>
        <v>28</v>
      </c>
      <c r="E13" s="11"/>
      <c r="F13" s="9"/>
      <c r="G13" s="11"/>
      <c r="H13" s="11"/>
      <c r="I13" s="11"/>
      <c r="J13" s="9"/>
    </row>
    <row r="14" spans="1:10" x14ac:dyDescent="0.35">
      <c r="A14" s="15" t="s">
        <v>390</v>
      </c>
      <c r="B14" s="16">
        <f>SUM(B11:B13)</f>
        <v>13</v>
      </c>
      <c r="C14" s="17"/>
      <c r="D14" s="16">
        <f>SUM(D11:D13)</f>
        <v>91</v>
      </c>
      <c r="E14" s="16"/>
      <c r="F14" s="17"/>
      <c r="G14" s="16"/>
      <c r="H14" s="16"/>
      <c r="I14" s="11"/>
      <c r="J14" s="9"/>
    </row>
    <row r="15" spans="1:10" x14ac:dyDescent="0.35">
      <c r="A15" s="6"/>
      <c r="B15" s="11"/>
      <c r="C15" s="9"/>
      <c r="D15" s="11"/>
      <c r="E15" s="11"/>
      <c r="F15" s="9"/>
      <c r="G15" s="11"/>
      <c r="H15" s="11"/>
      <c r="I15" s="11"/>
      <c r="J15" s="9"/>
    </row>
    <row r="16" spans="1:10" x14ac:dyDescent="0.35">
      <c r="A16" s="6"/>
      <c r="B16" s="11"/>
      <c r="C16" s="9"/>
      <c r="D16" s="11"/>
      <c r="E16" s="11"/>
      <c r="F16" s="9"/>
      <c r="G16" s="11"/>
      <c r="H16" s="11"/>
      <c r="I16" s="11"/>
      <c r="J16" s="9"/>
    </row>
    <row r="17" spans="1:10" x14ac:dyDescent="0.35">
      <c r="A17" s="13" t="s">
        <v>5</v>
      </c>
      <c r="B17" s="14" t="s">
        <v>7</v>
      </c>
      <c r="C17" s="14" t="s">
        <v>391</v>
      </c>
      <c r="D17" s="14" t="s">
        <v>360</v>
      </c>
      <c r="E17" s="14" t="s">
        <v>361</v>
      </c>
      <c r="F17" s="14" t="s">
        <v>14</v>
      </c>
      <c r="G17" s="14" t="s">
        <v>15</v>
      </c>
      <c r="H17" s="14" t="s">
        <v>16</v>
      </c>
      <c r="I17" s="14" t="s">
        <v>17</v>
      </c>
      <c r="J17" s="14" t="s">
        <v>18</v>
      </c>
    </row>
    <row r="18" spans="1:10" x14ac:dyDescent="0.35">
      <c r="A18" s="6" t="s">
        <v>154</v>
      </c>
      <c r="B18" s="11" t="s">
        <v>33</v>
      </c>
      <c r="C18" s="9">
        <f>B11+B12+B13</f>
        <v>13</v>
      </c>
      <c r="D18" s="11" t="str">
        <f t="shared" ref="D18:E20" ca="1" si="0">D18</f>
        <v/>
      </c>
      <c r="E18" s="11" t="str">
        <f t="shared" ca="1" si="0"/>
        <v/>
      </c>
      <c r="F18" s="9">
        <v>0</v>
      </c>
      <c r="G18" s="11">
        <f>B11*1</f>
        <v>5</v>
      </c>
      <c r="H18" s="11">
        <f>B12*1</f>
        <v>4</v>
      </c>
      <c r="I18" s="11">
        <f>B13*1</f>
        <v>4</v>
      </c>
      <c r="J18" s="9">
        <v>0</v>
      </c>
    </row>
    <row r="19" spans="1:10" x14ac:dyDescent="0.35">
      <c r="A19" s="6" t="s">
        <v>157</v>
      </c>
      <c r="B19" s="11" t="s">
        <v>392</v>
      </c>
      <c r="C19" s="9">
        <f>(B11*2)+(B12*2)+(B13*2)</f>
        <v>26</v>
      </c>
      <c r="D19" s="11" t="str">
        <f t="shared" ca="1" si="0"/>
        <v/>
      </c>
      <c r="E19" s="11" t="str">
        <f t="shared" ca="1" si="0"/>
        <v/>
      </c>
      <c r="F19" s="9">
        <v>0</v>
      </c>
      <c r="G19" s="11">
        <f>B11*2</f>
        <v>10</v>
      </c>
      <c r="H19" s="11">
        <f>B12*2</f>
        <v>8</v>
      </c>
      <c r="I19" s="11">
        <f>B13*2</f>
        <v>8</v>
      </c>
      <c r="J19" s="9">
        <v>0</v>
      </c>
    </row>
    <row r="20" spans="1:10" x14ac:dyDescent="0.35">
      <c r="A20" s="6" t="s">
        <v>161</v>
      </c>
      <c r="B20" s="11" t="s">
        <v>33</v>
      </c>
      <c r="C20" s="9">
        <f>B11+B12+B13</f>
        <v>13</v>
      </c>
      <c r="D20" s="11" t="str">
        <f t="shared" ca="1" si="0"/>
        <v/>
      </c>
      <c r="E20" s="11" t="str">
        <f t="shared" ca="1" si="0"/>
        <v/>
      </c>
      <c r="F20" s="9">
        <v>0</v>
      </c>
      <c r="G20" s="11">
        <f>B11*1</f>
        <v>5</v>
      </c>
      <c r="H20" s="11">
        <f>B12*1</f>
        <v>4</v>
      </c>
      <c r="I20" s="11">
        <f>B13*1</f>
        <v>4</v>
      </c>
      <c r="J20" s="9">
        <v>0</v>
      </c>
    </row>
    <row r="21" spans="1:10" x14ac:dyDescent="0.35">
      <c r="A21" s="6"/>
      <c r="B21" s="5"/>
      <c r="C21" s="6"/>
      <c r="D21" s="5"/>
      <c r="E21" s="5"/>
      <c r="F21" s="6"/>
      <c r="G21" s="5"/>
      <c r="H21" s="5"/>
      <c r="I21" s="5"/>
      <c r="J21" s="6"/>
    </row>
    <row r="22" spans="1:10" x14ac:dyDescent="0.35">
      <c r="A22" s="6"/>
      <c r="B22" s="5"/>
      <c r="C22" s="6"/>
      <c r="D22" s="5"/>
      <c r="E22" s="5"/>
      <c r="F22" s="6"/>
      <c r="G22" s="5"/>
      <c r="H22" s="5"/>
      <c r="I22" s="5"/>
      <c r="J22" s="6"/>
    </row>
    <row r="23" spans="1:10" x14ac:dyDescent="0.35">
      <c r="A23" s="36" t="s">
        <v>393</v>
      </c>
      <c r="B23" s="34"/>
      <c r="C23" s="35"/>
      <c r="D23" s="34"/>
      <c r="E23" s="5"/>
      <c r="F23" s="6"/>
      <c r="G23" s="5"/>
      <c r="H23" s="5"/>
      <c r="I23" s="5"/>
      <c r="J23" s="6"/>
    </row>
    <row r="24" spans="1:10" x14ac:dyDescent="0.35">
      <c r="A24" s="6" t="s">
        <v>394</v>
      </c>
      <c r="B24" s="5"/>
      <c r="C24" s="6"/>
      <c r="D24" s="5"/>
      <c r="E24" s="5"/>
      <c r="F24" s="6"/>
      <c r="G24" s="5"/>
      <c r="H24" s="5"/>
      <c r="I24" s="5"/>
      <c r="J24" s="6"/>
    </row>
    <row r="25" spans="1:10" x14ac:dyDescent="0.35">
      <c r="A25" s="6" t="s">
        <v>395</v>
      </c>
      <c r="B25" s="5"/>
      <c r="C25" s="6"/>
      <c r="D25" s="5"/>
      <c r="E25" s="5"/>
      <c r="F25" s="6"/>
      <c r="G25" s="5"/>
      <c r="H25" s="5"/>
      <c r="I25" s="5"/>
      <c r="J25" s="6"/>
    </row>
    <row r="26" spans="1:10" x14ac:dyDescent="0.35">
      <c r="A26" s="6" t="s">
        <v>396</v>
      </c>
      <c r="B26" s="5"/>
      <c r="C26" s="6"/>
      <c r="D26" s="5"/>
      <c r="E26" s="5"/>
      <c r="F26" s="6"/>
      <c r="G26" s="5"/>
      <c r="H26" s="5"/>
      <c r="I26" s="5"/>
      <c r="J26" s="6"/>
    </row>
    <row r="27" spans="1:10" x14ac:dyDescent="0.35">
      <c r="A27" t="s">
        <v>397</v>
      </c>
    </row>
  </sheetData>
  <mergeCells count="2">
    <mergeCell ref="A1:H1"/>
    <mergeCell ref="A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40"/>
  <sheetViews>
    <sheetView topLeftCell="B1" workbookViewId="0">
      <selection activeCell="M6" sqref="M6"/>
    </sheetView>
  </sheetViews>
  <sheetFormatPr defaultRowHeight="14.5" x14ac:dyDescent="0.35"/>
  <cols>
    <col min="1" max="1" width="11" bestFit="1" customWidth="1"/>
    <col min="2" max="2" width="19" bestFit="1" customWidth="1"/>
    <col min="3" max="3" width="25.7265625" bestFit="1" customWidth="1"/>
    <col min="4" max="4" width="8" bestFit="1" customWidth="1"/>
    <col min="5" max="5" width="14.54296875" bestFit="1" customWidth="1"/>
    <col min="6" max="6" width="12" bestFit="1" customWidth="1"/>
    <col min="7" max="7" width="7" bestFit="1" customWidth="1"/>
    <col min="8" max="8" width="6" bestFit="1" customWidth="1"/>
    <col min="9" max="9" width="9" bestFit="1" customWidth="1"/>
    <col min="10" max="10" width="9.1796875" bestFit="1" customWidth="1"/>
  </cols>
  <sheetData>
    <row r="1" spans="1:10" x14ac:dyDescent="0.35">
      <c r="A1" s="19" t="s">
        <v>398</v>
      </c>
      <c r="B1" s="19" t="s">
        <v>399</v>
      </c>
      <c r="C1" s="19" t="s">
        <v>400</v>
      </c>
      <c r="D1" s="19" t="s">
        <v>401</v>
      </c>
      <c r="E1" s="19" t="s">
        <v>402</v>
      </c>
      <c r="F1" s="19" t="s">
        <v>403</v>
      </c>
      <c r="G1" s="19" t="s">
        <v>404</v>
      </c>
      <c r="H1" s="19" t="s">
        <v>405</v>
      </c>
      <c r="I1" s="4" t="s">
        <v>406</v>
      </c>
      <c r="J1" s="4" t="s">
        <v>407</v>
      </c>
    </row>
    <row r="2" spans="1:10" x14ac:dyDescent="0.35">
      <c r="A2">
        <v>3151271587</v>
      </c>
      <c r="B2" t="s">
        <v>408</v>
      </c>
      <c r="C2" t="s">
        <v>409</v>
      </c>
      <c r="D2" t="s">
        <v>410</v>
      </c>
      <c r="E2" t="s">
        <v>411</v>
      </c>
      <c r="G2">
        <v>927003</v>
      </c>
      <c r="H2" t="s">
        <v>412</v>
      </c>
      <c r="I2" s="4">
        <v>1500</v>
      </c>
      <c r="J2" s="4">
        <v>240</v>
      </c>
    </row>
    <row r="3" spans="1:10" x14ac:dyDescent="0.35">
      <c r="A3">
        <v>3151271587</v>
      </c>
      <c r="B3" t="s">
        <v>408</v>
      </c>
      <c r="C3" t="s">
        <v>409</v>
      </c>
      <c r="D3" t="s">
        <v>413</v>
      </c>
      <c r="E3" t="s">
        <v>414</v>
      </c>
      <c r="G3">
        <v>696728</v>
      </c>
      <c r="H3" t="s">
        <v>415</v>
      </c>
      <c r="I3" s="4">
        <v>1500</v>
      </c>
      <c r="J3" s="4">
        <v>504</v>
      </c>
    </row>
    <row r="4" spans="1:10" x14ac:dyDescent="0.35">
      <c r="A4">
        <v>3151271762</v>
      </c>
      <c r="B4" t="s">
        <v>416</v>
      </c>
      <c r="C4" t="s">
        <v>417</v>
      </c>
      <c r="D4" t="s">
        <v>418</v>
      </c>
      <c r="E4" t="s">
        <v>419</v>
      </c>
      <c r="F4" t="s">
        <v>420</v>
      </c>
      <c r="G4">
        <v>943499</v>
      </c>
      <c r="H4" t="s">
        <v>421</v>
      </c>
      <c r="I4" s="4">
        <v>2004</v>
      </c>
      <c r="J4" s="4">
        <v>1533.06</v>
      </c>
    </row>
    <row r="5" spans="1:10" x14ac:dyDescent="0.35">
      <c r="A5">
        <v>3151271762</v>
      </c>
      <c r="B5" t="s">
        <v>416</v>
      </c>
      <c r="C5" t="s">
        <v>417</v>
      </c>
      <c r="D5" t="s">
        <v>422</v>
      </c>
      <c r="E5" t="s">
        <v>423</v>
      </c>
      <c r="F5" t="s">
        <v>420</v>
      </c>
      <c r="G5">
        <v>943500</v>
      </c>
      <c r="H5" t="s">
        <v>412</v>
      </c>
      <c r="I5" s="4">
        <v>4500</v>
      </c>
      <c r="J5" s="4">
        <v>1012.5</v>
      </c>
    </row>
    <row r="6" spans="1:10" x14ac:dyDescent="0.35">
      <c r="A6">
        <v>3151271884</v>
      </c>
      <c r="B6" t="s">
        <v>416</v>
      </c>
      <c r="C6" t="s">
        <v>424</v>
      </c>
      <c r="D6" t="s">
        <v>418</v>
      </c>
      <c r="E6" t="s">
        <v>425</v>
      </c>
      <c r="F6" t="s">
        <v>420</v>
      </c>
      <c r="G6">
        <v>944944</v>
      </c>
      <c r="H6" t="s">
        <v>421</v>
      </c>
      <c r="I6" s="4">
        <v>1620</v>
      </c>
      <c r="J6" s="4">
        <v>1239.3</v>
      </c>
    </row>
    <row r="7" spans="1:10" x14ac:dyDescent="0.35">
      <c r="A7">
        <v>3151271884</v>
      </c>
      <c r="B7" t="s">
        <v>416</v>
      </c>
      <c r="C7" t="s">
        <v>424</v>
      </c>
      <c r="D7" t="s">
        <v>422</v>
      </c>
      <c r="E7" t="s">
        <v>426</v>
      </c>
      <c r="F7" t="s">
        <v>420</v>
      </c>
      <c r="G7">
        <v>944945</v>
      </c>
      <c r="H7" t="s">
        <v>412</v>
      </c>
      <c r="I7" s="4">
        <v>2520</v>
      </c>
      <c r="J7" s="4">
        <v>567</v>
      </c>
    </row>
    <row r="8" spans="1:10" x14ac:dyDescent="0.35">
      <c r="A8">
        <v>3151271884</v>
      </c>
      <c r="B8" t="s">
        <v>416</v>
      </c>
      <c r="C8" t="s">
        <v>424</v>
      </c>
      <c r="D8" t="s">
        <v>427</v>
      </c>
      <c r="E8" t="s">
        <v>428</v>
      </c>
      <c r="F8" t="s">
        <v>420</v>
      </c>
      <c r="G8">
        <v>944942</v>
      </c>
      <c r="H8" t="s">
        <v>415</v>
      </c>
      <c r="I8" s="4">
        <v>1548</v>
      </c>
      <c r="J8" s="4">
        <v>704.34</v>
      </c>
    </row>
    <row r="9" spans="1:10" x14ac:dyDescent="0.35">
      <c r="A9">
        <v>3151272824</v>
      </c>
      <c r="B9" t="s">
        <v>429</v>
      </c>
      <c r="C9" t="s">
        <v>430</v>
      </c>
      <c r="D9" t="s">
        <v>431</v>
      </c>
      <c r="E9" t="s">
        <v>432</v>
      </c>
      <c r="G9">
        <v>949600</v>
      </c>
      <c r="H9" t="s">
        <v>433</v>
      </c>
      <c r="I9" s="4">
        <v>19245.600000000002</v>
      </c>
      <c r="J9" s="4">
        <v>1152.7152120000003</v>
      </c>
    </row>
    <row r="10" spans="1:10" x14ac:dyDescent="0.35">
      <c r="A10">
        <v>3151272819</v>
      </c>
      <c r="B10" t="s">
        <v>429</v>
      </c>
      <c r="C10" t="s">
        <v>430</v>
      </c>
      <c r="D10" t="s">
        <v>434</v>
      </c>
      <c r="E10" t="s">
        <v>435</v>
      </c>
      <c r="G10">
        <v>949599</v>
      </c>
      <c r="H10" t="s">
        <v>415</v>
      </c>
      <c r="I10" s="4">
        <v>8313.9840000000004</v>
      </c>
      <c r="J10" s="4">
        <v>4761.0860774399998</v>
      </c>
    </row>
    <row r="11" spans="1:10" x14ac:dyDescent="0.35">
      <c r="A11">
        <v>3151272821</v>
      </c>
      <c r="B11" t="s">
        <v>429</v>
      </c>
      <c r="C11" t="s">
        <v>430</v>
      </c>
      <c r="D11" t="s">
        <v>434</v>
      </c>
      <c r="E11" t="s">
        <v>435</v>
      </c>
      <c r="G11">
        <v>949599</v>
      </c>
      <c r="H11" t="s">
        <v>415</v>
      </c>
      <c r="I11" s="4">
        <v>8313.9840000000004</v>
      </c>
      <c r="J11" s="4">
        <v>4761.0860774399998</v>
      </c>
    </row>
    <row r="12" spans="1:10" x14ac:dyDescent="0.35">
      <c r="A12">
        <v>3151272824</v>
      </c>
      <c r="B12" t="s">
        <v>429</v>
      </c>
      <c r="C12" t="s">
        <v>436</v>
      </c>
      <c r="D12" t="s">
        <v>431</v>
      </c>
      <c r="E12" t="s">
        <v>437</v>
      </c>
      <c r="F12" t="s">
        <v>420</v>
      </c>
      <c r="G12">
        <v>949600</v>
      </c>
      <c r="H12" t="s">
        <v>433</v>
      </c>
      <c r="I12" s="4">
        <v>6453.2160000000003</v>
      </c>
      <c r="J12" s="4">
        <v>410.29547328000007</v>
      </c>
    </row>
    <row r="13" spans="1:10" x14ac:dyDescent="0.35">
      <c r="A13">
        <v>3151272819</v>
      </c>
      <c r="B13" t="s">
        <v>429</v>
      </c>
      <c r="C13" t="s">
        <v>436</v>
      </c>
      <c r="D13" t="s">
        <v>434</v>
      </c>
      <c r="E13" t="s">
        <v>438</v>
      </c>
      <c r="F13" t="s">
        <v>420</v>
      </c>
      <c r="G13">
        <v>949599</v>
      </c>
      <c r="H13" t="s">
        <v>415</v>
      </c>
      <c r="I13" s="4">
        <v>4169.0879999999997</v>
      </c>
      <c r="J13" s="4">
        <v>2387.4699340799998</v>
      </c>
    </row>
    <row r="14" spans="1:10" x14ac:dyDescent="0.35">
      <c r="A14">
        <v>3151272821</v>
      </c>
      <c r="B14" t="s">
        <v>429</v>
      </c>
      <c r="C14" t="s">
        <v>436</v>
      </c>
      <c r="D14" t="s">
        <v>434</v>
      </c>
      <c r="E14" t="s">
        <v>438</v>
      </c>
      <c r="F14" t="s">
        <v>420</v>
      </c>
      <c r="G14">
        <v>949599</v>
      </c>
      <c r="H14" t="s">
        <v>415</v>
      </c>
      <c r="I14" s="4">
        <v>4169.0879999999997</v>
      </c>
      <c r="J14" s="4">
        <v>2387.4699340799998</v>
      </c>
    </row>
    <row r="15" spans="1:10" x14ac:dyDescent="0.35">
      <c r="A15">
        <v>3151272824</v>
      </c>
      <c r="B15" t="s">
        <v>429</v>
      </c>
      <c r="C15" t="s">
        <v>439</v>
      </c>
      <c r="D15" t="s">
        <v>431</v>
      </c>
      <c r="E15" t="s">
        <v>437</v>
      </c>
      <c r="F15" t="s">
        <v>440</v>
      </c>
      <c r="G15">
        <v>949600</v>
      </c>
      <c r="H15" t="s">
        <v>433</v>
      </c>
      <c r="I15" s="4">
        <v>6415.2000000000007</v>
      </c>
      <c r="J15" s="4">
        <v>407.87841600000002</v>
      </c>
    </row>
    <row r="16" spans="1:10" x14ac:dyDescent="0.35">
      <c r="A16">
        <v>3151272819</v>
      </c>
      <c r="B16" t="s">
        <v>429</v>
      </c>
      <c r="C16" t="s">
        <v>439</v>
      </c>
      <c r="D16" t="s">
        <v>434</v>
      </c>
      <c r="E16" t="s">
        <v>438</v>
      </c>
      <c r="F16" t="s">
        <v>440</v>
      </c>
      <c r="G16">
        <v>949599</v>
      </c>
      <c r="H16" t="s">
        <v>415</v>
      </c>
      <c r="I16" s="4">
        <v>2080.5120000000002</v>
      </c>
      <c r="J16" s="4">
        <v>1191.4260019200001</v>
      </c>
    </row>
    <row r="17" spans="1:10" x14ac:dyDescent="0.35">
      <c r="A17">
        <v>3151272821</v>
      </c>
      <c r="B17" t="s">
        <v>429</v>
      </c>
      <c r="C17" t="s">
        <v>439</v>
      </c>
      <c r="D17" t="s">
        <v>434</v>
      </c>
      <c r="E17" t="s">
        <v>438</v>
      </c>
      <c r="F17" t="s">
        <v>440</v>
      </c>
      <c r="G17">
        <v>949599</v>
      </c>
      <c r="H17" t="s">
        <v>415</v>
      </c>
      <c r="I17" s="4">
        <v>2080.5120000000002</v>
      </c>
      <c r="J17" s="4">
        <v>1191.4260019200001</v>
      </c>
    </row>
    <row r="18" spans="1:10" x14ac:dyDescent="0.35">
      <c r="A18">
        <v>3151272824</v>
      </c>
      <c r="B18" t="s">
        <v>429</v>
      </c>
      <c r="C18" t="s">
        <v>441</v>
      </c>
      <c r="D18" t="s">
        <v>431</v>
      </c>
      <c r="E18" t="s">
        <v>437</v>
      </c>
      <c r="F18" t="s">
        <v>442</v>
      </c>
      <c r="G18">
        <v>949600</v>
      </c>
      <c r="H18" t="s">
        <v>433</v>
      </c>
      <c r="I18" s="4">
        <v>6415.2000000000007</v>
      </c>
      <c r="J18" s="4">
        <v>407.87841600000002</v>
      </c>
    </row>
    <row r="19" spans="1:10" x14ac:dyDescent="0.35">
      <c r="A19">
        <v>3151272819</v>
      </c>
      <c r="B19" t="s">
        <v>429</v>
      </c>
      <c r="C19" t="s">
        <v>441</v>
      </c>
      <c r="D19" t="s">
        <v>434</v>
      </c>
      <c r="E19" t="s">
        <v>438</v>
      </c>
      <c r="F19" t="s">
        <v>442</v>
      </c>
      <c r="G19">
        <v>949599</v>
      </c>
      <c r="H19" t="s">
        <v>415</v>
      </c>
      <c r="I19" s="4">
        <v>2080.5120000000002</v>
      </c>
      <c r="J19" s="4">
        <v>1191.4260019200001</v>
      </c>
    </row>
    <row r="20" spans="1:10" x14ac:dyDescent="0.35">
      <c r="A20">
        <v>3151272821</v>
      </c>
      <c r="B20" t="s">
        <v>429</v>
      </c>
      <c r="C20" t="s">
        <v>441</v>
      </c>
      <c r="D20" t="s">
        <v>434</v>
      </c>
      <c r="E20" t="s">
        <v>438</v>
      </c>
      <c r="F20" t="s">
        <v>442</v>
      </c>
      <c r="G20">
        <v>949599</v>
      </c>
      <c r="H20" t="s">
        <v>415</v>
      </c>
      <c r="I20" s="4">
        <v>2080.5120000000002</v>
      </c>
      <c r="J20" s="4">
        <v>1191.4260019200001</v>
      </c>
    </row>
    <row r="21" spans="1:10" x14ac:dyDescent="0.35">
      <c r="A21">
        <v>3151271671</v>
      </c>
      <c r="B21" t="s">
        <v>443</v>
      </c>
      <c r="C21" t="s">
        <v>444</v>
      </c>
      <c r="D21" t="s">
        <v>445</v>
      </c>
      <c r="E21" t="s">
        <v>446</v>
      </c>
      <c r="G21">
        <v>930760</v>
      </c>
      <c r="H21" t="s">
        <v>433</v>
      </c>
      <c r="I21" s="4">
        <v>2448</v>
      </c>
      <c r="J21" s="4">
        <v>138.36096000000003</v>
      </c>
    </row>
    <row r="22" spans="1:10" x14ac:dyDescent="0.35">
      <c r="A22">
        <v>3151271672</v>
      </c>
      <c r="B22" t="s">
        <v>443</v>
      </c>
      <c r="C22" t="s">
        <v>444</v>
      </c>
      <c r="D22" t="s">
        <v>445</v>
      </c>
      <c r="E22" t="s">
        <v>446</v>
      </c>
      <c r="G22">
        <v>930760</v>
      </c>
      <c r="H22" t="s">
        <v>433</v>
      </c>
      <c r="I22" s="4">
        <v>288</v>
      </c>
      <c r="J22" s="4">
        <v>16.277760000000001</v>
      </c>
    </row>
    <row r="23" spans="1:10" x14ac:dyDescent="0.35">
      <c r="A23">
        <v>3151271671</v>
      </c>
      <c r="B23" t="s">
        <v>443</v>
      </c>
      <c r="C23" t="s">
        <v>444</v>
      </c>
      <c r="D23" t="s">
        <v>447</v>
      </c>
      <c r="E23" t="s">
        <v>448</v>
      </c>
      <c r="G23">
        <v>925048</v>
      </c>
      <c r="H23" t="s">
        <v>412</v>
      </c>
      <c r="I23" s="4">
        <v>2080</v>
      </c>
      <c r="J23" s="4">
        <v>653.12</v>
      </c>
    </row>
    <row r="24" spans="1:10" x14ac:dyDescent="0.35">
      <c r="A24">
        <v>3151271672</v>
      </c>
      <c r="B24" t="s">
        <v>443</v>
      </c>
      <c r="C24" t="s">
        <v>444</v>
      </c>
      <c r="D24" t="s">
        <v>447</v>
      </c>
      <c r="E24" t="s">
        <v>448</v>
      </c>
      <c r="G24">
        <v>925048</v>
      </c>
      <c r="H24" t="s">
        <v>412</v>
      </c>
      <c r="I24" s="4">
        <v>180</v>
      </c>
      <c r="J24" s="4">
        <v>56.52</v>
      </c>
    </row>
    <row r="25" spans="1:10" x14ac:dyDescent="0.35">
      <c r="A25">
        <v>3151271671</v>
      </c>
      <c r="B25" t="s">
        <v>443</v>
      </c>
      <c r="C25" t="s">
        <v>444</v>
      </c>
      <c r="D25" t="s">
        <v>449</v>
      </c>
      <c r="E25" t="s">
        <v>450</v>
      </c>
      <c r="F25" t="s">
        <v>201</v>
      </c>
      <c r="G25">
        <v>902212</v>
      </c>
      <c r="H25" t="s">
        <v>415</v>
      </c>
      <c r="I25" s="4">
        <v>2208</v>
      </c>
      <c r="J25" s="4">
        <v>1358.8915200000001</v>
      </c>
    </row>
    <row r="26" spans="1:10" x14ac:dyDescent="0.35">
      <c r="A26">
        <v>3151271672</v>
      </c>
      <c r="B26" t="s">
        <v>443</v>
      </c>
      <c r="C26" t="s">
        <v>444</v>
      </c>
      <c r="D26" t="s">
        <v>449</v>
      </c>
      <c r="E26" t="s">
        <v>450</v>
      </c>
      <c r="G26">
        <v>902212</v>
      </c>
      <c r="H26" t="s">
        <v>415</v>
      </c>
      <c r="I26" s="4">
        <v>180</v>
      </c>
      <c r="J26" s="4">
        <v>110.77920000000002</v>
      </c>
    </row>
    <row r="27" spans="1:10" x14ac:dyDescent="0.35">
      <c r="A27">
        <v>3151271671</v>
      </c>
      <c r="B27" t="s">
        <v>443</v>
      </c>
      <c r="C27" t="s">
        <v>444</v>
      </c>
      <c r="D27" t="s">
        <v>451</v>
      </c>
      <c r="E27" t="s">
        <v>452</v>
      </c>
      <c r="G27">
        <v>902213</v>
      </c>
      <c r="H27" t="s">
        <v>421</v>
      </c>
      <c r="I27" s="4">
        <v>1450</v>
      </c>
      <c r="J27" s="4">
        <v>1311.2640000000001</v>
      </c>
    </row>
    <row r="28" spans="1:10" x14ac:dyDescent="0.35">
      <c r="A28">
        <v>3151271672</v>
      </c>
      <c r="B28" t="s">
        <v>443</v>
      </c>
      <c r="C28" t="s">
        <v>444</v>
      </c>
      <c r="D28" t="s">
        <v>451</v>
      </c>
      <c r="E28" t="s">
        <v>452</v>
      </c>
      <c r="G28">
        <v>902213</v>
      </c>
      <c r="H28" t="s">
        <v>421</v>
      </c>
      <c r="I28" s="4">
        <v>96</v>
      </c>
      <c r="J28" s="4">
        <v>86.814720000000008</v>
      </c>
    </row>
    <row r="29" spans="1:10" x14ac:dyDescent="0.35">
      <c r="A29">
        <v>3151271740</v>
      </c>
      <c r="B29" t="s">
        <v>443</v>
      </c>
      <c r="C29" t="s">
        <v>453</v>
      </c>
      <c r="D29" t="s">
        <v>445</v>
      </c>
      <c r="E29" t="s">
        <v>454</v>
      </c>
      <c r="G29">
        <v>928106</v>
      </c>
      <c r="H29" t="s">
        <v>433</v>
      </c>
      <c r="I29" s="4">
        <v>4608</v>
      </c>
      <c r="J29" s="4">
        <v>211.50719999999998</v>
      </c>
    </row>
    <row r="30" spans="1:10" x14ac:dyDescent="0.35">
      <c r="A30">
        <v>3151271741</v>
      </c>
      <c r="B30" t="s">
        <v>443</v>
      </c>
      <c r="C30" t="s">
        <v>453</v>
      </c>
      <c r="D30" t="s">
        <v>445</v>
      </c>
      <c r="E30" t="s">
        <v>454</v>
      </c>
      <c r="G30">
        <v>928106</v>
      </c>
      <c r="H30" t="s">
        <v>433</v>
      </c>
      <c r="I30" s="4">
        <v>576</v>
      </c>
      <c r="J30" s="4">
        <v>26.438399999999998</v>
      </c>
    </row>
    <row r="31" spans="1:10" x14ac:dyDescent="0.35">
      <c r="A31">
        <v>3151271740</v>
      </c>
      <c r="B31" t="s">
        <v>443</v>
      </c>
      <c r="C31" t="s">
        <v>453</v>
      </c>
      <c r="D31" t="s">
        <v>422</v>
      </c>
      <c r="E31" t="s">
        <v>455</v>
      </c>
      <c r="G31">
        <v>928104</v>
      </c>
      <c r="H31" t="s">
        <v>412</v>
      </c>
      <c r="I31" s="4">
        <v>2556</v>
      </c>
      <c r="J31" s="4">
        <v>563.59799999999996</v>
      </c>
    </row>
    <row r="32" spans="1:10" x14ac:dyDescent="0.35">
      <c r="A32">
        <v>3151271741</v>
      </c>
      <c r="B32" t="s">
        <v>443</v>
      </c>
      <c r="C32" t="s">
        <v>453</v>
      </c>
      <c r="D32" t="s">
        <v>422</v>
      </c>
      <c r="E32" t="s">
        <v>455</v>
      </c>
      <c r="G32">
        <v>928104</v>
      </c>
      <c r="H32" t="s">
        <v>412</v>
      </c>
      <c r="I32" s="4">
        <v>144</v>
      </c>
      <c r="J32" s="4">
        <v>31.751999999999999</v>
      </c>
    </row>
    <row r="33" spans="1:10" x14ac:dyDescent="0.35">
      <c r="A33">
        <v>3151271740</v>
      </c>
      <c r="B33" t="s">
        <v>443</v>
      </c>
      <c r="C33" t="s">
        <v>453</v>
      </c>
      <c r="D33" t="s">
        <v>449</v>
      </c>
      <c r="E33" t="s">
        <v>456</v>
      </c>
      <c r="G33">
        <v>928101</v>
      </c>
      <c r="H33" t="s">
        <v>415</v>
      </c>
      <c r="I33" s="4">
        <v>2016</v>
      </c>
      <c r="J33" s="4">
        <v>948.32639999999992</v>
      </c>
    </row>
    <row r="34" spans="1:10" x14ac:dyDescent="0.35">
      <c r="A34">
        <v>3151271741</v>
      </c>
      <c r="B34" t="s">
        <v>443</v>
      </c>
      <c r="C34" t="s">
        <v>453</v>
      </c>
      <c r="D34" t="s">
        <v>449</v>
      </c>
      <c r="E34" t="s">
        <v>456</v>
      </c>
      <c r="G34">
        <v>928101</v>
      </c>
      <c r="H34" t="s">
        <v>415</v>
      </c>
      <c r="I34" s="4">
        <v>144</v>
      </c>
      <c r="J34" s="4">
        <v>67.737599999999986</v>
      </c>
    </row>
    <row r="35" spans="1:10" x14ac:dyDescent="0.35">
      <c r="A35">
        <v>3151271740</v>
      </c>
      <c r="B35" t="s">
        <v>443</v>
      </c>
      <c r="C35" t="s">
        <v>453</v>
      </c>
      <c r="D35" t="s">
        <v>457</v>
      </c>
      <c r="E35" t="s">
        <v>458</v>
      </c>
      <c r="G35">
        <v>928102</v>
      </c>
      <c r="H35" t="s">
        <v>421</v>
      </c>
      <c r="I35" s="4">
        <v>720</v>
      </c>
      <c r="J35" s="4">
        <v>466.56</v>
      </c>
    </row>
    <row r="36" spans="1:10" x14ac:dyDescent="0.35">
      <c r="A36">
        <v>3151271741</v>
      </c>
      <c r="B36" t="s">
        <v>443</v>
      </c>
      <c r="C36" t="s">
        <v>453</v>
      </c>
      <c r="D36" t="s">
        <v>457</v>
      </c>
      <c r="E36" t="s">
        <v>458</v>
      </c>
      <c r="G36">
        <v>928102</v>
      </c>
      <c r="H36" t="s">
        <v>421</v>
      </c>
      <c r="I36" s="4">
        <v>96</v>
      </c>
      <c r="J36" s="4">
        <v>62.207999999999998</v>
      </c>
    </row>
    <row r="37" spans="1:10" x14ac:dyDescent="0.35">
      <c r="A37">
        <v>3151271475</v>
      </c>
      <c r="B37" t="s">
        <v>443</v>
      </c>
      <c r="C37" t="s">
        <v>459</v>
      </c>
      <c r="D37" t="s">
        <v>422</v>
      </c>
      <c r="E37" t="s">
        <v>460</v>
      </c>
      <c r="F37" t="s">
        <v>440</v>
      </c>
      <c r="G37">
        <v>947768</v>
      </c>
      <c r="H37" t="s">
        <v>412</v>
      </c>
      <c r="I37" s="4">
        <v>1404</v>
      </c>
      <c r="J37" s="4">
        <v>331.76519999999999</v>
      </c>
    </row>
    <row r="38" spans="1:10" x14ac:dyDescent="0.35">
      <c r="A38">
        <v>3151271476</v>
      </c>
      <c r="B38" t="s">
        <v>443</v>
      </c>
      <c r="C38" t="s">
        <v>459</v>
      </c>
      <c r="D38" t="s">
        <v>422</v>
      </c>
      <c r="E38" t="s">
        <v>460</v>
      </c>
      <c r="F38" t="s">
        <v>440</v>
      </c>
      <c r="G38">
        <v>947768</v>
      </c>
      <c r="H38" t="s">
        <v>412</v>
      </c>
      <c r="I38" s="4">
        <v>36</v>
      </c>
      <c r="J38" s="4">
        <v>8.5068000000000019</v>
      </c>
    </row>
    <row r="39" spans="1:10" x14ac:dyDescent="0.35">
      <c r="A39">
        <v>3151271477</v>
      </c>
      <c r="B39" t="s">
        <v>443</v>
      </c>
      <c r="C39" t="s">
        <v>459</v>
      </c>
      <c r="D39" t="s">
        <v>422</v>
      </c>
      <c r="E39" t="s">
        <v>460</v>
      </c>
      <c r="F39" t="s">
        <v>440</v>
      </c>
      <c r="G39">
        <v>947768</v>
      </c>
      <c r="H39" t="s">
        <v>412</v>
      </c>
      <c r="I39" s="4">
        <v>972</v>
      </c>
      <c r="J39" s="4">
        <v>229.68360000000001</v>
      </c>
    </row>
    <row r="40" spans="1:10" x14ac:dyDescent="0.35">
      <c r="A40">
        <v>3151271478</v>
      </c>
      <c r="B40" t="s">
        <v>443</v>
      </c>
      <c r="C40" t="s">
        <v>459</v>
      </c>
      <c r="D40" t="s">
        <v>422</v>
      </c>
      <c r="E40" t="s">
        <v>460</v>
      </c>
      <c r="F40" t="s">
        <v>440</v>
      </c>
      <c r="G40">
        <v>947768</v>
      </c>
      <c r="H40" t="s">
        <v>412</v>
      </c>
      <c r="I40" s="4">
        <v>36</v>
      </c>
      <c r="J40" s="4">
        <v>8.5068000000000019</v>
      </c>
    </row>
    <row r="41" spans="1:10" x14ac:dyDescent="0.35">
      <c r="A41">
        <v>3151271475</v>
      </c>
      <c r="B41" t="s">
        <v>443</v>
      </c>
      <c r="C41" t="s">
        <v>459</v>
      </c>
      <c r="D41" t="s">
        <v>449</v>
      </c>
      <c r="E41" t="s">
        <v>461</v>
      </c>
      <c r="F41" t="s">
        <v>440</v>
      </c>
      <c r="G41">
        <v>947764</v>
      </c>
      <c r="H41" t="s">
        <v>415</v>
      </c>
      <c r="I41" s="4">
        <v>984</v>
      </c>
      <c r="J41" s="4">
        <v>506.26800000000003</v>
      </c>
    </row>
    <row r="42" spans="1:10" x14ac:dyDescent="0.35">
      <c r="A42">
        <v>3151271476</v>
      </c>
      <c r="B42" t="s">
        <v>443</v>
      </c>
      <c r="C42" t="s">
        <v>459</v>
      </c>
      <c r="D42" t="s">
        <v>449</v>
      </c>
      <c r="E42" t="s">
        <v>461</v>
      </c>
      <c r="F42" t="s">
        <v>440</v>
      </c>
      <c r="G42">
        <v>947764</v>
      </c>
      <c r="H42" t="s">
        <v>415</v>
      </c>
      <c r="I42" s="4">
        <v>36</v>
      </c>
      <c r="J42" s="4">
        <v>18.522000000000002</v>
      </c>
    </row>
    <row r="43" spans="1:10" x14ac:dyDescent="0.35">
      <c r="A43">
        <v>3151271477</v>
      </c>
      <c r="B43" t="s">
        <v>443</v>
      </c>
      <c r="C43" t="s">
        <v>459</v>
      </c>
      <c r="D43" t="s">
        <v>449</v>
      </c>
      <c r="E43" t="s">
        <v>461</v>
      </c>
      <c r="F43" t="s">
        <v>440</v>
      </c>
      <c r="G43">
        <v>947764</v>
      </c>
      <c r="H43" t="s">
        <v>415</v>
      </c>
      <c r="I43" s="4">
        <v>792</v>
      </c>
      <c r="J43" s="4">
        <v>407.48399999999998</v>
      </c>
    </row>
    <row r="44" spans="1:10" x14ac:dyDescent="0.35">
      <c r="A44">
        <v>3151271478</v>
      </c>
      <c r="B44" t="s">
        <v>443</v>
      </c>
      <c r="C44" t="s">
        <v>459</v>
      </c>
      <c r="D44" t="s">
        <v>449</v>
      </c>
      <c r="E44" t="s">
        <v>461</v>
      </c>
      <c r="F44" t="s">
        <v>440</v>
      </c>
      <c r="G44">
        <v>947764</v>
      </c>
      <c r="H44" t="s">
        <v>415</v>
      </c>
      <c r="I44" s="4">
        <v>36</v>
      </c>
      <c r="J44" s="4">
        <v>18.522000000000002</v>
      </c>
    </row>
    <row r="45" spans="1:10" x14ac:dyDescent="0.35">
      <c r="A45">
        <v>3151271640</v>
      </c>
      <c r="B45" t="s">
        <v>443</v>
      </c>
      <c r="C45" t="s">
        <v>462</v>
      </c>
      <c r="D45" t="s">
        <v>445</v>
      </c>
      <c r="E45" t="s">
        <v>463</v>
      </c>
      <c r="G45">
        <v>947197</v>
      </c>
      <c r="H45" t="s">
        <v>433</v>
      </c>
      <c r="I45" s="4">
        <v>2304</v>
      </c>
      <c r="J45" s="4">
        <v>116.12159999999999</v>
      </c>
    </row>
    <row r="46" spans="1:10" x14ac:dyDescent="0.35">
      <c r="A46">
        <v>3151271289</v>
      </c>
      <c r="B46" t="s">
        <v>443</v>
      </c>
      <c r="C46" t="s">
        <v>462</v>
      </c>
      <c r="D46" t="s">
        <v>445</v>
      </c>
      <c r="E46" t="s">
        <v>463</v>
      </c>
      <c r="G46">
        <v>947197</v>
      </c>
      <c r="H46" t="s">
        <v>433</v>
      </c>
      <c r="I46" s="4">
        <v>10368</v>
      </c>
      <c r="J46" s="4">
        <v>522.54719999999998</v>
      </c>
    </row>
    <row r="47" spans="1:10" x14ac:dyDescent="0.35">
      <c r="A47">
        <v>3151271290</v>
      </c>
      <c r="B47" t="s">
        <v>443</v>
      </c>
      <c r="C47" t="s">
        <v>462</v>
      </c>
      <c r="D47" t="s">
        <v>445</v>
      </c>
      <c r="E47" t="s">
        <v>463</v>
      </c>
      <c r="G47">
        <v>947197</v>
      </c>
      <c r="H47" t="s">
        <v>433</v>
      </c>
      <c r="I47" s="4">
        <v>864</v>
      </c>
      <c r="J47" s="4">
        <v>43.5456</v>
      </c>
    </row>
    <row r="48" spans="1:10" x14ac:dyDescent="0.35">
      <c r="A48">
        <v>3151271291</v>
      </c>
      <c r="B48" t="s">
        <v>443</v>
      </c>
      <c r="C48" t="s">
        <v>462</v>
      </c>
      <c r="D48" t="s">
        <v>445</v>
      </c>
      <c r="E48" t="s">
        <v>463</v>
      </c>
      <c r="G48">
        <v>947197</v>
      </c>
      <c r="H48" t="s">
        <v>433</v>
      </c>
      <c r="I48" s="4">
        <v>5376</v>
      </c>
      <c r="J48" s="4">
        <v>270.95039999999995</v>
      </c>
    </row>
    <row r="49" spans="1:10" x14ac:dyDescent="0.35">
      <c r="A49">
        <v>3151271292</v>
      </c>
      <c r="B49" t="s">
        <v>443</v>
      </c>
      <c r="C49" t="s">
        <v>462</v>
      </c>
      <c r="D49" t="s">
        <v>445</v>
      </c>
      <c r="E49" t="s">
        <v>463</v>
      </c>
      <c r="G49">
        <v>947197</v>
      </c>
      <c r="H49" t="s">
        <v>433</v>
      </c>
      <c r="I49" s="4">
        <v>864</v>
      </c>
      <c r="J49" s="4">
        <v>43.5456</v>
      </c>
    </row>
    <row r="50" spans="1:10" x14ac:dyDescent="0.35">
      <c r="A50">
        <v>3151271640</v>
      </c>
      <c r="B50" t="s">
        <v>443</v>
      </c>
      <c r="C50" t="s">
        <v>462</v>
      </c>
      <c r="D50" t="s">
        <v>422</v>
      </c>
      <c r="E50" t="s">
        <v>464</v>
      </c>
      <c r="F50" t="s">
        <v>201</v>
      </c>
      <c r="G50">
        <v>947196</v>
      </c>
      <c r="H50" t="s">
        <v>412</v>
      </c>
      <c r="I50" s="4">
        <v>216</v>
      </c>
      <c r="J50" s="4">
        <v>51.040800000000004</v>
      </c>
    </row>
    <row r="51" spans="1:10" x14ac:dyDescent="0.35">
      <c r="A51">
        <v>3151271289</v>
      </c>
      <c r="B51" t="s">
        <v>443</v>
      </c>
      <c r="C51" t="s">
        <v>462</v>
      </c>
      <c r="D51" t="s">
        <v>422</v>
      </c>
      <c r="E51" t="s">
        <v>464</v>
      </c>
      <c r="G51">
        <v>947196</v>
      </c>
      <c r="H51" t="s">
        <v>412</v>
      </c>
      <c r="I51" s="4">
        <v>2448</v>
      </c>
      <c r="J51" s="4">
        <v>578.4624</v>
      </c>
    </row>
    <row r="52" spans="1:10" x14ac:dyDescent="0.35">
      <c r="A52">
        <v>3151271290</v>
      </c>
      <c r="B52" t="s">
        <v>443</v>
      </c>
      <c r="C52" t="s">
        <v>462</v>
      </c>
      <c r="D52" t="s">
        <v>422</v>
      </c>
      <c r="E52" t="s">
        <v>464</v>
      </c>
      <c r="G52">
        <v>947196</v>
      </c>
      <c r="H52" t="s">
        <v>412</v>
      </c>
      <c r="I52" s="4">
        <v>216</v>
      </c>
      <c r="J52" s="4">
        <v>51.040800000000004</v>
      </c>
    </row>
    <row r="53" spans="1:10" x14ac:dyDescent="0.35">
      <c r="A53">
        <v>3151271291</v>
      </c>
      <c r="B53" t="s">
        <v>443</v>
      </c>
      <c r="C53" t="s">
        <v>462</v>
      </c>
      <c r="D53" t="s">
        <v>422</v>
      </c>
      <c r="E53" t="s">
        <v>464</v>
      </c>
      <c r="G53">
        <v>947196</v>
      </c>
      <c r="H53" t="s">
        <v>412</v>
      </c>
      <c r="I53" s="4">
        <v>1764</v>
      </c>
      <c r="J53" s="4">
        <v>416.83320000000003</v>
      </c>
    </row>
    <row r="54" spans="1:10" x14ac:dyDescent="0.35">
      <c r="A54">
        <v>3151271292</v>
      </c>
      <c r="B54" t="s">
        <v>443</v>
      </c>
      <c r="C54" t="s">
        <v>462</v>
      </c>
      <c r="D54" t="s">
        <v>422</v>
      </c>
      <c r="E54" t="s">
        <v>464</v>
      </c>
      <c r="G54">
        <v>947196</v>
      </c>
      <c r="H54" t="s">
        <v>412</v>
      </c>
      <c r="I54" s="4">
        <v>216</v>
      </c>
      <c r="J54" s="4">
        <v>51.040800000000004</v>
      </c>
    </row>
    <row r="55" spans="1:10" x14ac:dyDescent="0.35">
      <c r="A55">
        <v>3151271640</v>
      </c>
      <c r="B55" t="s">
        <v>443</v>
      </c>
      <c r="C55" t="s">
        <v>462</v>
      </c>
      <c r="D55" t="s">
        <v>449</v>
      </c>
      <c r="E55" t="s">
        <v>465</v>
      </c>
      <c r="F55" t="s">
        <v>201</v>
      </c>
      <c r="G55">
        <v>947194</v>
      </c>
      <c r="H55" t="s">
        <v>415</v>
      </c>
      <c r="I55" s="4">
        <v>144</v>
      </c>
      <c r="J55" s="4">
        <v>74.088000000000008</v>
      </c>
    </row>
    <row r="56" spans="1:10" x14ac:dyDescent="0.35">
      <c r="A56">
        <v>3151271289</v>
      </c>
      <c r="B56" t="s">
        <v>443</v>
      </c>
      <c r="C56" t="s">
        <v>462</v>
      </c>
      <c r="D56" t="s">
        <v>449</v>
      </c>
      <c r="E56" t="s">
        <v>465</v>
      </c>
      <c r="G56">
        <v>947194</v>
      </c>
      <c r="H56" t="s">
        <v>415</v>
      </c>
      <c r="I56" s="4">
        <v>2232</v>
      </c>
      <c r="J56" s="4">
        <v>1148.364</v>
      </c>
    </row>
    <row r="57" spans="1:10" x14ac:dyDescent="0.35">
      <c r="A57">
        <v>3151271290</v>
      </c>
      <c r="B57" t="s">
        <v>443</v>
      </c>
      <c r="C57" t="s">
        <v>462</v>
      </c>
      <c r="D57" t="s">
        <v>449</v>
      </c>
      <c r="E57" t="s">
        <v>465</v>
      </c>
      <c r="G57">
        <v>947194</v>
      </c>
      <c r="H57" t="s">
        <v>415</v>
      </c>
      <c r="I57" s="4">
        <v>216</v>
      </c>
      <c r="J57" s="4">
        <v>111.13200000000001</v>
      </c>
    </row>
    <row r="58" spans="1:10" x14ac:dyDescent="0.35">
      <c r="A58">
        <v>3151271291</v>
      </c>
      <c r="B58" t="s">
        <v>443</v>
      </c>
      <c r="C58" t="s">
        <v>462</v>
      </c>
      <c r="D58" t="s">
        <v>449</v>
      </c>
      <c r="E58" t="s">
        <v>465</v>
      </c>
      <c r="G58">
        <v>947194</v>
      </c>
      <c r="H58" t="s">
        <v>415</v>
      </c>
      <c r="I58" s="4">
        <v>1296</v>
      </c>
      <c r="J58" s="4">
        <v>666.79200000000003</v>
      </c>
    </row>
    <row r="59" spans="1:10" x14ac:dyDescent="0.35">
      <c r="A59">
        <v>3151271292</v>
      </c>
      <c r="B59" t="s">
        <v>443</v>
      </c>
      <c r="C59" t="s">
        <v>462</v>
      </c>
      <c r="D59" t="s">
        <v>449</v>
      </c>
      <c r="E59" t="s">
        <v>465</v>
      </c>
      <c r="G59">
        <v>947194</v>
      </c>
      <c r="H59" t="s">
        <v>415</v>
      </c>
      <c r="I59" s="4">
        <v>216</v>
      </c>
      <c r="J59" s="4">
        <v>111.13200000000001</v>
      </c>
    </row>
    <row r="60" spans="1:10" x14ac:dyDescent="0.35">
      <c r="A60">
        <v>3151271640</v>
      </c>
      <c r="B60" t="s">
        <v>443</v>
      </c>
      <c r="C60" t="s">
        <v>462</v>
      </c>
      <c r="D60" t="s">
        <v>457</v>
      </c>
      <c r="E60" t="s">
        <v>466</v>
      </c>
      <c r="G60">
        <v>947195</v>
      </c>
      <c r="H60" t="s">
        <v>421</v>
      </c>
      <c r="I60" s="4">
        <v>96</v>
      </c>
      <c r="J60" s="4">
        <v>68.044799999999995</v>
      </c>
    </row>
    <row r="61" spans="1:10" x14ac:dyDescent="0.35">
      <c r="A61">
        <v>3151271289</v>
      </c>
      <c r="B61" t="s">
        <v>443</v>
      </c>
      <c r="C61" t="s">
        <v>462</v>
      </c>
      <c r="D61" t="s">
        <v>457</v>
      </c>
      <c r="E61" t="s">
        <v>466</v>
      </c>
      <c r="G61">
        <v>947195</v>
      </c>
      <c r="H61" t="s">
        <v>421</v>
      </c>
      <c r="I61" s="4">
        <v>1312</v>
      </c>
      <c r="J61" s="4">
        <v>929.94560000000001</v>
      </c>
    </row>
    <row r="62" spans="1:10" x14ac:dyDescent="0.35">
      <c r="A62">
        <v>3151271290</v>
      </c>
      <c r="B62" t="s">
        <v>443</v>
      </c>
      <c r="C62" t="s">
        <v>462</v>
      </c>
      <c r="D62" t="s">
        <v>457</v>
      </c>
      <c r="E62" t="s">
        <v>466</v>
      </c>
      <c r="G62">
        <v>947195</v>
      </c>
      <c r="H62" t="s">
        <v>421</v>
      </c>
      <c r="I62" s="4">
        <v>144</v>
      </c>
      <c r="J62" s="4">
        <v>102.0672</v>
      </c>
    </row>
    <row r="63" spans="1:10" x14ac:dyDescent="0.35">
      <c r="A63">
        <v>3151271291</v>
      </c>
      <c r="B63" t="s">
        <v>443</v>
      </c>
      <c r="C63" t="s">
        <v>462</v>
      </c>
      <c r="D63" t="s">
        <v>457</v>
      </c>
      <c r="E63" t="s">
        <v>466</v>
      </c>
      <c r="G63">
        <v>947195</v>
      </c>
      <c r="H63" t="s">
        <v>421</v>
      </c>
      <c r="I63" s="4">
        <v>912</v>
      </c>
      <c r="J63" s="4">
        <v>646.42560000000003</v>
      </c>
    </row>
    <row r="64" spans="1:10" x14ac:dyDescent="0.35">
      <c r="A64">
        <v>3151271292</v>
      </c>
      <c r="B64" t="s">
        <v>443</v>
      </c>
      <c r="C64" t="s">
        <v>462</v>
      </c>
      <c r="D64" t="s">
        <v>457</v>
      </c>
      <c r="E64" t="s">
        <v>466</v>
      </c>
      <c r="G64">
        <v>947195</v>
      </c>
      <c r="H64" t="s">
        <v>421</v>
      </c>
      <c r="I64" s="4">
        <v>144</v>
      </c>
      <c r="J64" s="4">
        <v>102.0672</v>
      </c>
    </row>
    <row r="65" spans="1:10" x14ac:dyDescent="0.35">
      <c r="A65">
        <v>3151272548</v>
      </c>
      <c r="B65" t="s">
        <v>467</v>
      </c>
      <c r="C65" t="s">
        <v>468</v>
      </c>
      <c r="D65" t="s">
        <v>447</v>
      </c>
      <c r="E65" t="s">
        <v>469</v>
      </c>
      <c r="G65">
        <v>927105</v>
      </c>
      <c r="H65" t="s">
        <v>412</v>
      </c>
      <c r="I65" s="4">
        <v>7950</v>
      </c>
      <c r="J65" s="4">
        <v>2186.25</v>
      </c>
    </row>
    <row r="66" spans="1:10" x14ac:dyDescent="0.35">
      <c r="A66">
        <v>3151272548</v>
      </c>
      <c r="B66" t="s">
        <v>467</v>
      </c>
      <c r="C66" t="s">
        <v>468</v>
      </c>
      <c r="D66" t="s">
        <v>449</v>
      </c>
      <c r="E66" t="s">
        <v>470</v>
      </c>
      <c r="G66">
        <v>918040</v>
      </c>
      <c r="H66" t="s">
        <v>415</v>
      </c>
      <c r="I66" s="4">
        <v>4800</v>
      </c>
      <c r="J66" s="4">
        <v>2587.2000000000003</v>
      </c>
    </row>
    <row r="67" spans="1:10" x14ac:dyDescent="0.35">
      <c r="A67">
        <v>3151272100</v>
      </c>
      <c r="B67" t="s">
        <v>471</v>
      </c>
      <c r="C67" t="s">
        <v>472</v>
      </c>
      <c r="D67" t="s">
        <v>473</v>
      </c>
      <c r="E67" t="s">
        <v>474</v>
      </c>
      <c r="F67" t="s">
        <v>201</v>
      </c>
      <c r="G67">
        <v>930298</v>
      </c>
      <c r="H67" t="s">
        <v>433</v>
      </c>
      <c r="I67" s="4">
        <v>3984</v>
      </c>
      <c r="J67" s="4">
        <v>292.82400000000001</v>
      </c>
    </row>
    <row r="68" spans="1:10" x14ac:dyDescent="0.35">
      <c r="A68">
        <v>3151272211</v>
      </c>
      <c r="B68" t="s">
        <v>471</v>
      </c>
      <c r="C68" t="s">
        <v>472</v>
      </c>
      <c r="D68" t="s">
        <v>473</v>
      </c>
      <c r="E68" t="s">
        <v>474</v>
      </c>
      <c r="G68">
        <v>930298</v>
      </c>
      <c r="H68" t="s">
        <v>433</v>
      </c>
      <c r="I68" s="4">
        <v>4504</v>
      </c>
      <c r="J68" s="4">
        <v>331.04399999999998</v>
      </c>
    </row>
    <row r="69" spans="1:10" x14ac:dyDescent="0.35">
      <c r="A69">
        <v>3151272100</v>
      </c>
      <c r="B69" t="s">
        <v>471</v>
      </c>
      <c r="C69" t="s">
        <v>472</v>
      </c>
      <c r="D69" t="s">
        <v>475</v>
      </c>
      <c r="E69" t="s">
        <v>476</v>
      </c>
      <c r="F69" t="s">
        <v>201</v>
      </c>
      <c r="G69">
        <v>930291</v>
      </c>
      <c r="H69" t="s">
        <v>412</v>
      </c>
      <c r="I69" s="4">
        <v>2752</v>
      </c>
      <c r="J69" s="4">
        <v>705.88800000000003</v>
      </c>
    </row>
    <row r="70" spans="1:10" x14ac:dyDescent="0.35">
      <c r="A70">
        <v>3151272211</v>
      </c>
      <c r="B70" t="s">
        <v>471</v>
      </c>
      <c r="C70" t="s">
        <v>472</v>
      </c>
      <c r="D70" t="s">
        <v>475</v>
      </c>
      <c r="E70" t="s">
        <v>476</v>
      </c>
      <c r="G70">
        <v>930291</v>
      </c>
      <c r="H70" t="s">
        <v>412</v>
      </c>
      <c r="I70" s="4">
        <v>5740</v>
      </c>
      <c r="J70" s="4">
        <v>1472.31</v>
      </c>
    </row>
    <row r="71" spans="1:10" x14ac:dyDescent="0.35">
      <c r="A71">
        <v>3151272100</v>
      </c>
      <c r="B71" t="s">
        <v>471</v>
      </c>
      <c r="C71" t="s">
        <v>472</v>
      </c>
      <c r="D71" t="s">
        <v>477</v>
      </c>
      <c r="E71" t="s">
        <v>478</v>
      </c>
      <c r="F71" t="s">
        <v>201</v>
      </c>
      <c r="G71">
        <v>930287</v>
      </c>
      <c r="H71" t="s">
        <v>415</v>
      </c>
      <c r="I71" s="4">
        <v>3660</v>
      </c>
      <c r="J71" s="4">
        <v>2760.0059999999999</v>
      </c>
    </row>
    <row r="72" spans="1:10" x14ac:dyDescent="0.35">
      <c r="A72">
        <v>3151272211</v>
      </c>
      <c r="B72" t="s">
        <v>471</v>
      </c>
      <c r="C72" t="s">
        <v>472</v>
      </c>
      <c r="D72" t="s">
        <v>477</v>
      </c>
      <c r="E72" t="s">
        <v>478</v>
      </c>
      <c r="G72">
        <v>930287</v>
      </c>
      <c r="H72" t="s">
        <v>415</v>
      </c>
      <c r="I72" s="4">
        <v>4628</v>
      </c>
      <c r="J72" s="4">
        <v>3489.9748000000004</v>
      </c>
    </row>
    <row r="73" spans="1:10" x14ac:dyDescent="0.35">
      <c r="A73">
        <v>3151272100</v>
      </c>
      <c r="B73" t="s">
        <v>471</v>
      </c>
      <c r="C73" t="s">
        <v>472</v>
      </c>
      <c r="D73" t="s">
        <v>451</v>
      </c>
      <c r="E73" t="s">
        <v>479</v>
      </c>
      <c r="F73" t="s">
        <v>201</v>
      </c>
      <c r="G73">
        <v>930288</v>
      </c>
      <c r="H73" t="s">
        <v>421</v>
      </c>
      <c r="I73" s="4">
        <v>1128</v>
      </c>
      <c r="J73" s="4">
        <v>1096.4159999999999</v>
      </c>
    </row>
    <row r="74" spans="1:10" x14ac:dyDescent="0.35">
      <c r="A74">
        <v>3151272211</v>
      </c>
      <c r="B74" t="s">
        <v>471</v>
      </c>
      <c r="C74" t="s">
        <v>472</v>
      </c>
      <c r="D74" t="s">
        <v>451</v>
      </c>
      <c r="E74" t="s">
        <v>479</v>
      </c>
      <c r="G74">
        <v>930288</v>
      </c>
      <c r="H74" t="s">
        <v>421</v>
      </c>
      <c r="I74" s="4">
        <v>2772</v>
      </c>
      <c r="J74" s="4">
        <v>2694.384</v>
      </c>
    </row>
    <row r="75" spans="1:10" x14ac:dyDescent="0.35">
      <c r="A75">
        <v>3151272487</v>
      </c>
      <c r="B75" t="s">
        <v>471</v>
      </c>
      <c r="C75" t="s">
        <v>480</v>
      </c>
      <c r="D75" t="s">
        <v>410</v>
      </c>
      <c r="E75" t="s">
        <v>481</v>
      </c>
      <c r="G75">
        <v>945776</v>
      </c>
      <c r="H75" t="s">
        <v>412</v>
      </c>
      <c r="I75" s="4">
        <v>954</v>
      </c>
      <c r="J75" s="4">
        <v>209.88</v>
      </c>
    </row>
    <row r="76" spans="1:10" x14ac:dyDescent="0.35">
      <c r="A76">
        <v>3151272488</v>
      </c>
      <c r="B76" t="s">
        <v>471</v>
      </c>
      <c r="C76" t="s">
        <v>480</v>
      </c>
      <c r="D76" t="s">
        <v>410</v>
      </c>
      <c r="E76" t="s">
        <v>481</v>
      </c>
      <c r="G76">
        <v>945776</v>
      </c>
      <c r="H76" t="s">
        <v>412</v>
      </c>
      <c r="I76" s="4">
        <v>1422</v>
      </c>
      <c r="J76" s="4">
        <v>312.84000000000003</v>
      </c>
    </row>
    <row r="77" spans="1:10" x14ac:dyDescent="0.35">
      <c r="A77">
        <v>3151272487</v>
      </c>
      <c r="B77" t="s">
        <v>471</v>
      </c>
      <c r="C77" t="s">
        <v>480</v>
      </c>
      <c r="D77" t="s">
        <v>427</v>
      </c>
      <c r="E77" t="s">
        <v>482</v>
      </c>
      <c r="G77">
        <v>945777</v>
      </c>
      <c r="H77" t="s">
        <v>415</v>
      </c>
      <c r="I77" s="4">
        <v>800</v>
      </c>
      <c r="J77" s="4">
        <v>400.40000000000003</v>
      </c>
    </row>
    <row r="78" spans="1:10" x14ac:dyDescent="0.35">
      <c r="A78">
        <v>3151272488</v>
      </c>
      <c r="B78" t="s">
        <v>471</v>
      </c>
      <c r="C78" t="s">
        <v>480</v>
      </c>
      <c r="D78" t="s">
        <v>427</v>
      </c>
      <c r="E78" t="s">
        <v>482</v>
      </c>
      <c r="G78">
        <v>945777</v>
      </c>
      <c r="H78" t="s">
        <v>415</v>
      </c>
      <c r="I78" s="4">
        <v>1200</v>
      </c>
      <c r="J78" s="4">
        <v>600.6</v>
      </c>
    </row>
    <row r="79" spans="1:10" x14ac:dyDescent="0.35">
      <c r="A79">
        <v>3151272487</v>
      </c>
      <c r="B79" t="s">
        <v>471</v>
      </c>
      <c r="C79" t="s">
        <v>480</v>
      </c>
      <c r="D79" t="s">
        <v>457</v>
      </c>
      <c r="E79" t="s">
        <v>483</v>
      </c>
      <c r="G79">
        <v>939091</v>
      </c>
      <c r="H79" t="s">
        <v>421</v>
      </c>
      <c r="I79" s="4">
        <v>800</v>
      </c>
      <c r="J79" s="4">
        <v>594</v>
      </c>
    </row>
    <row r="80" spans="1:10" x14ac:dyDescent="0.35">
      <c r="A80">
        <v>3151272488</v>
      </c>
      <c r="B80" t="s">
        <v>471</v>
      </c>
      <c r="C80" t="s">
        <v>480</v>
      </c>
      <c r="D80" t="s">
        <v>457</v>
      </c>
      <c r="E80" t="s">
        <v>483</v>
      </c>
      <c r="G80">
        <v>939091</v>
      </c>
      <c r="H80" t="s">
        <v>421</v>
      </c>
      <c r="I80" s="4">
        <v>1200</v>
      </c>
      <c r="J80" s="4">
        <v>891</v>
      </c>
    </row>
    <row r="81" spans="1:10" x14ac:dyDescent="0.35">
      <c r="A81">
        <v>3151272109</v>
      </c>
      <c r="B81" t="s">
        <v>471</v>
      </c>
      <c r="C81" t="s">
        <v>484</v>
      </c>
      <c r="D81" t="s">
        <v>473</v>
      </c>
      <c r="E81" t="s">
        <v>485</v>
      </c>
      <c r="F81" t="s">
        <v>201</v>
      </c>
      <c r="G81">
        <v>933104</v>
      </c>
      <c r="H81" t="s">
        <v>433</v>
      </c>
      <c r="I81" s="4">
        <v>2832</v>
      </c>
      <c r="J81" s="4">
        <v>200.50560000000002</v>
      </c>
    </row>
    <row r="82" spans="1:10" x14ac:dyDescent="0.35">
      <c r="A82">
        <v>3151272212</v>
      </c>
      <c r="B82" t="s">
        <v>471</v>
      </c>
      <c r="C82" t="s">
        <v>484</v>
      </c>
      <c r="D82" t="s">
        <v>473</v>
      </c>
      <c r="E82" t="s">
        <v>485</v>
      </c>
      <c r="G82">
        <v>933104</v>
      </c>
      <c r="H82" t="s">
        <v>433</v>
      </c>
      <c r="I82" s="4">
        <v>4720</v>
      </c>
      <c r="J82" s="4">
        <v>334.17599999999999</v>
      </c>
    </row>
    <row r="83" spans="1:10" x14ac:dyDescent="0.35">
      <c r="A83">
        <v>3151272109</v>
      </c>
      <c r="B83" t="s">
        <v>471</v>
      </c>
      <c r="C83" t="s">
        <v>484</v>
      </c>
      <c r="D83" t="s">
        <v>475</v>
      </c>
      <c r="E83" t="s">
        <v>486</v>
      </c>
      <c r="F83" t="s">
        <v>201</v>
      </c>
      <c r="G83">
        <v>933102</v>
      </c>
      <c r="H83" t="s">
        <v>412</v>
      </c>
      <c r="I83" s="4">
        <v>2016</v>
      </c>
      <c r="J83" s="4">
        <v>497.952</v>
      </c>
    </row>
    <row r="84" spans="1:10" x14ac:dyDescent="0.35">
      <c r="A84">
        <v>3151272212</v>
      </c>
      <c r="B84" t="s">
        <v>471</v>
      </c>
      <c r="C84" t="s">
        <v>484</v>
      </c>
      <c r="D84" t="s">
        <v>475</v>
      </c>
      <c r="E84" t="s">
        <v>486</v>
      </c>
      <c r="G84">
        <v>933102</v>
      </c>
      <c r="H84" t="s">
        <v>412</v>
      </c>
      <c r="I84" s="4">
        <v>6184</v>
      </c>
      <c r="J84" s="4">
        <v>1527.4480000000001</v>
      </c>
    </row>
    <row r="85" spans="1:10" x14ac:dyDescent="0.35">
      <c r="A85">
        <v>3151272109</v>
      </c>
      <c r="B85" t="s">
        <v>471</v>
      </c>
      <c r="C85" t="s">
        <v>484</v>
      </c>
      <c r="D85" t="s">
        <v>477</v>
      </c>
      <c r="E85" t="s">
        <v>487</v>
      </c>
      <c r="F85" t="s">
        <v>201</v>
      </c>
      <c r="G85">
        <v>933096</v>
      </c>
      <c r="H85" t="s">
        <v>415</v>
      </c>
      <c r="I85" s="4">
        <v>1750</v>
      </c>
      <c r="J85" s="4">
        <v>1270.8500000000001</v>
      </c>
    </row>
    <row r="86" spans="1:10" x14ac:dyDescent="0.35">
      <c r="A86">
        <v>3151272212</v>
      </c>
      <c r="B86" t="s">
        <v>471</v>
      </c>
      <c r="C86" t="s">
        <v>484</v>
      </c>
      <c r="D86" t="s">
        <v>477</v>
      </c>
      <c r="E86" t="s">
        <v>487</v>
      </c>
      <c r="G86">
        <v>933096</v>
      </c>
      <c r="H86" t="s">
        <v>415</v>
      </c>
      <c r="I86" s="4">
        <v>4828</v>
      </c>
      <c r="J86" s="4">
        <v>3506.0936000000002</v>
      </c>
    </row>
    <row r="87" spans="1:10" x14ac:dyDescent="0.35">
      <c r="A87">
        <v>3151272109</v>
      </c>
      <c r="B87" t="s">
        <v>471</v>
      </c>
      <c r="C87" t="s">
        <v>484</v>
      </c>
      <c r="D87" t="s">
        <v>451</v>
      </c>
      <c r="E87" t="s">
        <v>488</v>
      </c>
      <c r="F87" t="s">
        <v>201</v>
      </c>
      <c r="G87">
        <v>933103</v>
      </c>
      <c r="H87" t="s">
        <v>421</v>
      </c>
      <c r="I87" s="4">
        <v>960</v>
      </c>
      <c r="J87" s="4">
        <v>898.56000000000006</v>
      </c>
    </row>
    <row r="88" spans="1:10" x14ac:dyDescent="0.35">
      <c r="A88">
        <v>3151272212</v>
      </c>
      <c r="B88" t="s">
        <v>471</v>
      </c>
      <c r="C88" t="s">
        <v>484</v>
      </c>
      <c r="D88" t="s">
        <v>451</v>
      </c>
      <c r="E88" t="s">
        <v>488</v>
      </c>
      <c r="G88">
        <v>933103</v>
      </c>
      <c r="H88" t="s">
        <v>421</v>
      </c>
      <c r="I88" s="4">
        <v>3296</v>
      </c>
      <c r="J88" s="4">
        <v>3085.056</v>
      </c>
    </row>
    <row r="89" spans="1:10" x14ac:dyDescent="0.35">
      <c r="A89">
        <v>3251165489</v>
      </c>
      <c r="B89" t="s">
        <v>471</v>
      </c>
      <c r="C89" t="s">
        <v>489</v>
      </c>
      <c r="D89" t="s">
        <v>490</v>
      </c>
      <c r="E89" t="s">
        <v>491</v>
      </c>
      <c r="F89" t="s">
        <v>420</v>
      </c>
      <c r="G89">
        <v>804102</v>
      </c>
      <c r="H89" t="s">
        <v>415</v>
      </c>
      <c r="I89" s="4">
        <v>500</v>
      </c>
      <c r="J89" s="4">
        <v>232.75</v>
      </c>
    </row>
    <row r="90" spans="1:10" x14ac:dyDescent="0.35">
      <c r="A90">
        <v>3251165523</v>
      </c>
      <c r="B90" t="s">
        <v>471</v>
      </c>
      <c r="C90" t="s">
        <v>492</v>
      </c>
      <c r="D90" t="s">
        <v>445</v>
      </c>
      <c r="E90" t="s">
        <v>493</v>
      </c>
      <c r="F90" t="s">
        <v>201</v>
      </c>
      <c r="G90">
        <v>945913</v>
      </c>
      <c r="H90" t="s">
        <v>433</v>
      </c>
      <c r="I90" s="4">
        <v>1200</v>
      </c>
      <c r="J90" s="4">
        <v>56.160000000000004</v>
      </c>
    </row>
    <row r="91" spans="1:10" x14ac:dyDescent="0.35">
      <c r="A91">
        <v>3251165523</v>
      </c>
      <c r="B91" t="s">
        <v>471</v>
      </c>
      <c r="C91" t="s">
        <v>492</v>
      </c>
      <c r="D91" t="s">
        <v>494</v>
      </c>
      <c r="E91" t="s">
        <v>495</v>
      </c>
      <c r="F91" t="s">
        <v>201</v>
      </c>
      <c r="G91">
        <v>945914</v>
      </c>
      <c r="H91" t="s">
        <v>412</v>
      </c>
      <c r="I91" s="4">
        <v>520</v>
      </c>
      <c r="J91" s="4">
        <v>75.712000000000003</v>
      </c>
    </row>
    <row r="92" spans="1:10" x14ac:dyDescent="0.35">
      <c r="A92">
        <v>3151272358</v>
      </c>
      <c r="B92" t="s">
        <v>471</v>
      </c>
      <c r="C92" t="s">
        <v>496</v>
      </c>
      <c r="D92" t="s">
        <v>490</v>
      </c>
      <c r="E92" t="s">
        <v>497</v>
      </c>
      <c r="F92" t="s">
        <v>442</v>
      </c>
      <c r="G92">
        <v>804744</v>
      </c>
      <c r="H92" t="s">
        <v>415</v>
      </c>
      <c r="I92" s="4">
        <v>636</v>
      </c>
      <c r="J92" s="4">
        <v>310.8768</v>
      </c>
    </row>
    <row r="93" spans="1:10" x14ac:dyDescent="0.35">
      <c r="A93">
        <v>3251165489</v>
      </c>
      <c r="B93" t="s">
        <v>471</v>
      </c>
      <c r="C93" t="s">
        <v>498</v>
      </c>
      <c r="D93" t="s">
        <v>490</v>
      </c>
      <c r="E93" t="s">
        <v>499</v>
      </c>
      <c r="F93" t="s">
        <v>420</v>
      </c>
      <c r="G93">
        <v>804518</v>
      </c>
      <c r="H93" t="s">
        <v>415</v>
      </c>
      <c r="I93" s="4">
        <v>530</v>
      </c>
      <c r="J93" s="4">
        <v>259.06400000000002</v>
      </c>
    </row>
    <row r="94" spans="1:10" x14ac:dyDescent="0.35">
      <c r="A94">
        <v>3251165489</v>
      </c>
      <c r="B94" t="s">
        <v>471</v>
      </c>
      <c r="C94" t="s">
        <v>500</v>
      </c>
      <c r="D94" t="s">
        <v>490</v>
      </c>
      <c r="E94" t="s">
        <v>499</v>
      </c>
      <c r="F94" t="s">
        <v>442</v>
      </c>
      <c r="G94">
        <v>804500</v>
      </c>
      <c r="H94" t="s">
        <v>415</v>
      </c>
      <c r="I94" s="4">
        <v>180</v>
      </c>
      <c r="J94" s="4">
        <v>87.984000000000009</v>
      </c>
    </row>
    <row r="95" spans="1:10" x14ac:dyDescent="0.35">
      <c r="A95">
        <v>3251165523</v>
      </c>
      <c r="B95" t="s">
        <v>471</v>
      </c>
      <c r="C95" t="s">
        <v>501</v>
      </c>
      <c r="D95" t="s">
        <v>502</v>
      </c>
      <c r="E95" t="s">
        <v>503</v>
      </c>
      <c r="F95" t="s">
        <v>504</v>
      </c>
      <c r="G95">
        <v>946550</v>
      </c>
      <c r="H95" t="s">
        <v>412</v>
      </c>
      <c r="I95" s="4">
        <v>350</v>
      </c>
      <c r="J95" s="4">
        <v>41.58</v>
      </c>
    </row>
    <row r="96" spans="1:10" x14ac:dyDescent="0.35">
      <c r="A96">
        <v>3151271951</v>
      </c>
      <c r="B96" t="s">
        <v>505</v>
      </c>
      <c r="C96" t="s">
        <v>506</v>
      </c>
      <c r="D96" t="s">
        <v>449</v>
      </c>
      <c r="E96" t="s">
        <v>507</v>
      </c>
      <c r="F96" t="s">
        <v>201</v>
      </c>
      <c r="G96">
        <v>948514</v>
      </c>
      <c r="H96" t="s">
        <v>415</v>
      </c>
      <c r="I96" s="4">
        <v>1764</v>
      </c>
      <c r="J96" s="4">
        <v>1210.104</v>
      </c>
    </row>
    <row r="97" spans="1:10" x14ac:dyDescent="0.35">
      <c r="A97">
        <v>3151271953</v>
      </c>
      <c r="B97" t="s">
        <v>505</v>
      </c>
      <c r="C97" t="s">
        <v>506</v>
      </c>
      <c r="D97" t="s">
        <v>449</v>
      </c>
      <c r="E97" t="s">
        <v>507</v>
      </c>
      <c r="F97" t="s">
        <v>201</v>
      </c>
      <c r="G97">
        <v>948514</v>
      </c>
      <c r="H97" t="s">
        <v>415</v>
      </c>
      <c r="I97" s="4">
        <v>1764</v>
      </c>
      <c r="J97" s="4">
        <v>1210.104</v>
      </c>
    </row>
    <row r="98" spans="1:10" x14ac:dyDescent="0.35">
      <c r="A98">
        <v>3151271951</v>
      </c>
      <c r="B98" t="s">
        <v>505</v>
      </c>
      <c r="C98" t="s">
        <v>506</v>
      </c>
      <c r="D98" t="s">
        <v>508</v>
      </c>
      <c r="E98" t="s">
        <v>509</v>
      </c>
      <c r="F98" t="s">
        <v>201</v>
      </c>
      <c r="G98">
        <v>948516</v>
      </c>
      <c r="H98" t="s">
        <v>421</v>
      </c>
      <c r="I98" s="4">
        <v>1752</v>
      </c>
      <c r="J98" s="4">
        <v>1582.056</v>
      </c>
    </row>
    <row r="99" spans="1:10" x14ac:dyDescent="0.35">
      <c r="A99">
        <v>3151271953</v>
      </c>
      <c r="B99" t="s">
        <v>505</v>
      </c>
      <c r="C99" t="s">
        <v>506</v>
      </c>
      <c r="D99" t="s">
        <v>508</v>
      </c>
      <c r="E99" t="s">
        <v>509</v>
      </c>
      <c r="F99" t="s">
        <v>201</v>
      </c>
      <c r="G99">
        <v>948516</v>
      </c>
      <c r="H99" t="s">
        <v>421</v>
      </c>
      <c r="I99" s="4">
        <v>1752</v>
      </c>
      <c r="J99" s="4">
        <v>1582.056</v>
      </c>
    </row>
    <row r="100" spans="1:10" x14ac:dyDescent="0.35">
      <c r="A100">
        <v>3151271950</v>
      </c>
      <c r="B100" t="s">
        <v>505</v>
      </c>
      <c r="C100" t="s">
        <v>510</v>
      </c>
      <c r="D100" t="s">
        <v>449</v>
      </c>
      <c r="E100" t="s">
        <v>511</v>
      </c>
      <c r="F100" t="s">
        <v>201</v>
      </c>
      <c r="G100">
        <v>948518</v>
      </c>
      <c r="H100" t="s">
        <v>415</v>
      </c>
      <c r="I100" s="4">
        <v>1764</v>
      </c>
      <c r="J100" s="4">
        <v>1037.232</v>
      </c>
    </row>
    <row r="101" spans="1:10" x14ac:dyDescent="0.35">
      <c r="A101">
        <v>3151271952</v>
      </c>
      <c r="B101" t="s">
        <v>505</v>
      </c>
      <c r="C101" t="s">
        <v>510</v>
      </c>
      <c r="D101" t="s">
        <v>449</v>
      </c>
      <c r="E101" t="s">
        <v>511</v>
      </c>
      <c r="F101" t="s">
        <v>201</v>
      </c>
      <c r="G101">
        <v>948518</v>
      </c>
      <c r="H101" t="s">
        <v>415</v>
      </c>
      <c r="I101" s="4">
        <v>1764</v>
      </c>
      <c r="J101" s="4">
        <v>1037.232</v>
      </c>
    </row>
    <row r="102" spans="1:10" x14ac:dyDescent="0.35">
      <c r="A102">
        <v>3151271950</v>
      </c>
      <c r="B102" t="s">
        <v>505</v>
      </c>
      <c r="C102" t="s">
        <v>510</v>
      </c>
      <c r="D102" t="s">
        <v>508</v>
      </c>
      <c r="E102" t="s">
        <v>512</v>
      </c>
      <c r="F102" t="s">
        <v>201</v>
      </c>
      <c r="G102">
        <v>948522</v>
      </c>
      <c r="H102" t="s">
        <v>421</v>
      </c>
      <c r="I102" s="4">
        <v>1752</v>
      </c>
      <c r="J102" s="4">
        <v>1356.048</v>
      </c>
    </row>
    <row r="103" spans="1:10" x14ac:dyDescent="0.35">
      <c r="A103">
        <v>3151271952</v>
      </c>
      <c r="B103" t="s">
        <v>505</v>
      </c>
      <c r="C103" t="s">
        <v>510</v>
      </c>
      <c r="D103" t="s">
        <v>508</v>
      </c>
      <c r="E103" t="s">
        <v>512</v>
      </c>
      <c r="F103" t="s">
        <v>201</v>
      </c>
      <c r="G103">
        <v>948522</v>
      </c>
      <c r="H103" t="s">
        <v>421</v>
      </c>
      <c r="I103" s="4">
        <v>1752</v>
      </c>
      <c r="J103" s="4">
        <v>1356.048</v>
      </c>
    </row>
    <row r="104" spans="1:10" x14ac:dyDescent="0.35">
      <c r="A104">
        <v>3151272491</v>
      </c>
      <c r="B104" t="s">
        <v>513</v>
      </c>
      <c r="C104" t="s">
        <v>514</v>
      </c>
      <c r="D104" t="s">
        <v>515</v>
      </c>
      <c r="E104" t="s">
        <v>516</v>
      </c>
      <c r="F104" t="s">
        <v>420</v>
      </c>
      <c r="G104">
        <v>946320</v>
      </c>
      <c r="H104" t="s">
        <v>517</v>
      </c>
      <c r="I104" s="4">
        <v>1296</v>
      </c>
      <c r="J104" s="4">
        <v>950.35679999999991</v>
      </c>
    </row>
    <row r="105" spans="1:10" x14ac:dyDescent="0.35">
      <c r="A105">
        <v>3151272491</v>
      </c>
      <c r="B105" t="s">
        <v>513</v>
      </c>
      <c r="C105" t="s">
        <v>518</v>
      </c>
      <c r="D105" t="s">
        <v>515</v>
      </c>
      <c r="E105" t="s">
        <v>519</v>
      </c>
      <c r="F105" t="s">
        <v>420</v>
      </c>
      <c r="G105">
        <v>946322</v>
      </c>
      <c r="H105" t="s">
        <v>517</v>
      </c>
      <c r="I105" s="4">
        <v>1512</v>
      </c>
      <c r="J105" s="4">
        <v>1108.7495999999999</v>
      </c>
    </row>
    <row r="106" spans="1:10" x14ac:dyDescent="0.35">
      <c r="A106">
        <v>3151272491</v>
      </c>
      <c r="B106" t="s">
        <v>513</v>
      </c>
      <c r="C106" t="s">
        <v>520</v>
      </c>
      <c r="D106" t="s">
        <v>515</v>
      </c>
      <c r="E106" t="s">
        <v>521</v>
      </c>
      <c r="F106" t="s">
        <v>420</v>
      </c>
      <c r="G106">
        <v>946324</v>
      </c>
      <c r="H106" t="s">
        <v>517</v>
      </c>
      <c r="I106" s="4">
        <v>1512</v>
      </c>
      <c r="J106" s="4">
        <v>1108.7495999999999</v>
      </c>
    </row>
    <row r="107" spans="1:10" x14ac:dyDescent="0.35">
      <c r="A107">
        <v>3151272735</v>
      </c>
      <c r="B107" t="s">
        <v>513</v>
      </c>
      <c r="C107" t="s">
        <v>522</v>
      </c>
      <c r="D107" t="s">
        <v>473</v>
      </c>
      <c r="E107" t="s">
        <v>523</v>
      </c>
      <c r="G107">
        <v>905077</v>
      </c>
      <c r="H107" t="s">
        <v>433</v>
      </c>
      <c r="I107" s="4">
        <v>241920</v>
      </c>
      <c r="J107" s="4">
        <v>14437.05984</v>
      </c>
    </row>
    <row r="108" spans="1:10" x14ac:dyDescent="0.35">
      <c r="A108">
        <v>3151271823</v>
      </c>
      <c r="B108" t="s">
        <v>513</v>
      </c>
      <c r="C108" t="s">
        <v>522</v>
      </c>
      <c r="D108" t="s">
        <v>473</v>
      </c>
      <c r="E108" t="s">
        <v>523</v>
      </c>
      <c r="F108" t="s">
        <v>201</v>
      </c>
      <c r="G108">
        <v>905077</v>
      </c>
      <c r="H108" t="s">
        <v>433</v>
      </c>
      <c r="I108" s="4">
        <v>3888</v>
      </c>
      <c r="J108" s="4">
        <v>232.02417600000001</v>
      </c>
    </row>
    <row r="109" spans="1:10" x14ac:dyDescent="0.35">
      <c r="A109">
        <v>3151272738</v>
      </c>
      <c r="B109" t="s">
        <v>513</v>
      </c>
      <c r="C109" t="s">
        <v>522</v>
      </c>
      <c r="D109" t="s">
        <v>473</v>
      </c>
      <c r="E109" t="s">
        <v>523</v>
      </c>
      <c r="G109">
        <v>905077</v>
      </c>
      <c r="H109" t="s">
        <v>433</v>
      </c>
      <c r="I109" s="4">
        <v>233280</v>
      </c>
      <c r="J109" s="4">
        <v>13921.450560000001</v>
      </c>
    </row>
    <row r="110" spans="1:10" x14ac:dyDescent="0.35">
      <c r="A110">
        <v>3151271826</v>
      </c>
      <c r="B110" t="s">
        <v>513</v>
      </c>
      <c r="C110" t="s">
        <v>522</v>
      </c>
      <c r="D110" t="s">
        <v>473</v>
      </c>
      <c r="E110" t="s">
        <v>523</v>
      </c>
      <c r="F110" t="s">
        <v>201</v>
      </c>
      <c r="G110">
        <v>905077</v>
      </c>
      <c r="H110" t="s">
        <v>433</v>
      </c>
      <c r="I110" s="4">
        <v>7776</v>
      </c>
      <c r="J110" s="4">
        <v>464.04835200000002</v>
      </c>
    </row>
    <row r="111" spans="1:10" x14ac:dyDescent="0.35">
      <c r="A111">
        <v>3151271837</v>
      </c>
      <c r="B111" t="s">
        <v>513</v>
      </c>
      <c r="C111" t="s">
        <v>522</v>
      </c>
      <c r="D111" t="s">
        <v>473</v>
      </c>
      <c r="E111" t="s">
        <v>523</v>
      </c>
      <c r="G111">
        <v>905077</v>
      </c>
      <c r="H111" t="s">
        <v>433</v>
      </c>
      <c r="I111" s="4">
        <v>65664</v>
      </c>
      <c r="J111" s="4">
        <v>3918.6305280000001</v>
      </c>
    </row>
    <row r="112" spans="1:10" x14ac:dyDescent="0.35">
      <c r="A112">
        <v>3151271838</v>
      </c>
      <c r="B112" t="s">
        <v>513</v>
      </c>
      <c r="C112" t="s">
        <v>522</v>
      </c>
      <c r="D112" t="s">
        <v>473</v>
      </c>
      <c r="E112" t="s">
        <v>523</v>
      </c>
      <c r="G112">
        <v>905077</v>
      </c>
      <c r="H112" t="s">
        <v>433</v>
      </c>
      <c r="I112" s="4">
        <v>3456</v>
      </c>
      <c r="J112" s="4">
        <v>206.24371200000002</v>
      </c>
    </row>
    <row r="113" spans="1:10" x14ac:dyDescent="0.35">
      <c r="A113">
        <v>3151272736</v>
      </c>
      <c r="B113" t="s">
        <v>513</v>
      </c>
      <c r="C113" t="s">
        <v>522</v>
      </c>
      <c r="D113" t="s">
        <v>473</v>
      </c>
      <c r="E113" t="s">
        <v>523</v>
      </c>
      <c r="G113">
        <v>905077</v>
      </c>
      <c r="H113" t="s">
        <v>433</v>
      </c>
      <c r="I113" s="4">
        <v>289440</v>
      </c>
      <c r="J113" s="4">
        <v>17272.910879999999</v>
      </c>
    </row>
    <row r="114" spans="1:10" x14ac:dyDescent="0.35">
      <c r="A114">
        <v>3151272737</v>
      </c>
      <c r="B114" t="s">
        <v>513</v>
      </c>
      <c r="C114" t="s">
        <v>522</v>
      </c>
      <c r="D114" t="s">
        <v>473</v>
      </c>
      <c r="E114" t="s">
        <v>523</v>
      </c>
      <c r="G114">
        <v>905077</v>
      </c>
      <c r="H114" t="s">
        <v>433</v>
      </c>
      <c r="I114" s="4">
        <v>241920</v>
      </c>
      <c r="J114" s="4">
        <v>14437.05984</v>
      </c>
    </row>
    <row r="115" spans="1:10" x14ac:dyDescent="0.35">
      <c r="A115">
        <v>3151271539</v>
      </c>
      <c r="B115" t="s">
        <v>513</v>
      </c>
      <c r="C115" t="s">
        <v>522</v>
      </c>
      <c r="D115" t="s">
        <v>524</v>
      </c>
      <c r="E115" t="s">
        <v>525</v>
      </c>
      <c r="F115" t="s">
        <v>201</v>
      </c>
      <c r="G115">
        <v>905076</v>
      </c>
      <c r="H115" t="s">
        <v>412</v>
      </c>
      <c r="I115" s="4">
        <v>12600</v>
      </c>
      <c r="J115" s="4">
        <v>2014.1226000000001</v>
      </c>
    </row>
    <row r="116" spans="1:10" x14ac:dyDescent="0.35">
      <c r="A116">
        <v>3151272735</v>
      </c>
      <c r="B116" t="s">
        <v>513</v>
      </c>
      <c r="C116" t="s">
        <v>522</v>
      </c>
      <c r="D116" t="s">
        <v>524</v>
      </c>
      <c r="E116" t="s">
        <v>525</v>
      </c>
      <c r="G116">
        <v>905076</v>
      </c>
      <c r="H116" t="s">
        <v>412</v>
      </c>
      <c r="I116" s="4">
        <v>94068</v>
      </c>
      <c r="J116" s="4">
        <v>15036.863868</v>
      </c>
    </row>
    <row r="117" spans="1:10" x14ac:dyDescent="0.35">
      <c r="A117">
        <v>3151272738</v>
      </c>
      <c r="B117" t="s">
        <v>513</v>
      </c>
      <c r="C117" t="s">
        <v>522</v>
      </c>
      <c r="D117" t="s">
        <v>524</v>
      </c>
      <c r="E117" t="s">
        <v>525</v>
      </c>
      <c r="G117">
        <v>905076</v>
      </c>
      <c r="H117" t="s">
        <v>412</v>
      </c>
      <c r="I117" s="4">
        <v>106704</v>
      </c>
      <c r="J117" s="4">
        <v>17056.741103999997</v>
      </c>
    </row>
    <row r="118" spans="1:10" x14ac:dyDescent="0.35">
      <c r="A118">
        <v>3151271825</v>
      </c>
      <c r="B118" t="s">
        <v>513</v>
      </c>
      <c r="C118" t="s">
        <v>522</v>
      </c>
      <c r="D118" t="s">
        <v>524</v>
      </c>
      <c r="E118" t="s">
        <v>525</v>
      </c>
      <c r="F118" t="s">
        <v>201</v>
      </c>
      <c r="G118">
        <v>905076</v>
      </c>
      <c r="H118" t="s">
        <v>412</v>
      </c>
      <c r="I118" s="4">
        <v>8820</v>
      </c>
      <c r="J118" s="4">
        <v>1409.8858200000002</v>
      </c>
    </row>
    <row r="119" spans="1:10" x14ac:dyDescent="0.35">
      <c r="A119">
        <v>3151271826</v>
      </c>
      <c r="B119" t="s">
        <v>513</v>
      </c>
      <c r="C119" t="s">
        <v>522</v>
      </c>
      <c r="D119" t="s">
        <v>524</v>
      </c>
      <c r="E119" t="s">
        <v>525</v>
      </c>
      <c r="F119" t="s">
        <v>201</v>
      </c>
      <c r="G119">
        <v>905076</v>
      </c>
      <c r="H119" t="s">
        <v>412</v>
      </c>
      <c r="I119" s="4">
        <v>1260</v>
      </c>
      <c r="J119" s="4">
        <v>201.41226</v>
      </c>
    </row>
    <row r="120" spans="1:10" x14ac:dyDescent="0.35">
      <c r="A120">
        <v>3151272736</v>
      </c>
      <c r="B120" t="s">
        <v>513</v>
      </c>
      <c r="C120" t="s">
        <v>522</v>
      </c>
      <c r="D120" t="s">
        <v>524</v>
      </c>
      <c r="E120" t="s">
        <v>525</v>
      </c>
      <c r="G120">
        <v>905076</v>
      </c>
      <c r="H120" t="s">
        <v>412</v>
      </c>
      <c r="I120" s="4">
        <v>110916</v>
      </c>
      <c r="J120" s="4">
        <v>17730.033516</v>
      </c>
    </row>
    <row r="121" spans="1:10" x14ac:dyDescent="0.35">
      <c r="A121">
        <v>3151272737</v>
      </c>
      <c r="B121" t="s">
        <v>513</v>
      </c>
      <c r="C121" t="s">
        <v>522</v>
      </c>
      <c r="D121" t="s">
        <v>524</v>
      </c>
      <c r="E121" t="s">
        <v>525</v>
      </c>
      <c r="G121">
        <v>905076</v>
      </c>
      <c r="H121" t="s">
        <v>412</v>
      </c>
      <c r="I121" s="4">
        <v>94068</v>
      </c>
      <c r="J121" s="4">
        <v>15036.863868</v>
      </c>
    </row>
    <row r="122" spans="1:10" x14ac:dyDescent="0.35">
      <c r="A122">
        <v>3151272735</v>
      </c>
      <c r="B122" t="s">
        <v>513</v>
      </c>
      <c r="C122" t="s">
        <v>522</v>
      </c>
      <c r="D122" t="s">
        <v>434</v>
      </c>
      <c r="E122" t="s">
        <v>526</v>
      </c>
      <c r="G122">
        <v>905075</v>
      </c>
      <c r="H122" t="s">
        <v>415</v>
      </c>
      <c r="I122" s="4">
        <v>76680</v>
      </c>
      <c r="J122" s="4">
        <v>45029.333159999995</v>
      </c>
    </row>
    <row r="123" spans="1:10" x14ac:dyDescent="0.35">
      <c r="A123">
        <v>3151271824</v>
      </c>
      <c r="B123" t="s">
        <v>513</v>
      </c>
      <c r="C123" t="s">
        <v>522</v>
      </c>
      <c r="D123" t="s">
        <v>434</v>
      </c>
      <c r="E123" t="s">
        <v>526</v>
      </c>
      <c r="F123" t="s">
        <v>201</v>
      </c>
      <c r="G123">
        <v>905075</v>
      </c>
      <c r="H123" t="s">
        <v>415</v>
      </c>
      <c r="I123" s="4">
        <v>3240</v>
      </c>
      <c r="J123" s="4">
        <v>1902.64788</v>
      </c>
    </row>
    <row r="124" spans="1:10" x14ac:dyDescent="0.35">
      <c r="A124">
        <v>3151272738</v>
      </c>
      <c r="B124" t="s">
        <v>513</v>
      </c>
      <c r="C124" t="s">
        <v>522</v>
      </c>
      <c r="D124" t="s">
        <v>434</v>
      </c>
      <c r="E124" t="s">
        <v>526</v>
      </c>
      <c r="G124">
        <v>905075</v>
      </c>
      <c r="H124" t="s">
        <v>415</v>
      </c>
      <c r="I124" s="4">
        <v>59040</v>
      </c>
      <c r="J124" s="4">
        <v>34670.472479999997</v>
      </c>
    </row>
    <row r="125" spans="1:10" x14ac:dyDescent="0.35">
      <c r="A125">
        <v>3151271990</v>
      </c>
      <c r="B125" t="s">
        <v>513</v>
      </c>
      <c r="C125" t="s">
        <v>522</v>
      </c>
      <c r="D125" t="s">
        <v>434</v>
      </c>
      <c r="E125" t="s">
        <v>526</v>
      </c>
      <c r="G125">
        <v>905075</v>
      </c>
      <c r="H125" t="s">
        <v>415</v>
      </c>
      <c r="I125" s="4">
        <v>7560</v>
      </c>
      <c r="J125" s="4">
        <v>4439.5117199999995</v>
      </c>
    </row>
    <row r="126" spans="1:10" x14ac:dyDescent="0.35">
      <c r="A126">
        <v>3151271821</v>
      </c>
      <c r="B126" t="s">
        <v>513</v>
      </c>
      <c r="C126" t="s">
        <v>522</v>
      </c>
      <c r="D126" t="s">
        <v>434</v>
      </c>
      <c r="E126" t="s">
        <v>526</v>
      </c>
      <c r="F126" t="s">
        <v>201</v>
      </c>
      <c r="G126">
        <v>905075</v>
      </c>
      <c r="H126" t="s">
        <v>415</v>
      </c>
      <c r="I126" s="4">
        <v>3600</v>
      </c>
      <c r="J126" s="4">
        <v>2114.0531999999998</v>
      </c>
    </row>
    <row r="127" spans="1:10" x14ac:dyDescent="0.35">
      <c r="A127">
        <v>3151272736</v>
      </c>
      <c r="B127" t="s">
        <v>513</v>
      </c>
      <c r="C127" t="s">
        <v>522</v>
      </c>
      <c r="D127" t="s">
        <v>434</v>
      </c>
      <c r="E127" t="s">
        <v>526</v>
      </c>
      <c r="G127">
        <v>905075</v>
      </c>
      <c r="H127" t="s">
        <v>415</v>
      </c>
      <c r="I127" s="4">
        <v>53280</v>
      </c>
      <c r="J127" s="4">
        <v>31287.987359999999</v>
      </c>
    </row>
    <row r="128" spans="1:10" x14ac:dyDescent="0.35">
      <c r="A128">
        <v>3151272737</v>
      </c>
      <c r="B128" t="s">
        <v>513</v>
      </c>
      <c r="C128" t="s">
        <v>522</v>
      </c>
      <c r="D128" t="s">
        <v>434</v>
      </c>
      <c r="E128" t="s">
        <v>526</v>
      </c>
      <c r="G128">
        <v>905075</v>
      </c>
      <c r="H128" t="s">
        <v>415</v>
      </c>
      <c r="I128" s="4">
        <v>76680</v>
      </c>
      <c r="J128" s="4">
        <v>45029.333159999995</v>
      </c>
    </row>
    <row r="129" spans="1:10" x14ac:dyDescent="0.35">
      <c r="A129">
        <v>3151272343</v>
      </c>
      <c r="B129" t="s">
        <v>513</v>
      </c>
      <c r="C129" t="s">
        <v>527</v>
      </c>
      <c r="D129" t="s">
        <v>422</v>
      </c>
      <c r="E129" t="s">
        <v>528</v>
      </c>
      <c r="F129" t="s">
        <v>201</v>
      </c>
      <c r="G129">
        <v>933309</v>
      </c>
      <c r="H129" t="s">
        <v>412</v>
      </c>
      <c r="I129" s="4">
        <v>12672</v>
      </c>
      <c r="J129" s="4">
        <v>3814.2719999999999</v>
      </c>
    </row>
    <row r="130" spans="1:10" x14ac:dyDescent="0.35">
      <c r="A130">
        <v>3151272584</v>
      </c>
      <c r="B130" t="s">
        <v>513</v>
      </c>
      <c r="C130" t="s">
        <v>527</v>
      </c>
      <c r="D130" t="s">
        <v>477</v>
      </c>
      <c r="E130" t="s">
        <v>529</v>
      </c>
      <c r="F130" t="s">
        <v>201</v>
      </c>
      <c r="G130">
        <v>933310</v>
      </c>
      <c r="H130" t="s">
        <v>415</v>
      </c>
      <c r="I130" s="4">
        <v>384</v>
      </c>
      <c r="J130" s="4">
        <v>303.73555199999998</v>
      </c>
    </row>
    <row r="131" spans="1:10" x14ac:dyDescent="0.35">
      <c r="A131">
        <v>3151272590</v>
      </c>
      <c r="B131" t="s">
        <v>513</v>
      </c>
      <c r="C131" t="s">
        <v>527</v>
      </c>
      <c r="D131" t="s">
        <v>477</v>
      </c>
      <c r="E131" t="s">
        <v>529</v>
      </c>
      <c r="F131" t="s">
        <v>201</v>
      </c>
      <c r="G131">
        <v>933310</v>
      </c>
      <c r="H131" t="s">
        <v>415</v>
      </c>
      <c r="I131" s="4">
        <v>7296</v>
      </c>
      <c r="J131" s="4">
        <v>5770.975488</v>
      </c>
    </row>
    <row r="132" spans="1:10" x14ac:dyDescent="0.35">
      <c r="A132">
        <v>3151272293</v>
      </c>
      <c r="B132" t="s">
        <v>513</v>
      </c>
      <c r="C132" t="s">
        <v>527</v>
      </c>
      <c r="D132" t="s">
        <v>477</v>
      </c>
      <c r="E132" t="s">
        <v>529</v>
      </c>
      <c r="F132" t="s">
        <v>201</v>
      </c>
      <c r="G132">
        <v>933310</v>
      </c>
      <c r="H132" t="s">
        <v>415</v>
      </c>
      <c r="I132" s="4">
        <v>9072</v>
      </c>
      <c r="J132" s="4">
        <v>7175.7524159999994</v>
      </c>
    </row>
    <row r="133" spans="1:10" x14ac:dyDescent="0.35">
      <c r="A133">
        <v>3151272590</v>
      </c>
      <c r="B133" t="s">
        <v>513</v>
      </c>
      <c r="C133" t="s">
        <v>527</v>
      </c>
      <c r="D133" t="s">
        <v>530</v>
      </c>
      <c r="E133" t="s">
        <v>531</v>
      </c>
      <c r="F133" t="s">
        <v>201</v>
      </c>
      <c r="G133">
        <v>933312</v>
      </c>
      <c r="H133" t="s">
        <v>421</v>
      </c>
      <c r="I133" s="4">
        <v>576</v>
      </c>
      <c r="J133" s="4">
        <v>611.3744640000001</v>
      </c>
    </row>
    <row r="134" spans="1:10" x14ac:dyDescent="0.35">
      <c r="A134">
        <v>3151272343</v>
      </c>
      <c r="B134" t="s">
        <v>513</v>
      </c>
      <c r="C134" t="s">
        <v>527</v>
      </c>
      <c r="D134" t="s">
        <v>530</v>
      </c>
      <c r="E134" t="s">
        <v>531</v>
      </c>
      <c r="F134" t="s">
        <v>201</v>
      </c>
      <c r="G134">
        <v>933312</v>
      </c>
      <c r="H134" t="s">
        <v>421</v>
      </c>
      <c r="I134" s="4">
        <v>2880</v>
      </c>
      <c r="J134" s="4">
        <v>3056.8723199999999</v>
      </c>
    </row>
    <row r="135" spans="1:10" x14ac:dyDescent="0.35">
      <c r="A135">
        <v>3151272182</v>
      </c>
      <c r="B135" t="s">
        <v>513</v>
      </c>
      <c r="C135" t="s">
        <v>532</v>
      </c>
      <c r="D135" t="s">
        <v>473</v>
      </c>
      <c r="E135" t="s">
        <v>533</v>
      </c>
      <c r="F135" t="s">
        <v>201</v>
      </c>
      <c r="G135">
        <v>941400</v>
      </c>
      <c r="H135" t="s">
        <v>433</v>
      </c>
      <c r="I135" s="4">
        <v>67716</v>
      </c>
      <c r="J135" s="4">
        <v>3170.937132</v>
      </c>
    </row>
    <row r="136" spans="1:10" x14ac:dyDescent="0.35">
      <c r="A136">
        <v>3151272183</v>
      </c>
      <c r="B136" t="s">
        <v>513</v>
      </c>
      <c r="C136" t="s">
        <v>532</v>
      </c>
      <c r="D136" t="s">
        <v>473</v>
      </c>
      <c r="E136" t="s">
        <v>533</v>
      </c>
      <c r="F136" t="s">
        <v>201</v>
      </c>
      <c r="G136">
        <v>941400</v>
      </c>
      <c r="H136" t="s">
        <v>433</v>
      </c>
      <c r="I136" s="4">
        <v>7128</v>
      </c>
      <c r="J136" s="4">
        <v>333.78285599999998</v>
      </c>
    </row>
    <row r="137" spans="1:10" x14ac:dyDescent="0.35">
      <c r="A137">
        <v>3151271869</v>
      </c>
      <c r="B137" t="s">
        <v>513</v>
      </c>
      <c r="C137" t="s">
        <v>532</v>
      </c>
      <c r="D137" t="s">
        <v>534</v>
      </c>
      <c r="E137" t="s">
        <v>535</v>
      </c>
      <c r="F137" t="s">
        <v>201</v>
      </c>
      <c r="G137">
        <v>941399</v>
      </c>
      <c r="H137" t="s">
        <v>412</v>
      </c>
      <c r="I137" s="4">
        <v>22680</v>
      </c>
      <c r="J137" s="4">
        <v>2640.8591999999999</v>
      </c>
    </row>
    <row r="138" spans="1:10" x14ac:dyDescent="0.35">
      <c r="A138">
        <v>3151272574</v>
      </c>
      <c r="B138" t="s">
        <v>513</v>
      </c>
      <c r="C138" t="s">
        <v>532</v>
      </c>
      <c r="D138" t="s">
        <v>534</v>
      </c>
      <c r="E138" t="s">
        <v>535</v>
      </c>
      <c r="F138" t="s">
        <v>201</v>
      </c>
      <c r="G138">
        <v>941399</v>
      </c>
      <c r="H138" t="s">
        <v>412</v>
      </c>
      <c r="I138" s="4">
        <v>21600</v>
      </c>
      <c r="J138" s="4">
        <v>2515.1040000000003</v>
      </c>
    </row>
    <row r="139" spans="1:10" x14ac:dyDescent="0.35">
      <c r="A139">
        <v>3151272575</v>
      </c>
      <c r="B139" t="s">
        <v>513</v>
      </c>
      <c r="C139" t="s">
        <v>532</v>
      </c>
      <c r="D139" t="s">
        <v>534</v>
      </c>
      <c r="E139" t="s">
        <v>535</v>
      </c>
      <c r="F139" t="s">
        <v>201</v>
      </c>
      <c r="G139">
        <v>941399</v>
      </c>
      <c r="H139" t="s">
        <v>412</v>
      </c>
      <c r="I139" s="4">
        <v>1080</v>
      </c>
      <c r="J139" s="4">
        <v>125.7552</v>
      </c>
    </row>
    <row r="140" spans="1:10" x14ac:dyDescent="0.35">
      <c r="A140">
        <v>3151271777</v>
      </c>
      <c r="B140" t="s">
        <v>513</v>
      </c>
      <c r="C140" t="s">
        <v>532</v>
      </c>
      <c r="D140" t="s">
        <v>434</v>
      </c>
      <c r="E140" t="s">
        <v>536</v>
      </c>
      <c r="G140">
        <v>941394</v>
      </c>
      <c r="H140" t="s">
        <v>415</v>
      </c>
      <c r="I140" s="4">
        <v>10944</v>
      </c>
      <c r="J140" s="4">
        <v>4557.95712</v>
      </c>
    </row>
    <row r="141" spans="1:10" x14ac:dyDescent="0.35">
      <c r="A141">
        <v>3151272020</v>
      </c>
      <c r="B141" t="s">
        <v>513</v>
      </c>
      <c r="C141" t="s">
        <v>532</v>
      </c>
      <c r="D141" t="s">
        <v>434</v>
      </c>
      <c r="E141" t="s">
        <v>536</v>
      </c>
      <c r="G141">
        <v>941394</v>
      </c>
      <c r="H141" t="s">
        <v>415</v>
      </c>
      <c r="I141" s="4">
        <v>576</v>
      </c>
      <c r="J141" s="4">
        <v>239.89248000000001</v>
      </c>
    </row>
    <row r="142" spans="1:10" x14ac:dyDescent="0.35">
      <c r="A142">
        <v>3151272566</v>
      </c>
      <c r="B142" t="s">
        <v>513</v>
      </c>
      <c r="C142" t="s">
        <v>532</v>
      </c>
      <c r="D142" t="s">
        <v>434</v>
      </c>
      <c r="E142" t="s">
        <v>536</v>
      </c>
      <c r="F142" t="s">
        <v>201</v>
      </c>
      <c r="G142">
        <v>941394</v>
      </c>
      <c r="H142" t="s">
        <v>415</v>
      </c>
      <c r="I142" s="4">
        <v>10944</v>
      </c>
      <c r="J142" s="4">
        <v>4557.95712</v>
      </c>
    </row>
    <row r="143" spans="1:10" x14ac:dyDescent="0.35">
      <c r="A143">
        <v>3151272567</v>
      </c>
      <c r="B143" t="s">
        <v>513</v>
      </c>
      <c r="C143" t="s">
        <v>532</v>
      </c>
      <c r="D143" t="s">
        <v>434</v>
      </c>
      <c r="E143" t="s">
        <v>536</v>
      </c>
      <c r="F143" t="s">
        <v>201</v>
      </c>
      <c r="G143">
        <v>941394</v>
      </c>
      <c r="H143" t="s">
        <v>415</v>
      </c>
      <c r="I143" s="4">
        <v>576</v>
      </c>
      <c r="J143" s="4">
        <v>239.89248000000001</v>
      </c>
    </row>
    <row r="144" spans="1:10" x14ac:dyDescent="0.35">
      <c r="A144">
        <v>3151272491</v>
      </c>
      <c r="B144" t="s">
        <v>513</v>
      </c>
      <c r="C144" t="s">
        <v>537</v>
      </c>
      <c r="D144" t="s">
        <v>515</v>
      </c>
      <c r="E144" t="s">
        <v>538</v>
      </c>
      <c r="F144" t="s">
        <v>420</v>
      </c>
      <c r="G144">
        <v>946323</v>
      </c>
      <c r="H144" t="s">
        <v>517</v>
      </c>
      <c r="I144" s="4">
        <v>1296</v>
      </c>
      <c r="J144" s="4">
        <v>950.35679999999991</v>
      </c>
    </row>
    <row r="145" spans="1:10" x14ac:dyDescent="0.35">
      <c r="A145">
        <v>3151272491</v>
      </c>
      <c r="B145" t="s">
        <v>513</v>
      </c>
      <c r="C145" t="s">
        <v>539</v>
      </c>
      <c r="D145" t="s">
        <v>515</v>
      </c>
      <c r="E145" t="s">
        <v>540</v>
      </c>
      <c r="F145" t="s">
        <v>440</v>
      </c>
      <c r="G145">
        <v>949242</v>
      </c>
      <c r="H145" t="s">
        <v>517</v>
      </c>
      <c r="I145" s="4">
        <v>1080</v>
      </c>
      <c r="J145" s="4">
        <v>791.96400000000006</v>
      </c>
    </row>
    <row r="146" spans="1:10" x14ac:dyDescent="0.35">
      <c r="A146">
        <v>3151271765</v>
      </c>
      <c r="B146" t="s">
        <v>513</v>
      </c>
      <c r="C146" t="s">
        <v>541</v>
      </c>
      <c r="D146" t="s">
        <v>473</v>
      </c>
      <c r="E146" t="s">
        <v>542</v>
      </c>
      <c r="G146">
        <v>905971</v>
      </c>
      <c r="H146" t="s">
        <v>433</v>
      </c>
      <c r="I146" s="4">
        <v>2880</v>
      </c>
      <c r="J146" s="4">
        <v>188.17920000000001</v>
      </c>
    </row>
    <row r="147" spans="1:10" x14ac:dyDescent="0.35">
      <c r="A147">
        <v>3151271766</v>
      </c>
      <c r="B147" t="s">
        <v>513</v>
      </c>
      <c r="C147" t="s">
        <v>541</v>
      </c>
      <c r="D147" t="s">
        <v>473</v>
      </c>
      <c r="E147" t="s">
        <v>542</v>
      </c>
      <c r="G147">
        <v>905971</v>
      </c>
      <c r="H147" t="s">
        <v>433</v>
      </c>
      <c r="I147" s="4">
        <v>864</v>
      </c>
      <c r="J147" s="4">
        <v>56.453760000000003</v>
      </c>
    </row>
    <row r="148" spans="1:10" x14ac:dyDescent="0.35">
      <c r="A148">
        <v>3151271765</v>
      </c>
      <c r="B148" t="s">
        <v>513</v>
      </c>
      <c r="C148" t="s">
        <v>541</v>
      </c>
      <c r="D148" t="s">
        <v>524</v>
      </c>
      <c r="E148" t="s">
        <v>543</v>
      </c>
      <c r="G148">
        <v>905970</v>
      </c>
      <c r="H148" t="s">
        <v>412</v>
      </c>
      <c r="I148" s="4">
        <v>2880</v>
      </c>
      <c r="J148" s="4">
        <v>538.4448000000001</v>
      </c>
    </row>
    <row r="149" spans="1:10" x14ac:dyDescent="0.35">
      <c r="A149">
        <v>3151271766</v>
      </c>
      <c r="B149" t="s">
        <v>513</v>
      </c>
      <c r="C149" t="s">
        <v>541</v>
      </c>
      <c r="D149" t="s">
        <v>524</v>
      </c>
      <c r="E149" t="s">
        <v>543</v>
      </c>
      <c r="G149">
        <v>905970</v>
      </c>
      <c r="H149" t="s">
        <v>412</v>
      </c>
      <c r="I149" s="4">
        <v>864</v>
      </c>
      <c r="J149" s="4">
        <v>161.53344000000001</v>
      </c>
    </row>
    <row r="150" spans="1:10" x14ac:dyDescent="0.35">
      <c r="A150">
        <v>3151271765</v>
      </c>
      <c r="B150" t="s">
        <v>513</v>
      </c>
      <c r="C150" t="s">
        <v>541</v>
      </c>
      <c r="D150" t="s">
        <v>477</v>
      </c>
      <c r="E150" t="s">
        <v>544</v>
      </c>
      <c r="G150">
        <v>905969</v>
      </c>
      <c r="H150" t="s">
        <v>415</v>
      </c>
      <c r="I150" s="4">
        <v>2880</v>
      </c>
      <c r="J150" s="4">
        <v>2059.2230399999999</v>
      </c>
    </row>
    <row r="151" spans="1:10" x14ac:dyDescent="0.35">
      <c r="A151">
        <v>3151271766</v>
      </c>
      <c r="B151" t="s">
        <v>513</v>
      </c>
      <c r="C151" t="s">
        <v>541</v>
      </c>
      <c r="D151" t="s">
        <v>477</v>
      </c>
      <c r="E151" t="s">
        <v>544</v>
      </c>
      <c r="G151">
        <v>905969</v>
      </c>
      <c r="H151" t="s">
        <v>415</v>
      </c>
      <c r="I151" s="4">
        <v>2448</v>
      </c>
      <c r="J151" s="4">
        <v>1750.3395840000001</v>
      </c>
    </row>
    <row r="152" spans="1:10" x14ac:dyDescent="0.35">
      <c r="A152">
        <v>3151272491</v>
      </c>
      <c r="B152" t="s">
        <v>513</v>
      </c>
      <c r="C152" t="s">
        <v>545</v>
      </c>
      <c r="D152" t="s">
        <v>515</v>
      </c>
      <c r="E152" t="s">
        <v>546</v>
      </c>
      <c r="F152" t="s">
        <v>440</v>
      </c>
      <c r="G152">
        <v>946321</v>
      </c>
      <c r="H152" t="s">
        <v>517</v>
      </c>
      <c r="I152" s="4">
        <v>1080</v>
      </c>
      <c r="J152" s="4">
        <v>791.96400000000006</v>
      </c>
    </row>
    <row r="153" spans="1:10" x14ac:dyDescent="0.35">
      <c r="A153">
        <v>3151271944</v>
      </c>
      <c r="B153" t="s">
        <v>547</v>
      </c>
      <c r="C153" t="s">
        <v>548</v>
      </c>
      <c r="D153" t="s">
        <v>445</v>
      </c>
      <c r="E153" t="s">
        <v>549</v>
      </c>
      <c r="G153">
        <v>948525</v>
      </c>
      <c r="H153" t="s">
        <v>433</v>
      </c>
      <c r="I153" s="4">
        <v>9216</v>
      </c>
      <c r="J153" s="4">
        <v>435.91680000000002</v>
      </c>
    </row>
    <row r="154" spans="1:10" x14ac:dyDescent="0.35">
      <c r="A154">
        <v>3151271944</v>
      </c>
      <c r="B154" t="s">
        <v>547</v>
      </c>
      <c r="C154" t="s">
        <v>548</v>
      </c>
      <c r="D154" t="s">
        <v>494</v>
      </c>
      <c r="E154" t="s">
        <v>550</v>
      </c>
      <c r="G154">
        <v>948524</v>
      </c>
      <c r="H154" t="s">
        <v>412</v>
      </c>
      <c r="I154" s="4">
        <v>9216</v>
      </c>
      <c r="J154" s="4">
        <v>1354.752</v>
      </c>
    </row>
    <row r="155" spans="1:10" x14ac:dyDescent="0.35">
      <c r="A155">
        <v>3151271944</v>
      </c>
      <c r="B155" t="s">
        <v>547</v>
      </c>
      <c r="C155" t="s">
        <v>548</v>
      </c>
      <c r="D155" t="s">
        <v>449</v>
      </c>
      <c r="E155" t="s">
        <v>551</v>
      </c>
      <c r="G155">
        <v>948523</v>
      </c>
      <c r="H155" t="s">
        <v>415</v>
      </c>
      <c r="I155" s="4">
        <v>9216</v>
      </c>
      <c r="J155" s="4">
        <v>4741.6320000000005</v>
      </c>
    </row>
    <row r="156" spans="1:10" x14ac:dyDescent="0.35">
      <c r="A156">
        <v>3151271945</v>
      </c>
      <c r="B156" t="s">
        <v>547</v>
      </c>
      <c r="C156" t="s">
        <v>552</v>
      </c>
      <c r="D156" t="s">
        <v>473</v>
      </c>
      <c r="E156" t="s">
        <v>553</v>
      </c>
      <c r="G156">
        <v>948529</v>
      </c>
      <c r="H156" t="s">
        <v>433</v>
      </c>
      <c r="I156" s="4">
        <v>7680</v>
      </c>
      <c r="J156" s="4">
        <v>543.74400000000003</v>
      </c>
    </row>
    <row r="157" spans="1:10" x14ac:dyDescent="0.35">
      <c r="A157">
        <v>3151271945</v>
      </c>
      <c r="B157" t="s">
        <v>547</v>
      </c>
      <c r="C157" t="s">
        <v>552</v>
      </c>
      <c r="D157" t="s">
        <v>447</v>
      </c>
      <c r="E157" t="s">
        <v>554</v>
      </c>
      <c r="G157">
        <v>948528</v>
      </c>
      <c r="H157" t="s">
        <v>412</v>
      </c>
      <c r="I157" s="4">
        <v>2520</v>
      </c>
      <c r="J157" s="4">
        <v>819</v>
      </c>
    </row>
    <row r="158" spans="1:10" x14ac:dyDescent="0.35">
      <c r="A158">
        <v>3151271945</v>
      </c>
      <c r="B158" t="s">
        <v>547</v>
      </c>
      <c r="C158" t="s">
        <v>552</v>
      </c>
      <c r="D158" t="s">
        <v>449</v>
      </c>
      <c r="E158" t="s">
        <v>555</v>
      </c>
      <c r="G158">
        <v>948526</v>
      </c>
      <c r="H158" t="s">
        <v>415</v>
      </c>
      <c r="I158" s="4">
        <v>1824</v>
      </c>
      <c r="J158" s="4">
        <v>1161.8879999999999</v>
      </c>
    </row>
    <row r="159" spans="1:10" x14ac:dyDescent="0.35">
      <c r="A159">
        <v>3151271945</v>
      </c>
      <c r="B159" t="s">
        <v>547</v>
      </c>
      <c r="C159" t="s">
        <v>552</v>
      </c>
      <c r="D159" t="s">
        <v>457</v>
      </c>
      <c r="E159" t="s">
        <v>556</v>
      </c>
      <c r="G159">
        <v>948527</v>
      </c>
      <c r="H159" t="s">
        <v>421</v>
      </c>
      <c r="I159" s="4">
        <v>1452</v>
      </c>
      <c r="J159" s="4">
        <v>1274.1300000000001</v>
      </c>
    </row>
    <row r="160" spans="1:10" x14ac:dyDescent="0.35">
      <c r="A160">
        <v>3151272078</v>
      </c>
      <c r="B160" t="s">
        <v>547</v>
      </c>
      <c r="C160" t="s">
        <v>557</v>
      </c>
      <c r="D160" t="s">
        <v>473</v>
      </c>
      <c r="E160" t="s">
        <v>558</v>
      </c>
      <c r="G160">
        <v>948934</v>
      </c>
      <c r="H160" t="s">
        <v>433</v>
      </c>
      <c r="I160" s="4">
        <v>13440</v>
      </c>
      <c r="J160" s="4">
        <v>877.63200000000006</v>
      </c>
    </row>
    <row r="161" spans="1:10" x14ac:dyDescent="0.35">
      <c r="A161">
        <v>3151272078</v>
      </c>
      <c r="B161" t="s">
        <v>547</v>
      </c>
      <c r="C161" t="s">
        <v>557</v>
      </c>
      <c r="D161" t="s">
        <v>447</v>
      </c>
      <c r="E161" t="s">
        <v>559</v>
      </c>
      <c r="G161">
        <v>948933</v>
      </c>
      <c r="H161" t="s">
        <v>412</v>
      </c>
      <c r="I161" s="4">
        <v>3780</v>
      </c>
      <c r="J161" s="4">
        <v>1134</v>
      </c>
    </row>
    <row r="162" spans="1:10" x14ac:dyDescent="0.35">
      <c r="A162">
        <v>3151272078</v>
      </c>
      <c r="B162" t="s">
        <v>547</v>
      </c>
      <c r="C162" t="s">
        <v>557</v>
      </c>
      <c r="D162" t="s">
        <v>449</v>
      </c>
      <c r="E162" t="s">
        <v>560</v>
      </c>
      <c r="G162">
        <v>948984</v>
      </c>
      <c r="H162" t="s">
        <v>415</v>
      </c>
      <c r="I162" s="4">
        <v>4056</v>
      </c>
      <c r="J162" s="4">
        <v>2384.9279999999999</v>
      </c>
    </row>
    <row r="163" spans="1:10" x14ac:dyDescent="0.35">
      <c r="A163">
        <v>3151272078</v>
      </c>
      <c r="B163" t="s">
        <v>547</v>
      </c>
      <c r="C163" t="s">
        <v>557</v>
      </c>
      <c r="D163" t="s">
        <v>457</v>
      </c>
      <c r="E163" t="s">
        <v>561</v>
      </c>
      <c r="G163">
        <v>948929</v>
      </c>
      <c r="H163" t="s">
        <v>421</v>
      </c>
      <c r="I163" s="4">
        <v>2712</v>
      </c>
      <c r="J163" s="4">
        <v>2196.7200000000003</v>
      </c>
    </row>
    <row r="164" spans="1:10" x14ac:dyDescent="0.35">
      <c r="A164">
        <v>3151271515</v>
      </c>
      <c r="B164" t="s">
        <v>547</v>
      </c>
      <c r="C164" t="s">
        <v>562</v>
      </c>
      <c r="D164" t="s">
        <v>473</v>
      </c>
      <c r="E164" t="s">
        <v>563</v>
      </c>
      <c r="G164">
        <v>947862</v>
      </c>
      <c r="H164" t="s">
        <v>433</v>
      </c>
      <c r="I164" s="4">
        <v>7680</v>
      </c>
      <c r="J164" s="4">
        <v>501.50400000000002</v>
      </c>
    </row>
    <row r="165" spans="1:10" x14ac:dyDescent="0.35">
      <c r="A165">
        <v>3151271515</v>
      </c>
      <c r="B165" t="s">
        <v>547</v>
      </c>
      <c r="C165" t="s">
        <v>562</v>
      </c>
      <c r="D165" t="s">
        <v>447</v>
      </c>
      <c r="E165" t="s">
        <v>564</v>
      </c>
      <c r="G165">
        <v>947861</v>
      </c>
      <c r="H165" t="s">
        <v>412</v>
      </c>
      <c r="I165" s="4">
        <v>2700</v>
      </c>
      <c r="J165" s="4">
        <v>810</v>
      </c>
    </row>
    <row r="166" spans="1:10" x14ac:dyDescent="0.35">
      <c r="A166">
        <v>3151271515</v>
      </c>
      <c r="B166" t="s">
        <v>547</v>
      </c>
      <c r="C166" t="s">
        <v>562</v>
      </c>
      <c r="D166" t="s">
        <v>449</v>
      </c>
      <c r="E166" t="s">
        <v>565</v>
      </c>
      <c r="G166">
        <v>947847</v>
      </c>
      <c r="H166" t="s">
        <v>415</v>
      </c>
      <c r="I166" s="4">
        <v>1824</v>
      </c>
      <c r="J166" s="4">
        <v>1072.5119999999999</v>
      </c>
    </row>
    <row r="167" spans="1:10" x14ac:dyDescent="0.35">
      <c r="A167">
        <v>3151271515</v>
      </c>
      <c r="B167" t="s">
        <v>547</v>
      </c>
      <c r="C167" t="s">
        <v>562</v>
      </c>
      <c r="D167" t="s">
        <v>457</v>
      </c>
      <c r="E167" t="s">
        <v>566</v>
      </c>
      <c r="G167">
        <v>947848</v>
      </c>
      <c r="H167" t="s">
        <v>421</v>
      </c>
      <c r="I167" s="4">
        <v>1452</v>
      </c>
      <c r="J167" s="4">
        <v>1176.1200000000001</v>
      </c>
    </row>
    <row r="168" spans="1:10" x14ac:dyDescent="0.35">
      <c r="A168">
        <v>3151272076</v>
      </c>
      <c r="B168" t="s">
        <v>547</v>
      </c>
      <c r="C168" t="s">
        <v>567</v>
      </c>
      <c r="D168" t="s">
        <v>473</v>
      </c>
      <c r="E168" t="s">
        <v>568</v>
      </c>
      <c r="G168">
        <v>948898</v>
      </c>
      <c r="H168" t="s">
        <v>433</v>
      </c>
      <c r="I168" s="4">
        <v>8832</v>
      </c>
      <c r="J168" s="4">
        <v>721.57440000000008</v>
      </c>
    </row>
    <row r="169" spans="1:10" x14ac:dyDescent="0.35">
      <c r="A169">
        <v>3151272076</v>
      </c>
      <c r="B169" t="s">
        <v>547</v>
      </c>
      <c r="C169" t="s">
        <v>567</v>
      </c>
      <c r="D169" t="s">
        <v>447</v>
      </c>
      <c r="E169" t="s">
        <v>569</v>
      </c>
      <c r="G169">
        <v>948896</v>
      </c>
      <c r="H169" t="s">
        <v>412</v>
      </c>
      <c r="I169" s="4">
        <v>3780</v>
      </c>
      <c r="J169" s="4">
        <v>1417.5</v>
      </c>
    </row>
    <row r="170" spans="1:10" x14ac:dyDescent="0.35">
      <c r="A170">
        <v>3151272076</v>
      </c>
      <c r="B170" t="s">
        <v>547</v>
      </c>
      <c r="C170" t="s">
        <v>567</v>
      </c>
      <c r="D170" t="s">
        <v>449</v>
      </c>
      <c r="E170" t="s">
        <v>570</v>
      </c>
      <c r="G170">
        <v>948892</v>
      </c>
      <c r="H170" t="s">
        <v>415</v>
      </c>
      <c r="I170" s="4">
        <v>3264</v>
      </c>
      <c r="J170" s="4">
        <v>2399.04</v>
      </c>
    </row>
    <row r="171" spans="1:10" x14ac:dyDescent="0.35">
      <c r="A171">
        <v>3151272076</v>
      </c>
      <c r="B171" t="s">
        <v>547</v>
      </c>
      <c r="C171" t="s">
        <v>567</v>
      </c>
      <c r="D171" t="s">
        <v>457</v>
      </c>
      <c r="E171" t="s">
        <v>571</v>
      </c>
      <c r="G171">
        <v>948895</v>
      </c>
      <c r="H171" t="s">
        <v>421</v>
      </c>
      <c r="I171" s="4">
        <v>2604</v>
      </c>
      <c r="J171" s="4">
        <v>2636.55</v>
      </c>
    </row>
    <row r="172" spans="1:10" x14ac:dyDescent="0.35">
      <c r="A172">
        <v>3251164559</v>
      </c>
      <c r="B172" t="s">
        <v>572</v>
      </c>
      <c r="C172" t="s">
        <v>573</v>
      </c>
      <c r="D172" t="s">
        <v>445</v>
      </c>
      <c r="E172" t="s">
        <v>574</v>
      </c>
      <c r="F172" t="s">
        <v>201</v>
      </c>
      <c r="G172">
        <v>939987</v>
      </c>
      <c r="H172" t="s">
        <v>433</v>
      </c>
      <c r="I172" s="4">
        <v>10400</v>
      </c>
      <c r="J172" s="4">
        <v>627.12</v>
      </c>
    </row>
    <row r="173" spans="1:10" x14ac:dyDescent="0.35">
      <c r="A173">
        <v>3251164562</v>
      </c>
      <c r="B173" t="s">
        <v>572</v>
      </c>
      <c r="C173" t="s">
        <v>573</v>
      </c>
      <c r="D173" t="s">
        <v>575</v>
      </c>
      <c r="E173" t="s">
        <v>576</v>
      </c>
      <c r="F173" t="s">
        <v>201</v>
      </c>
      <c r="G173">
        <v>939986</v>
      </c>
      <c r="H173" t="s">
        <v>412</v>
      </c>
      <c r="I173" s="4">
        <v>1280</v>
      </c>
      <c r="J173" s="4">
        <v>205.82400000000001</v>
      </c>
    </row>
    <row r="174" spans="1:10" x14ac:dyDescent="0.35">
      <c r="A174">
        <v>3251164559</v>
      </c>
      <c r="B174" t="s">
        <v>572</v>
      </c>
      <c r="C174" t="s">
        <v>573</v>
      </c>
      <c r="D174" t="s">
        <v>575</v>
      </c>
      <c r="E174" t="s">
        <v>576</v>
      </c>
      <c r="F174" t="s">
        <v>201</v>
      </c>
      <c r="G174">
        <v>939986</v>
      </c>
      <c r="H174" t="s">
        <v>412</v>
      </c>
      <c r="I174" s="4">
        <v>8280</v>
      </c>
      <c r="J174" s="4">
        <v>1331.424</v>
      </c>
    </row>
    <row r="175" spans="1:10" x14ac:dyDescent="0.35">
      <c r="A175">
        <v>3251164562</v>
      </c>
      <c r="B175" t="s">
        <v>572</v>
      </c>
      <c r="C175" t="s">
        <v>573</v>
      </c>
      <c r="D175" t="s">
        <v>577</v>
      </c>
      <c r="E175" t="s">
        <v>578</v>
      </c>
      <c r="F175" t="s">
        <v>201</v>
      </c>
      <c r="G175">
        <v>939985</v>
      </c>
      <c r="H175" t="s">
        <v>415</v>
      </c>
      <c r="I175" s="4">
        <v>120</v>
      </c>
      <c r="J175" s="4">
        <v>90.45</v>
      </c>
    </row>
    <row r="176" spans="1:10" x14ac:dyDescent="0.35">
      <c r="A176">
        <v>3251164560</v>
      </c>
      <c r="B176" t="s">
        <v>572</v>
      </c>
      <c r="C176" t="s">
        <v>573</v>
      </c>
      <c r="D176" t="s">
        <v>577</v>
      </c>
      <c r="E176" t="s">
        <v>578</v>
      </c>
      <c r="F176" t="s">
        <v>201</v>
      </c>
      <c r="G176">
        <v>939985</v>
      </c>
      <c r="H176" t="s">
        <v>415</v>
      </c>
      <c r="I176" s="4">
        <v>1332</v>
      </c>
      <c r="J176" s="4">
        <v>1003.995</v>
      </c>
    </row>
    <row r="177" spans="1:10" x14ac:dyDescent="0.35">
      <c r="A177">
        <v>3251164559</v>
      </c>
      <c r="B177" t="s">
        <v>572</v>
      </c>
      <c r="C177" t="s">
        <v>573</v>
      </c>
      <c r="D177" t="s">
        <v>577</v>
      </c>
      <c r="E177" t="s">
        <v>578</v>
      </c>
      <c r="F177" t="s">
        <v>201</v>
      </c>
      <c r="G177">
        <v>939985</v>
      </c>
      <c r="H177" t="s">
        <v>415</v>
      </c>
      <c r="I177" s="4">
        <v>4380</v>
      </c>
      <c r="J177" s="4">
        <v>3301.4250000000002</v>
      </c>
    </row>
    <row r="178" spans="1:10" x14ac:dyDescent="0.35">
      <c r="A178">
        <v>3251165843</v>
      </c>
      <c r="B178" t="s">
        <v>572</v>
      </c>
      <c r="C178" t="s">
        <v>579</v>
      </c>
      <c r="D178" t="s">
        <v>575</v>
      </c>
      <c r="E178" t="s">
        <v>580</v>
      </c>
      <c r="F178" t="s">
        <v>581</v>
      </c>
      <c r="G178">
        <v>947395</v>
      </c>
      <c r="H178" t="s">
        <v>412</v>
      </c>
      <c r="I178" s="4">
        <v>32000</v>
      </c>
      <c r="J178" s="4">
        <v>3072</v>
      </c>
    </row>
    <row r="179" spans="1:10" x14ac:dyDescent="0.35">
      <c r="A179">
        <v>3251165843</v>
      </c>
      <c r="B179" t="s">
        <v>572</v>
      </c>
      <c r="C179" t="s">
        <v>582</v>
      </c>
      <c r="D179" t="s">
        <v>575</v>
      </c>
      <c r="E179" t="s">
        <v>580</v>
      </c>
      <c r="F179" t="s">
        <v>583</v>
      </c>
      <c r="G179">
        <v>947395</v>
      </c>
      <c r="H179" t="s">
        <v>412</v>
      </c>
      <c r="I179" s="4">
        <v>16000</v>
      </c>
      <c r="J179" s="4">
        <v>1536</v>
      </c>
    </row>
    <row r="180" spans="1:10" x14ac:dyDescent="0.35">
      <c r="A180">
        <v>3251165843</v>
      </c>
      <c r="B180" t="s">
        <v>572</v>
      </c>
      <c r="C180" t="s">
        <v>584</v>
      </c>
      <c r="D180" t="s">
        <v>575</v>
      </c>
      <c r="E180" t="s">
        <v>580</v>
      </c>
      <c r="F180" t="s">
        <v>585</v>
      </c>
      <c r="G180">
        <v>947395</v>
      </c>
      <c r="H180" t="s">
        <v>412</v>
      </c>
      <c r="I180" s="4">
        <v>16000</v>
      </c>
      <c r="J180" s="4">
        <v>1536</v>
      </c>
    </row>
    <row r="181" spans="1:10" x14ac:dyDescent="0.35">
      <c r="A181">
        <v>3251165703</v>
      </c>
      <c r="B181" t="s">
        <v>572</v>
      </c>
      <c r="C181" t="s">
        <v>586</v>
      </c>
      <c r="D181" t="s">
        <v>587</v>
      </c>
      <c r="E181" t="s">
        <v>588</v>
      </c>
      <c r="F181" t="s">
        <v>201</v>
      </c>
      <c r="G181">
        <v>941833</v>
      </c>
      <c r="H181" t="s">
        <v>415</v>
      </c>
      <c r="I181" s="4">
        <v>2000</v>
      </c>
      <c r="J181" s="4">
        <v>1421.2</v>
      </c>
    </row>
    <row r="182" spans="1:10" x14ac:dyDescent="0.35">
      <c r="A182">
        <v>3251164202</v>
      </c>
      <c r="B182" t="s">
        <v>572</v>
      </c>
      <c r="C182" t="s">
        <v>589</v>
      </c>
      <c r="D182" t="s">
        <v>590</v>
      </c>
      <c r="E182" t="s">
        <v>591</v>
      </c>
      <c r="F182" t="s">
        <v>442</v>
      </c>
      <c r="G182">
        <v>910490</v>
      </c>
      <c r="H182" t="s">
        <v>421</v>
      </c>
      <c r="I182" s="4">
        <v>803</v>
      </c>
      <c r="J182" s="4">
        <v>690.66030000000001</v>
      </c>
    </row>
    <row r="183" spans="1:10" x14ac:dyDescent="0.35">
      <c r="A183">
        <v>3251164202</v>
      </c>
      <c r="B183" t="s">
        <v>572</v>
      </c>
      <c r="C183" t="s">
        <v>592</v>
      </c>
      <c r="D183" t="s">
        <v>590</v>
      </c>
      <c r="E183" t="s">
        <v>591</v>
      </c>
      <c r="F183" t="s">
        <v>420</v>
      </c>
      <c r="G183">
        <v>914103</v>
      </c>
      <c r="H183" t="s">
        <v>421</v>
      </c>
      <c r="I183" s="4">
        <v>5832</v>
      </c>
      <c r="J183" s="4">
        <v>5016.1032000000005</v>
      </c>
    </row>
    <row r="184" spans="1:10" x14ac:dyDescent="0.35">
      <c r="A184">
        <v>3251164188</v>
      </c>
      <c r="B184" t="s">
        <v>572</v>
      </c>
      <c r="C184" t="s">
        <v>593</v>
      </c>
      <c r="D184" t="s">
        <v>594</v>
      </c>
      <c r="E184" t="s">
        <v>595</v>
      </c>
      <c r="G184">
        <v>936910</v>
      </c>
      <c r="H184" t="s">
        <v>415</v>
      </c>
      <c r="I184" s="4">
        <v>10000</v>
      </c>
      <c r="J184" s="4">
        <v>6270</v>
      </c>
    </row>
    <row r="185" spans="1:10" x14ac:dyDescent="0.35">
      <c r="A185">
        <v>3251164187</v>
      </c>
      <c r="B185" t="s">
        <v>572</v>
      </c>
      <c r="C185" t="s">
        <v>596</v>
      </c>
      <c r="D185" t="s">
        <v>597</v>
      </c>
      <c r="E185" t="s">
        <v>598</v>
      </c>
      <c r="G185">
        <v>936911</v>
      </c>
      <c r="H185" t="s">
        <v>421</v>
      </c>
      <c r="I185" s="4">
        <v>6000</v>
      </c>
      <c r="J185" s="4">
        <v>5832</v>
      </c>
    </row>
    <row r="186" spans="1:10" x14ac:dyDescent="0.35">
      <c r="A186">
        <v>3251163009</v>
      </c>
      <c r="B186" t="s">
        <v>572</v>
      </c>
      <c r="C186" t="s">
        <v>599</v>
      </c>
      <c r="D186" t="s">
        <v>445</v>
      </c>
      <c r="E186" t="s">
        <v>600</v>
      </c>
      <c r="F186" t="s">
        <v>581</v>
      </c>
      <c r="G186">
        <v>938565</v>
      </c>
      <c r="H186" t="s">
        <v>433</v>
      </c>
      <c r="I186" s="4">
        <v>576</v>
      </c>
      <c r="J186" s="4">
        <v>25.92</v>
      </c>
    </row>
    <row r="187" spans="1:10" x14ac:dyDescent="0.35">
      <c r="A187">
        <v>3251163009</v>
      </c>
      <c r="B187" t="s">
        <v>572</v>
      </c>
      <c r="C187" t="s">
        <v>599</v>
      </c>
      <c r="D187" t="s">
        <v>575</v>
      </c>
      <c r="E187" t="s">
        <v>601</v>
      </c>
      <c r="F187" t="s">
        <v>581</v>
      </c>
      <c r="G187">
        <v>938564</v>
      </c>
      <c r="H187" t="s">
        <v>412</v>
      </c>
      <c r="I187" s="4">
        <v>912</v>
      </c>
      <c r="J187" s="4">
        <v>109.44</v>
      </c>
    </row>
    <row r="188" spans="1:10" x14ac:dyDescent="0.35">
      <c r="A188">
        <v>3251163009</v>
      </c>
      <c r="B188" t="s">
        <v>572</v>
      </c>
      <c r="C188" t="s">
        <v>599</v>
      </c>
      <c r="D188" t="s">
        <v>449</v>
      </c>
      <c r="E188" t="s">
        <v>602</v>
      </c>
      <c r="F188" t="s">
        <v>581</v>
      </c>
      <c r="G188">
        <v>938563</v>
      </c>
      <c r="H188" t="s">
        <v>415</v>
      </c>
      <c r="I188" s="4">
        <v>500</v>
      </c>
      <c r="J188" s="4">
        <v>245</v>
      </c>
    </row>
    <row r="189" spans="1:10" x14ac:dyDescent="0.35">
      <c r="A189">
        <v>3251163009</v>
      </c>
      <c r="B189" t="s">
        <v>572</v>
      </c>
      <c r="C189" t="s">
        <v>603</v>
      </c>
      <c r="D189" t="s">
        <v>445</v>
      </c>
      <c r="E189" t="s">
        <v>600</v>
      </c>
      <c r="F189" t="s">
        <v>504</v>
      </c>
      <c r="G189">
        <v>938568</v>
      </c>
      <c r="H189" t="s">
        <v>433</v>
      </c>
      <c r="I189" s="4">
        <v>672</v>
      </c>
      <c r="J189" s="4">
        <v>30.240000000000002</v>
      </c>
    </row>
    <row r="190" spans="1:10" x14ac:dyDescent="0.35">
      <c r="A190">
        <v>3251163009</v>
      </c>
      <c r="B190" t="s">
        <v>572</v>
      </c>
      <c r="C190" t="s">
        <v>603</v>
      </c>
      <c r="D190" t="s">
        <v>575</v>
      </c>
      <c r="E190" t="s">
        <v>601</v>
      </c>
      <c r="F190" t="s">
        <v>504</v>
      </c>
      <c r="G190">
        <v>938567</v>
      </c>
      <c r="H190" t="s">
        <v>412</v>
      </c>
      <c r="I190" s="4">
        <v>1008</v>
      </c>
      <c r="J190" s="4">
        <v>120.96000000000001</v>
      </c>
    </row>
    <row r="191" spans="1:10" x14ac:dyDescent="0.35">
      <c r="A191">
        <v>3251163009</v>
      </c>
      <c r="B191" t="s">
        <v>572</v>
      </c>
      <c r="C191" t="s">
        <v>603</v>
      </c>
      <c r="D191" t="s">
        <v>449</v>
      </c>
      <c r="E191" t="s">
        <v>602</v>
      </c>
      <c r="F191" t="s">
        <v>504</v>
      </c>
      <c r="G191">
        <v>938566</v>
      </c>
      <c r="H191" t="s">
        <v>415</v>
      </c>
      <c r="I191" s="4">
        <v>400</v>
      </c>
      <c r="J191" s="4">
        <v>196</v>
      </c>
    </row>
    <row r="192" spans="1:10" x14ac:dyDescent="0.35">
      <c r="A192">
        <v>3151271178</v>
      </c>
      <c r="B192" t="s">
        <v>604</v>
      </c>
      <c r="C192" t="s">
        <v>605</v>
      </c>
      <c r="D192" t="s">
        <v>606</v>
      </c>
      <c r="E192" t="s">
        <v>607</v>
      </c>
      <c r="F192" t="s">
        <v>201</v>
      </c>
      <c r="G192">
        <v>947185</v>
      </c>
      <c r="H192" t="s">
        <v>421</v>
      </c>
      <c r="I192" s="4">
        <v>1272</v>
      </c>
      <c r="J192" s="4">
        <v>1049.4000000000001</v>
      </c>
    </row>
    <row r="193" spans="1:10" x14ac:dyDescent="0.35">
      <c r="A193">
        <v>3151271178</v>
      </c>
      <c r="B193" t="s">
        <v>604</v>
      </c>
      <c r="C193" t="s">
        <v>605</v>
      </c>
      <c r="D193" t="s">
        <v>422</v>
      </c>
      <c r="E193" t="s">
        <v>608</v>
      </c>
      <c r="F193" t="s">
        <v>201</v>
      </c>
      <c r="G193">
        <v>947186</v>
      </c>
      <c r="H193" t="s">
        <v>412</v>
      </c>
      <c r="I193" s="4">
        <v>2000</v>
      </c>
      <c r="J193" s="4">
        <v>495</v>
      </c>
    </row>
    <row r="194" spans="1:10" x14ac:dyDescent="0.35">
      <c r="A194">
        <v>3151271178</v>
      </c>
      <c r="B194" t="s">
        <v>604</v>
      </c>
      <c r="C194" t="s">
        <v>605</v>
      </c>
      <c r="D194" t="s">
        <v>427</v>
      </c>
      <c r="E194" t="s">
        <v>609</v>
      </c>
      <c r="F194" t="s">
        <v>201</v>
      </c>
      <c r="G194">
        <v>947184</v>
      </c>
      <c r="H194" t="s">
        <v>415</v>
      </c>
      <c r="I194" s="4">
        <v>1520</v>
      </c>
      <c r="J194" s="4">
        <v>760.76</v>
      </c>
    </row>
    <row r="195" spans="1:10" x14ac:dyDescent="0.35">
      <c r="A195">
        <v>3151271828</v>
      </c>
      <c r="B195" t="s">
        <v>610</v>
      </c>
      <c r="C195" t="s">
        <v>611</v>
      </c>
      <c r="D195" t="s">
        <v>612</v>
      </c>
      <c r="E195" t="s">
        <v>613</v>
      </c>
      <c r="F195" t="s">
        <v>201</v>
      </c>
      <c r="G195">
        <v>943537</v>
      </c>
      <c r="H195" t="s">
        <v>614</v>
      </c>
      <c r="I195" s="4">
        <v>2400</v>
      </c>
      <c r="J195" s="4">
        <v>698.88</v>
      </c>
    </row>
    <row r="196" spans="1:10" x14ac:dyDescent="0.35">
      <c r="A196">
        <v>3151271828</v>
      </c>
      <c r="B196" t="s">
        <v>610</v>
      </c>
      <c r="C196" t="s">
        <v>615</v>
      </c>
      <c r="D196" t="s">
        <v>616</v>
      </c>
      <c r="E196" t="s">
        <v>617</v>
      </c>
      <c r="F196" t="s">
        <v>581</v>
      </c>
      <c r="G196">
        <v>941141</v>
      </c>
      <c r="H196" t="s">
        <v>412</v>
      </c>
      <c r="I196" s="4">
        <v>3528</v>
      </c>
      <c r="J196" s="4">
        <v>556.89479999999992</v>
      </c>
    </row>
    <row r="197" spans="1:10" x14ac:dyDescent="0.35">
      <c r="A197">
        <v>3151271828</v>
      </c>
      <c r="B197" t="s">
        <v>610</v>
      </c>
      <c r="C197" t="s">
        <v>615</v>
      </c>
      <c r="D197" t="s">
        <v>618</v>
      </c>
      <c r="E197" t="s">
        <v>619</v>
      </c>
      <c r="F197" t="s">
        <v>581</v>
      </c>
      <c r="G197">
        <v>941124</v>
      </c>
      <c r="H197" t="s">
        <v>415</v>
      </c>
      <c r="I197" s="4">
        <v>3672</v>
      </c>
      <c r="J197" s="4">
        <v>2333.0419200000001</v>
      </c>
    </row>
    <row r="198" spans="1:10" x14ac:dyDescent="0.35">
      <c r="A198">
        <v>3151271828</v>
      </c>
      <c r="B198" t="s">
        <v>610</v>
      </c>
      <c r="C198" t="s">
        <v>615</v>
      </c>
      <c r="D198" t="s">
        <v>597</v>
      </c>
      <c r="E198" t="s">
        <v>620</v>
      </c>
      <c r="F198" t="s">
        <v>581</v>
      </c>
      <c r="G198">
        <v>941142</v>
      </c>
      <c r="H198" t="s">
        <v>421</v>
      </c>
      <c r="I198" s="4">
        <v>3672</v>
      </c>
      <c r="J198" s="4">
        <v>3271.752</v>
      </c>
    </row>
    <row r="199" spans="1:10" x14ac:dyDescent="0.35">
      <c r="A199">
        <v>3151271828</v>
      </c>
      <c r="B199" t="s">
        <v>610</v>
      </c>
      <c r="C199" t="s">
        <v>621</v>
      </c>
      <c r="D199" t="s">
        <v>616</v>
      </c>
      <c r="E199" t="s">
        <v>617</v>
      </c>
      <c r="F199" t="s">
        <v>504</v>
      </c>
      <c r="G199">
        <v>945821</v>
      </c>
      <c r="H199" t="s">
        <v>412</v>
      </c>
      <c r="I199" s="4">
        <v>1584</v>
      </c>
      <c r="J199" s="4">
        <v>250.03440000000001</v>
      </c>
    </row>
    <row r="200" spans="1:10" x14ac:dyDescent="0.35">
      <c r="A200">
        <v>3151271828</v>
      </c>
      <c r="B200" t="s">
        <v>610</v>
      </c>
      <c r="C200" t="s">
        <v>621</v>
      </c>
      <c r="D200" t="s">
        <v>618</v>
      </c>
      <c r="E200" t="s">
        <v>619</v>
      </c>
      <c r="F200" t="s">
        <v>504</v>
      </c>
      <c r="G200">
        <v>945820</v>
      </c>
      <c r="H200" t="s">
        <v>415</v>
      </c>
      <c r="I200" s="4">
        <v>900</v>
      </c>
      <c r="J200" s="4">
        <v>571.82399999999996</v>
      </c>
    </row>
    <row r="201" spans="1:10" x14ac:dyDescent="0.35">
      <c r="A201">
        <v>3151271828</v>
      </c>
      <c r="B201" t="s">
        <v>610</v>
      </c>
      <c r="C201" t="s">
        <v>621</v>
      </c>
      <c r="D201" t="s">
        <v>597</v>
      </c>
      <c r="E201" t="s">
        <v>620</v>
      </c>
      <c r="F201" t="s">
        <v>504</v>
      </c>
      <c r="G201">
        <v>945822</v>
      </c>
      <c r="H201" t="s">
        <v>421</v>
      </c>
      <c r="I201" s="4">
        <v>900</v>
      </c>
      <c r="J201" s="4">
        <v>801.9</v>
      </c>
    </row>
    <row r="202" spans="1:10" x14ac:dyDescent="0.35">
      <c r="A202">
        <v>3151271971</v>
      </c>
      <c r="B202" t="s">
        <v>622</v>
      </c>
      <c r="C202" t="s">
        <v>623</v>
      </c>
      <c r="D202" t="s">
        <v>624</v>
      </c>
      <c r="E202" t="s">
        <v>625</v>
      </c>
      <c r="F202" t="s">
        <v>420</v>
      </c>
      <c r="G202">
        <v>947773</v>
      </c>
      <c r="H202" t="s">
        <v>614</v>
      </c>
      <c r="I202" s="4">
        <v>50000</v>
      </c>
      <c r="J202" s="4">
        <v>10800</v>
      </c>
    </row>
    <row r="203" spans="1:10" x14ac:dyDescent="0.35">
      <c r="A203">
        <v>3151270714</v>
      </c>
      <c r="B203" t="s">
        <v>626</v>
      </c>
      <c r="C203" t="s">
        <v>627</v>
      </c>
      <c r="D203" t="s">
        <v>624</v>
      </c>
      <c r="E203" t="s">
        <v>628</v>
      </c>
      <c r="F203" t="s">
        <v>420</v>
      </c>
      <c r="G203">
        <v>945430</v>
      </c>
      <c r="H203" t="s">
        <v>614</v>
      </c>
      <c r="I203" s="4">
        <v>5000</v>
      </c>
      <c r="J203" s="4">
        <v>1198.8</v>
      </c>
    </row>
    <row r="204" spans="1:10" x14ac:dyDescent="0.35">
      <c r="A204">
        <v>3151270721</v>
      </c>
      <c r="B204" t="s">
        <v>626</v>
      </c>
      <c r="C204" t="s">
        <v>629</v>
      </c>
      <c r="D204" t="s">
        <v>624</v>
      </c>
      <c r="E204" t="s">
        <v>630</v>
      </c>
      <c r="F204" t="s">
        <v>420</v>
      </c>
      <c r="G204">
        <v>945432</v>
      </c>
      <c r="H204" t="s">
        <v>614</v>
      </c>
      <c r="I204" s="4">
        <v>20000</v>
      </c>
      <c r="J204" s="4">
        <v>4795.2</v>
      </c>
    </row>
    <row r="205" spans="1:10" x14ac:dyDescent="0.35">
      <c r="A205">
        <v>3151270721</v>
      </c>
      <c r="B205" t="s">
        <v>626</v>
      </c>
      <c r="C205" t="s">
        <v>631</v>
      </c>
      <c r="D205" t="s">
        <v>624</v>
      </c>
      <c r="E205" t="s">
        <v>632</v>
      </c>
      <c r="F205" t="s">
        <v>420</v>
      </c>
      <c r="G205">
        <v>945429</v>
      </c>
      <c r="H205" t="s">
        <v>614</v>
      </c>
      <c r="I205" s="4">
        <v>15000</v>
      </c>
      <c r="J205" s="4">
        <v>3596.4</v>
      </c>
    </row>
    <row r="206" spans="1:10" x14ac:dyDescent="0.35">
      <c r="A206">
        <v>3151270721</v>
      </c>
      <c r="B206" t="s">
        <v>626</v>
      </c>
      <c r="C206" t="s">
        <v>633</v>
      </c>
      <c r="D206" t="s">
        <v>624</v>
      </c>
      <c r="E206" t="s">
        <v>634</v>
      </c>
      <c r="F206" t="s">
        <v>420</v>
      </c>
      <c r="G206">
        <v>945433</v>
      </c>
      <c r="H206" t="s">
        <v>614</v>
      </c>
      <c r="I206" s="4">
        <v>15000</v>
      </c>
      <c r="J206" s="4">
        <v>3596.4</v>
      </c>
    </row>
    <row r="207" spans="1:10" x14ac:dyDescent="0.35">
      <c r="A207">
        <v>3151270721</v>
      </c>
      <c r="B207" t="s">
        <v>626</v>
      </c>
      <c r="C207" t="s">
        <v>635</v>
      </c>
      <c r="D207" t="s">
        <v>624</v>
      </c>
      <c r="E207" t="s">
        <v>636</v>
      </c>
      <c r="F207" t="s">
        <v>420</v>
      </c>
      <c r="G207">
        <v>945428</v>
      </c>
      <c r="H207" t="s">
        <v>614</v>
      </c>
      <c r="I207" s="4">
        <v>20000</v>
      </c>
      <c r="J207" s="4">
        <v>4795.2</v>
      </c>
    </row>
    <row r="208" spans="1:10" x14ac:dyDescent="0.35">
      <c r="A208">
        <v>3151270714</v>
      </c>
      <c r="B208" t="s">
        <v>626</v>
      </c>
      <c r="C208" t="s">
        <v>637</v>
      </c>
      <c r="D208" t="s">
        <v>624</v>
      </c>
      <c r="E208" t="s">
        <v>638</v>
      </c>
      <c r="F208" t="s">
        <v>420</v>
      </c>
      <c r="G208">
        <v>945422</v>
      </c>
      <c r="H208" t="s">
        <v>614</v>
      </c>
      <c r="I208" s="4">
        <v>5000</v>
      </c>
      <c r="J208" s="4">
        <v>1198.8</v>
      </c>
    </row>
    <row r="209" spans="1:10" x14ac:dyDescent="0.35">
      <c r="A209">
        <v>3151270721</v>
      </c>
      <c r="B209" t="s">
        <v>626</v>
      </c>
      <c r="C209" t="s">
        <v>639</v>
      </c>
      <c r="D209" t="s">
        <v>624</v>
      </c>
      <c r="E209" t="s">
        <v>640</v>
      </c>
      <c r="F209" t="s">
        <v>420</v>
      </c>
      <c r="G209">
        <v>945427</v>
      </c>
      <c r="H209" t="s">
        <v>614</v>
      </c>
      <c r="I209" s="4">
        <v>15000</v>
      </c>
      <c r="J209" s="4">
        <v>3596.4</v>
      </c>
    </row>
    <row r="210" spans="1:10" x14ac:dyDescent="0.35">
      <c r="A210">
        <v>3151270721</v>
      </c>
      <c r="B210" t="s">
        <v>626</v>
      </c>
      <c r="C210" t="s">
        <v>641</v>
      </c>
      <c r="D210" t="s">
        <v>624</v>
      </c>
      <c r="E210" t="s">
        <v>642</v>
      </c>
      <c r="F210" t="s">
        <v>420</v>
      </c>
      <c r="G210">
        <v>945434</v>
      </c>
      <c r="H210" t="s">
        <v>614</v>
      </c>
      <c r="I210" s="4">
        <v>20000</v>
      </c>
      <c r="J210" s="4">
        <v>4795.2</v>
      </c>
    </row>
    <row r="211" spans="1:10" x14ac:dyDescent="0.35">
      <c r="A211">
        <v>3151270715</v>
      </c>
      <c r="B211" t="s">
        <v>626</v>
      </c>
      <c r="C211" t="s">
        <v>643</v>
      </c>
      <c r="D211" t="s">
        <v>624</v>
      </c>
      <c r="E211" t="s">
        <v>644</v>
      </c>
      <c r="F211" t="s">
        <v>420</v>
      </c>
      <c r="G211">
        <v>945435</v>
      </c>
      <c r="H211" t="s">
        <v>614</v>
      </c>
      <c r="I211" s="4">
        <v>5000</v>
      </c>
      <c r="J211" s="4">
        <v>1198.8</v>
      </c>
    </row>
    <row r="212" spans="1:10" x14ac:dyDescent="0.35">
      <c r="A212">
        <v>3151272177</v>
      </c>
      <c r="B212" t="s">
        <v>645</v>
      </c>
      <c r="C212" t="s">
        <v>646</v>
      </c>
      <c r="D212" t="s">
        <v>647</v>
      </c>
      <c r="E212" t="s">
        <v>648</v>
      </c>
      <c r="G212">
        <v>932676</v>
      </c>
      <c r="H212" t="s">
        <v>649</v>
      </c>
      <c r="I212" s="4">
        <v>7104</v>
      </c>
      <c r="J212" s="4">
        <v>345.55276800000007</v>
      </c>
    </row>
    <row r="213" spans="1:10" x14ac:dyDescent="0.35">
      <c r="A213">
        <v>3151272258</v>
      </c>
      <c r="B213" t="s">
        <v>645</v>
      </c>
      <c r="C213" t="s">
        <v>646</v>
      </c>
      <c r="D213" t="s">
        <v>647</v>
      </c>
      <c r="E213" t="s">
        <v>648</v>
      </c>
      <c r="F213" t="s">
        <v>201</v>
      </c>
      <c r="G213">
        <v>932676</v>
      </c>
      <c r="H213" t="s">
        <v>649</v>
      </c>
      <c r="I213" s="4">
        <v>4032</v>
      </c>
      <c r="J213" s="4">
        <v>196.12454400000001</v>
      </c>
    </row>
    <row r="214" spans="1:10" x14ac:dyDescent="0.35">
      <c r="A214">
        <v>3151271881</v>
      </c>
      <c r="B214" t="s">
        <v>645</v>
      </c>
      <c r="C214" t="s">
        <v>646</v>
      </c>
      <c r="D214" t="s">
        <v>647</v>
      </c>
      <c r="E214" t="s">
        <v>648</v>
      </c>
      <c r="F214" t="s">
        <v>201</v>
      </c>
      <c r="G214">
        <v>932676</v>
      </c>
      <c r="H214" t="s">
        <v>649</v>
      </c>
      <c r="I214" s="4">
        <v>12672</v>
      </c>
      <c r="J214" s="4">
        <v>616.39142400000003</v>
      </c>
    </row>
    <row r="215" spans="1:10" x14ac:dyDescent="0.35">
      <c r="A215">
        <v>3151272177</v>
      </c>
      <c r="B215" t="s">
        <v>645</v>
      </c>
      <c r="C215" t="s">
        <v>646</v>
      </c>
      <c r="D215" t="s">
        <v>650</v>
      </c>
      <c r="E215" t="s">
        <v>651</v>
      </c>
      <c r="G215">
        <v>925820</v>
      </c>
      <c r="H215" t="s">
        <v>433</v>
      </c>
      <c r="I215" s="4">
        <v>2048</v>
      </c>
      <c r="J215" s="4">
        <v>226.40639999999999</v>
      </c>
    </row>
    <row r="216" spans="1:10" x14ac:dyDescent="0.35">
      <c r="A216">
        <v>3151272258</v>
      </c>
      <c r="B216" t="s">
        <v>645</v>
      </c>
      <c r="C216" t="s">
        <v>646</v>
      </c>
      <c r="D216" t="s">
        <v>650</v>
      </c>
      <c r="E216" t="s">
        <v>651</v>
      </c>
      <c r="F216" t="s">
        <v>201</v>
      </c>
      <c r="G216">
        <v>925820</v>
      </c>
      <c r="H216" t="s">
        <v>433</v>
      </c>
      <c r="I216" s="4">
        <v>2496</v>
      </c>
      <c r="J216" s="4">
        <v>275.93279999999999</v>
      </c>
    </row>
    <row r="217" spans="1:10" x14ac:dyDescent="0.35">
      <c r="A217">
        <v>3151271881</v>
      </c>
      <c r="B217" t="s">
        <v>645</v>
      </c>
      <c r="C217" t="s">
        <v>646</v>
      </c>
      <c r="D217" t="s">
        <v>650</v>
      </c>
      <c r="E217" t="s">
        <v>651</v>
      </c>
      <c r="F217" t="s">
        <v>201</v>
      </c>
      <c r="G217">
        <v>925820</v>
      </c>
      <c r="H217" t="s">
        <v>433</v>
      </c>
      <c r="I217" s="4">
        <v>6144</v>
      </c>
      <c r="J217" s="4">
        <v>679.2192</v>
      </c>
    </row>
    <row r="218" spans="1:10" x14ac:dyDescent="0.35">
      <c r="A218">
        <v>3151272177</v>
      </c>
      <c r="B218" t="s">
        <v>645</v>
      </c>
      <c r="C218" t="s">
        <v>646</v>
      </c>
      <c r="D218" t="s">
        <v>447</v>
      </c>
      <c r="E218" t="s">
        <v>652</v>
      </c>
      <c r="G218">
        <v>925201</v>
      </c>
      <c r="H218" t="s">
        <v>412</v>
      </c>
      <c r="I218" s="4">
        <v>7056</v>
      </c>
      <c r="J218" s="4">
        <v>2363.7600000000002</v>
      </c>
    </row>
    <row r="219" spans="1:10" x14ac:dyDescent="0.35">
      <c r="A219">
        <v>3151272258</v>
      </c>
      <c r="B219" t="s">
        <v>645</v>
      </c>
      <c r="C219" t="s">
        <v>646</v>
      </c>
      <c r="D219" t="s">
        <v>447</v>
      </c>
      <c r="E219" t="s">
        <v>652</v>
      </c>
      <c r="F219" t="s">
        <v>201</v>
      </c>
      <c r="G219">
        <v>925201</v>
      </c>
      <c r="H219" t="s">
        <v>412</v>
      </c>
      <c r="I219" s="4">
        <v>1820</v>
      </c>
      <c r="J219" s="4">
        <v>609.70000000000005</v>
      </c>
    </row>
    <row r="220" spans="1:10" x14ac:dyDescent="0.35">
      <c r="A220">
        <v>3151271881</v>
      </c>
      <c r="B220" t="s">
        <v>645</v>
      </c>
      <c r="C220" t="s">
        <v>646</v>
      </c>
      <c r="D220" t="s">
        <v>447</v>
      </c>
      <c r="E220" t="s">
        <v>652</v>
      </c>
      <c r="F220" t="s">
        <v>201</v>
      </c>
      <c r="G220">
        <v>925201</v>
      </c>
      <c r="H220" t="s">
        <v>412</v>
      </c>
      <c r="I220" s="4">
        <v>8904</v>
      </c>
      <c r="J220" s="4">
        <v>2982.84</v>
      </c>
    </row>
    <row r="221" spans="1:10" x14ac:dyDescent="0.35">
      <c r="A221">
        <v>3151272177</v>
      </c>
      <c r="B221" t="s">
        <v>645</v>
      </c>
      <c r="C221" t="s">
        <v>646</v>
      </c>
      <c r="D221" t="s">
        <v>653</v>
      </c>
      <c r="E221" t="s">
        <v>654</v>
      </c>
      <c r="G221">
        <v>923479</v>
      </c>
      <c r="H221" t="s">
        <v>415</v>
      </c>
      <c r="I221" s="4">
        <v>1800</v>
      </c>
      <c r="J221" s="4">
        <v>795.96</v>
      </c>
    </row>
    <row r="222" spans="1:10" x14ac:dyDescent="0.35">
      <c r="A222">
        <v>3151272258</v>
      </c>
      <c r="B222" t="s">
        <v>645</v>
      </c>
      <c r="C222" t="s">
        <v>646</v>
      </c>
      <c r="D222" t="s">
        <v>653</v>
      </c>
      <c r="E222" t="s">
        <v>654</v>
      </c>
      <c r="F222" t="s">
        <v>201</v>
      </c>
      <c r="G222">
        <v>923479</v>
      </c>
      <c r="H222" t="s">
        <v>415</v>
      </c>
      <c r="I222" s="4">
        <v>1340</v>
      </c>
      <c r="J222" s="4">
        <v>592.548</v>
      </c>
    </row>
    <row r="223" spans="1:10" x14ac:dyDescent="0.35">
      <c r="A223">
        <v>3151271881</v>
      </c>
      <c r="B223" t="s">
        <v>645</v>
      </c>
      <c r="C223" t="s">
        <v>646</v>
      </c>
      <c r="D223" t="s">
        <v>653</v>
      </c>
      <c r="E223" t="s">
        <v>654</v>
      </c>
      <c r="F223" t="s">
        <v>201</v>
      </c>
      <c r="G223">
        <v>923479</v>
      </c>
      <c r="H223" t="s">
        <v>415</v>
      </c>
      <c r="I223" s="4">
        <v>6880</v>
      </c>
      <c r="J223" s="4">
        <v>3042.3360000000002</v>
      </c>
    </row>
    <row r="224" spans="1:10" x14ac:dyDescent="0.35">
      <c r="A224">
        <v>3151272177</v>
      </c>
      <c r="B224" t="s">
        <v>645</v>
      </c>
      <c r="C224" t="s">
        <v>646</v>
      </c>
      <c r="D224" t="s">
        <v>449</v>
      </c>
      <c r="E224" t="s">
        <v>655</v>
      </c>
      <c r="G224">
        <v>923478</v>
      </c>
      <c r="H224" t="s">
        <v>415</v>
      </c>
      <c r="I224" s="4">
        <v>8160</v>
      </c>
      <c r="J224" s="4">
        <v>5357.8559999999998</v>
      </c>
    </row>
    <row r="225" spans="1:10" x14ac:dyDescent="0.35">
      <c r="A225">
        <v>3151272258</v>
      </c>
      <c r="B225" t="s">
        <v>645</v>
      </c>
      <c r="C225" t="s">
        <v>646</v>
      </c>
      <c r="D225" t="s">
        <v>449</v>
      </c>
      <c r="E225" t="s">
        <v>655</v>
      </c>
      <c r="F225" t="s">
        <v>201</v>
      </c>
      <c r="G225">
        <v>923478</v>
      </c>
      <c r="H225" t="s">
        <v>415</v>
      </c>
      <c r="I225" s="4">
        <v>1296</v>
      </c>
      <c r="J225" s="4">
        <v>850.95360000000005</v>
      </c>
    </row>
    <row r="226" spans="1:10" x14ac:dyDescent="0.35">
      <c r="A226">
        <v>3151271881</v>
      </c>
      <c r="B226" t="s">
        <v>645</v>
      </c>
      <c r="C226" t="s">
        <v>646</v>
      </c>
      <c r="D226" t="s">
        <v>449</v>
      </c>
      <c r="E226" t="s">
        <v>655</v>
      </c>
      <c r="F226" t="s">
        <v>201</v>
      </c>
      <c r="G226">
        <v>923478</v>
      </c>
      <c r="H226" t="s">
        <v>415</v>
      </c>
      <c r="I226" s="4">
        <v>5184</v>
      </c>
      <c r="J226" s="4">
        <v>3403.8144000000002</v>
      </c>
    </row>
    <row r="227" spans="1:10" x14ac:dyDescent="0.35">
      <c r="A227">
        <v>3151271033</v>
      </c>
      <c r="B227" t="s">
        <v>656</v>
      </c>
      <c r="C227" t="s">
        <v>657</v>
      </c>
      <c r="D227" t="s">
        <v>445</v>
      </c>
      <c r="E227" t="s">
        <v>658</v>
      </c>
      <c r="G227">
        <v>936914</v>
      </c>
      <c r="H227" t="s">
        <v>433</v>
      </c>
      <c r="I227" s="4">
        <v>10464</v>
      </c>
      <c r="J227" s="4">
        <v>566.93952000000002</v>
      </c>
    </row>
    <row r="228" spans="1:10" x14ac:dyDescent="0.35">
      <c r="A228">
        <v>3151271356</v>
      </c>
      <c r="B228" t="s">
        <v>656</v>
      </c>
      <c r="C228" t="s">
        <v>657</v>
      </c>
      <c r="D228" t="s">
        <v>445</v>
      </c>
      <c r="E228" t="s">
        <v>658</v>
      </c>
      <c r="G228">
        <v>936914</v>
      </c>
      <c r="H228" t="s">
        <v>433</v>
      </c>
      <c r="I228" s="4">
        <v>5112</v>
      </c>
      <c r="J228" s="4">
        <v>276.96815999999995</v>
      </c>
    </row>
    <row r="229" spans="1:10" x14ac:dyDescent="0.35">
      <c r="A229">
        <v>3151271491</v>
      </c>
      <c r="B229" t="s">
        <v>656</v>
      </c>
      <c r="C229" t="s">
        <v>657</v>
      </c>
      <c r="D229" t="s">
        <v>445</v>
      </c>
      <c r="E229" t="s">
        <v>658</v>
      </c>
      <c r="F229" t="s">
        <v>201</v>
      </c>
      <c r="G229">
        <v>936914</v>
      </c>
      <c r="H229" t="s">
        <v>433</v>
      </c>
      <c r="I229" s="4">
        <v>14304</v>
      </c>
      <c r="J229" s="4">
        <v>774.99072000000001</v>
      </c>
    </row>
    <row r="230" spans="1:10" x14ac:dyDescent="0.35">
      <c r="A230">
        <v>3251165221</v>
      </c>
      <c r="B230" t="s">
        <v>656</v>
      </c>
      <c r="C230" t="s">
        <v>657</v>
      </c>
      <c r="D230" t="s">
        <v>447</v>
      </c>
      <c r="E230" t="s">
        <v>659</v>
      </c>
      <c r="G230">
        <v>936915</v>
      </c>
      <c r="H230" t="s">
        <v>412</v>
      </c>
      <c r="I230" s="4">
        <v>1920</v>
      </c>
      <c r="J230" s="4">
        <v>576.57600000000002</v>
      </c>
    </row>
    <row r="231" spans="1:10" x14ac:dyDescent="0.35">
      <c r="A231">
        <v>3151271033</v>
      </c>
      <c r="B231" t="s">
        <v>656</v>
      </c>
      <c r="C231" t="s">
        <v>657</v>
      </c>
      <c r="D231" t="s">
        <v>447</v>
      </c>
      <c r="E231" t="s">
        <v>659</v>
      </c>
      <c r="G231">
        <v>936915</v>
      </c>
      <c r="H231" t="s">
        <v>412</v>
      </c>
      <c r="I231" s="4">
        <v>3744</v>
      </c>
      <c r="J231" s="4">
        <v>1124.3232</v>
      </c>
    </row>
    <row r="232" spans="1:10" x14ac:dyDescent="0.35">
      <c r="A232">
        <v>3151271356</v>
      </c>
      <c r="B232" t="s">
        <v>656</v>
      </c>
      <c r="C232" t="s">
        <v>657</v>
      </c>
      <c r="D232" t="s">
        <v>447</v>
      </c>
      <c r="E232" t="s">
        <v>659</v>
      </c>
      <c r="G232">
        <v>936915</v>
      </c>
      <c r="H232" t="s">
        <v>412</v>
      </c>
      <c r="I232" s="4">
        <v>2556</v>
      </c>
      <c r="J232" s="4">
        <v>767.56680000000006</v>
      </c>
    </row>
    <row r="233" spans="1:10" x14ac:dyDescent="0.35">
      <c r="A233">
        <v>3151271491</v>
      </c>
      <c r="B233" t="s">
        <v>656</v>
      </c>
      <c r="C233" t="s">
        <v>657</v>
      </c>
      <c r="D233" t="s">
        <v>447</v>
      </c>
      <c r="E233" t="s">
        <v>659</v>
      </c>
      <c r="F233" t="s">
        <v>201</v>
      </c>
      <c r="G233">
        <v>936915</v>
      </c>
      <c r="H233" t="s">
        <v>412</v>
      </c>
      <c r="I233" s="4">
        <v>5580</v>
      </c>
      <c r="J233" s="4">
        <v>1675.674</v>
      </c>
    </row>
    <row r="234" spans="1:10" x14ac:dyDescent="0.35">
      <c r="A234">
        <v>3251165221</v>
      </c>
      <c r="B234" t="s">
        <v>656</v>
      </c>
      <c r="C234" t="s">
        <v>657</v>
      </c>
      <c r="D234" t="s">
        <v>449</v>
      </c>
      <c r="E234" t="s">
        <v>660</v>
      </c>
      <c r="G234">
        <v>936916</v>
      </c>
      <c r="H234" t="s">
        <v>415</v>
      </c>
      <c r="I234" s="4">
        <v>1200</v>
      </c>
      <c r="J234" s="4">
        <v>706.10400000000004</v>
      </c>
    </row>
    <row r="235" spans="1:10" x14ac:dyDescent="0.35">
      <c r="A235">
        <v>3151271033</v>
      </c>
      <c r="B235" t="s">
        <v>656</v>
      </c>
      <c r="C235" t="s">
        <v>657</v>
      </c>
      <c r="D235" t="s">
        <v>449</v>
      </c>
      <c r="E235" t="s">
        <v>660</v>
      </c>
      <c r="G235">
        <v>936916</v>
      </c>
      <c r="H235" t="s">
        <v>415</v>
      </c>
      <c r="I235" s="4">
        <v>3816</v>
      </c>
      <c r="J235" s="4">
        <v>2245.4107199999999</v>
      </c>
    </row>
    <row r="236" spans="1:10" x14ac:dyDescent="0.35">
      <c r="A236">
        <v>3151271356</v>
      </c>
      <c r="B236" t="s">
        <v>656</v>
      </c>
      <c r="C236" t="s">
        <v>657</v>
      </c>
      <c r="D236" t="s">
        <v>449</v>
      </c>
      <c r="E236" t="s">
        <v>660</v>
      </c>
      <c r="G236">
        <v>936916</v>
      </c>
      <c r="H236" t="s">
        <v>415</v>
      </c>
      <c r="I236" s="4">
        <v>2556</v>
      </c>
      <c r="J236" s="4">
        <v>1504.0015199999998</v>
      </c>
    </row>
    <row r="237" spans="1:10" x14ac:dyDescent="0.35">
      <c r="A237">
        <v>3151271491</v>
      </c>
      <c r="B237" t="s">
        <v>656</v>
      </c>
      <c r="C237" t="s">
        <v>657</v>
      </c>
      <c r="D237" t="s">
        <v>449</v>
      </c>
      <c r="E237" t="s">
        <v>660</v>
      </c>
      <c r="F237" t="s">
        <v>201</v>
      </c>
      <c r="G237">
        <v>936916</v>
      </c>
      <c r="H237" t="s">
        <v>415</v>
      </c>
      <c r="I237" s="4">
        <v>5496</v>
      </c>
      <c r="J237" s="4">
        <v>3233.9563199999998</v>
      </c>
    </row>
    <row r="238" spans="1:10" x14ac:dyDescent="0.35">
      <c r="A238">
        <v>3151271033</v>
      </c>
      <c r="B238" t="s">
        <v>656</v>
      </c>
      <c r="C238" t="s">
        <v>657</v>
      </c>
      <c r="D238" t="s">
        <v>457</v>
      </c>
      <c r="E238" t="s">
        <v>661</v>
      </c>
      <c r="G238">
        <v>936917</v>
      </c>
      <c r="H238" t="s">
        <v>421</v>
      </c>
      <c r="I238" s="4">
        <v>2640</v>
      </c>
      <c r="J238" s="4">
        <v>2139.8256000000001</v>
      </c>
    </row>
    <row r="239" spans="1:10" x14ac:dyDescent="0.35">
      <c r="A239">
        <v>3151271491</v>
      </c>
      <c r="B239" t="s">
        <v>656</v>
      </c>
      <c r="C239" t="s">
        <v>657</v>
      </c>
      <c r="D239" t="s">
        <v>457</v>
      </c>
      <c r="E239" t="s">
        <v>661</v>
      </c>
      <c r="F239" t="s">
        <v>201</v>
      </c>
      <c r="G239">
        <v>936917</v>
      </c>
      <c r="H239" t="s">
        <v>421</v>
      </c>
      <c r="I239" s="4">
        <v>4620</v>
      </c>
      <c r="J239" s="4">
        <v>3744.6947999999998</v>
      </c>
    </row>
    <row r="240" spans="1:10" x14ac:dyDescent="0.35">
      <c r="A240">
        <v>3151271033</v>
      </c>
      <c r="B240" t="s">
        <v>656</v>
      </c>
      <c r="C240" t="s">
        <v>662</v>
      </c>
      <c r="D240" t="s">
        <v>445</v>
      </c>
      <c r="E240" t="s">
        <v>663</v>
      </c>
      <c r="G240">
        <v>939009</v>
      </c>
      <c r="H240" t="s">
        <v>433</v>
      </c>
      <c r="I240" s="4">
        <v>1920</v>
      </c>
      <c r="J240" s="4">
        <v>103.68</v>
      </c>
    </row>
    <row r="241" spans="1:10" x14ac:dyDescent="0.35">
      <c r="A241">
        <v>3151271491</v>
      </c>
      <c r="B241" t="s">
        <v>656</v>
      </c>
      <c r="C241" t="s">
        <v>662</v>
      </c>
      <c r="D241" t="s">
        <v>445</v>
      </c>
      <c r="E241" t="s">
        <v>663</v>
      </c>
      <c r="F241" t="s">
        <v>201</v>
      </c>
      <c r="G241">
        <v>939009</v>
      </c>
      <c r="H241" t="s">
        <v>433</v>
      </c>
      <c r="I241" s="4">
        <v>3840</v>
      </c>
      <c r="J241" s="4">
        <v>207.36</v>
      </c>
    </row>
    <row r="242" spans="1:10" x14ac:dyDescent="0.35">
      <c r="A242">
        <v>3151271033</v>
      </c>
      <c r="B242" t="s">
        <v>656</v>
      </c>
      <c r="C242" t="s">
        <v>662</v>
      </c>
      <c r="D242" t="s">
        <v>447</v>
      </c>
      <c r="E242" t="s">
        <v>664</v>
      </c>
      <c r="G242">
        <v>939007</v>
      </c>
      <c r="H242" t="s">
        <v>412</v>
      </c>
      <c r="I242" s="4">
        <v>684</v>
      </c>
      <c r="J242" s="4">
        <v>205.20000000000002</v>
      </c>
    </row>
    <row r="243" spans="1:10" x14ac:dyDescent="0.35">
      <c r="A243">
        <v>3151271491</v>
      </c>
      <c r="B243" t="s">
        <v>656</v>
      </c>
      <c r="C243" t="s">
        <v>662</v>
      </c>
      <c r="D243" t="s">
        <v>447</v>
      </c>
      <c r="E243" t="s">
        <v>664</v>
      </c>
      <c r="F243" t="s">
        <v>201</v>
      </c>
      <c r="G243">
        <v>939007</v>
      </c>
      <c r="H243" t="s">
        <v>412</v>
      </c>
      <c r="I243" s="4">
        <v>1476</v>
      </c>
      <c r="J243" s="4">
        <v>442.8</v>
      </c>
    </row>
    <row r="244" spans="1:10" x14ac:dyDescent="0.35">
      <c r="A244">
        <v>3151271033</v>
      </c>
      <c r="B244" t="s">
        <v>656</v>
      </c>
      <c r="C244" t="s">
        <v>662</v>
      </c>
      <c r="D244" t="s">
        <v>449</v>
      </c>
      <c r="E244" t="s">
        <v>665</v>
      </c>
      <c r="G244">
        <v>939006</v>
      </c>
      <c r="H244" t="s">
        <v>415</v>
      </c>
      <c r="I244" s="4">
        <v>384</v>
      </c>
      <c r="J244" s="4">
        <v>225.792</v>
      </c>
    </row>
    <row r="245" spans="1:10" x14ac:dyDescent="0.35">
      <c r="A245">
        <v>3151271491</v>
      </c>
      <c r="B245" t="s">
        <v>656</v>
      </c>
      <c r="C245" t="s">
        <v>662</v>
      </c>
      <c r="D245" t="s">
        <v>449</v>
      </c>
      <c r="E245" t="s">
        <v>665</v>
      </c>
      <c r="F245" t="s">
        <v>201</v>
      </c>
      <c r="G245">
        <v>939006</v>
      </c>
      <c r="H245" t="s">
        <v>415</v>
      </c>
      <c r="I245" s="4">
        <v>768</v>
      </c>
      <c r="J245" s="4">
        <v>451.584</v>
      </c>
    </row>
    <row r="246" spans="1:10" x14ac:dyDescent="0.35">
      <c r="A246">
        <v>3151271033</v>
      </c>
      <c r="B246" t="s">
        <v>656</v>
      </c>
      <c r="C246" t="s">
        <v>662</v>
      </c>
      <c r="D246" t="s">
        <v>457</v>
      </c>
      <c r="E246" t="s">
        <v>666</v>
      </c>
      <c r="G246">
        <v>939008</v>
      </c>
      <c r="H246" t="s">
        <v>421</v>
      </c>
      <c r="I246" s="4">
        <v>345</v>
      </c>
      <c r="J246" s="4">
        <v>279.45</v>
      </c>
    </row>
    <row r="247" spans="1:10" x14ac:dyDescent="0.35">
      <c r="A247">
        <v>3151271491</v>
      </c>
      <c r="B247" t="s">
        <v>656</v>
      </c>
      <c r="C247" t="s">
        <v>662</v>
      </c>
      <c r="D247" t="s">
        <v>457</v>
      </c>
      <c r="E247" t="s">
        <v>666</v>
      </c>
      <c r="F247" t="s">
        <v>201</v>
      </c>
      <c r="G247">
        <v>939008</v>
      </c>
      <c r="H247" t="s">
        <v>421</v>
      </c>
      <c r="I247" s="4">
        <v>705</v>
      </c>
      <c r="J247" s="4">
        <v>571.05000000000007</v>
      </c>
    </row>
    <row r="248" spans="1:10" x14ac:dyDescent="0.35">
      <c r="A248">
        <v>3151272086</v>
      </c>
      <c r="B248" t="s">
        <v>667</v>
      </c>
      <c r="C248" t="s">
        <v>668</v>
      </c>
      <c r="D248" t="s">
        <v>669</v>
      </c>
      <c r="E248" t="s">
        <v>670</v>
      </c>
      <c r="F248" t="s">
        <v>201</v>
      </c>
      <c r="G248">
        <v>937155</v>
      </c>
      <c r="H248" t="s">
        <v>412</v>
      </c>
      <c r="I248" s="4">
        <v>9000</v>
      </c>
      <c r="J248" s="4">
        <v>1270.836</v>
      </c>
    </row>
    <row r="249" spans="1:10" x14ac:dyDescent="0.35">
      <c r="A249">
        <v>3151272086</v>
      </c>
      <c r="B249" t="s">
        <v>667</v>
      </c>
      <c r="C249" t="s">
        <v>668</v>
      </c>
      <c r="D249" t="s">
        <v>671</v>
      </c>
      <c r="E249" t="s">
        <v>672</v>
      </c>
      <c r="F249" t="s">
        <v>201</v>
      </c>
      <c r="G249">
        <v>937095</v>
      </c>
      <c r="H249" t="s">
        <v>415</v>
      </c>
      <c r="I249" s="4">
        <v>11760</v>
      </c>
      <c r="J249" s="4">
        <v>4736.6927999999998</v>
      </c>
    </row>
    <row r="250" spans="1:10" x14ac:dyDescent="0.35">
      <c r="A250">
        <v>3151272583</v>
      </c>
      <c r="B250" t="s">
        <v>673</v>
      </c>
      <c r="C250" t="s">
        <v>674</v>
      </c>
      <c r="D250" t="s">
        <v>410</v>
      </c>
      <c r="E250" t="s">
        <v>675</v>
      </c>
      <c r="F250" t="s">
        <v>201</v>
      </c>
      <c r="G250">
        <v>949731</v>
      </c>
      <c r="H250" t="s">
        <v>614</v>
      </c>
      <c r="I250" s="4">
        <v>1104</v>
      </c>
      <c r="J250" s="4">
        <v>370.94400000000002</v>
      </c>
    </row>
    <row r="251" spans="1:10" x14ac:dyDescent="0.35">
      <c r="A251">
        <v>3151272515</v>
      </c>
      <c r="B251" t="s">
        <v>673</v>
      </c>
      <c r="C251" t="s">
        <v>676</v>
      </c>
      <c r="D251" t="s">
        <v>677</v>
      </c>
      <c r="E251" t="s">
        <v>678</v>
      </c>
      <c r="F251" t="s">
        <v>201</v>
      </c>
      <c r="G251">
        <v>949607</v>
      </c>
      <c r="H251" t="s">
        <v>421</v>
      </c>
      <c r="I251" s="4">
        <v>1968</v>
      </c>
      <c r="J251" s="4">
        <v>3011.04</v>
      </c>
    </row>
    <row r="252" spans="1:10" x14ac:dyDescent="0.35">
      <c r="A252">
        <v>3151272515</v>
      </c>
      <c r="B252" t="s">
        <v>673</v>
      </c>
      <c r="C252" t="s">
        <v>676</v>
      </c>
      <c r="D252" t="s">
        <v>445</v>
      </c>
      <c r="E252" t="s">
        <v>679</v>
      </c>
      <c r="F252" t="s">
        <v>201</v>
      </c>
      <c r="G252">
        <v>949623</v>
      </c>
      <c r="H252" t="s">
        <v>433</v>
      </c>
      <c r="I252" s="4">
        <v>9792</v>
      </c>
      <c r="J252" s="4">
        <v>749.08799999999997</v>
      </c>
    </row>
    <row r="253" spans="1:10" x14ac:dyDescent="0.35">
      <c r="A253">
        <v>3151272515</v>
      </c>
      <c r="B253" t="s">
        <v>673</v>
      </c>
      <c r="C253" t="s">
        <v>676</v>
      </c>
      <c r="D253" t="s">
        <v>680</v>
      </c>
      <c r="E253" t="s">
        <v>681</v>
      </c>
      <c r="F253" t="s">
        <v>201</v>
      </c>
      <c r="G253">
        <v>949609</v>
      </c>
      <c r="H253" t="s">
        <v>412</v>
      </c>
      <c r="I253" s="4">
        <v>4212</v>
      </c>
      <c r="J253" s="4">
        <v>930.85199999999998</v>
      </c>
    </row>
    <row r="254" spans="1:10" x14ac:dyDescent="0.35">
      <c r="A254">
        <v>3151272515</v>
      </c>
      <c r="B254" t="s">
        <v>673</v>
      </c>
      <c r="C254" t="s">
        <v>676</v>
      </c>
      <c r="D254" t="s">
        <v>422</v>
      </c>
      <c r="E254" t="s">
        <v>682</v>
      </c>
      <c r="F254" t="s">
        <v>201</v>
      </c>
      <c r="G254">
        <v>949608</v>
      </c>
      <c r="H254" t="s">
        <v>412</v>
      </c>
      <c r="I254" s="4">
        <v>4656</v>
      </c>
      <c r="J254" s="4">
        <v>1780.92</v>
      </c>
    </row>
    <row r="255" spans="1:10" x14ac:dyDescent="0.35">
      <c r="A255">
        <v>3151272515</v>
      </c>
      <c r="B255" t="s">
        <v>673</v>
      </c>
      <c r="C255" t="s">
        <v>676</v>
      </c>
      <c r="D255" t="s">
        <v>683</v>
      </c>
      <c r="E255" t="s">
        <v>684</v>
      </c>
      <c r="F255" t="s">
        <v>201</v>
      </c>
      <c r="G255">
        <v>949603</v>
      </c>
      <c r="H255" t="s">
        <v>415</v>
      </c>
      <c r="I255" s="4">
        <v>3420</v>
      </c>
      <c r="J255" s="4">
        <v>2747.2860000000001</v>
      </c>
    </row>
    <row r="256" spans="1:10" x14ac:dyDescent="0.35">
      <c r="A256">
        <v>3151272515</v>
      </c>
      <c r="B256" t="s">
        <v>673</v>
      </c>
      <c r="C256" t="s">
        <v>676</v>
      </c>
      <c r="D256" t="s">
        <v>451</v>
      </c>
      <c r="E256" t="s">
        <v>685</v>
      </c>
      <c r="F256" t="s">
        <v>201</v>
      </c>
      <c r="G256">
        <v>949606</v>
      </c>
      <c r="H256" t="s">
        <v>421</v>
      </c>
      <c r="I256" s="4">
        <v>2920</v>
      </c>
      <c r="J256" s="4">
        <v>3574.08</v>
      </c>
    </row>
    <row r="257" spans="1:10" x14ac:dyDescent="0.35">
      <c r="A257">
        <v>3151272335</v>
      </c>
      <c r="B257" t="s">
        <v>673</v>
      </c>
      <c r="C257" t="s">
        <v>686</v>
      </c>
      <c r="D257" t="s">
        <v>445</v>
      </c>
      <c r="E257" t="s">
        <v>687</v>
      </c>
      <c r="G257">
        <v>948365</v>
      </c>
      <c r="H257" t="s">
        <v>433</v>
      </c>
      <c r="I257" s="4">
        <v>10080</v>
      </c>
      <c r="J257" s="4">
        <v>642.096</v>
      </c>
    </row>
    <row r="258" spans="1:10" x14ac:dyDescent="0.35">
      <c r="A258">
        <v>3151272505</v>
      </c>
      <c r="B258" t="s">
        <v>673</v>
      </c>
      <c r="C258" t="s">
        <v>686</v>
      </c>
      <c r="D258" t="s">
        <v>445</v>
      </c>
      <c r="E258" t="s">
        <v>687</v>
      </c>
      <c r="F258" t="s">
        <v>201</v>
      </c>
      <c r="G258">
        <v>941641</v>
      </c>
      <c r="H258" t="s">
        <v>433</v>
      </c>
      <c r="I258" s="4">
        <v>6600</v>
      </c>
      <c r="J258" s="4">
        <v>420.42</v>
      </c>
    </row>
    <row r="259" spans="1:10" x14ac:dyDescent="0.35">
      <c r="A259">
        <v>3151272710</v>
      </c>
      <c r="B259" t="s">
        <v>673</v>
      </c>
      <c r="C259" t="s">
        <v>686</v>
      </c>
      <c r="D259" t="s">
        <v>445</v>
      </c>
      <c r="E259" t="s">
        <v>687</v>
      </c>
      <c r="G259">
        <v>948365</v>
      </c>
      <c r="H259" t="s">
        <v>433</v>
      </c>
      <c r="I259" s="4">
        <v>1320</v>
      </c>
      <c r="J259" s="4">
        <v>84.084000000000003</v>
      </c>
    </row>
    <row r="260" spans="1:10" x14ac:dyDescent="0.35">
      <c r="A260">
        <v>3151272323</v>
      </c>
      <c r="B260" t="s">
        <v>673</v>
      </c>
      <c r="C260" t="s">
        <v>686</v>
      </c>
      <c r="D260" t="s">
        <v>410</v>
      </c>
      <c r="E260" t="s">
        <v>688</v>
      </c>
      <c r="G260">
        <v>941646</v>
      </c>
      <c r="H260" t="s">
        <v>614</v>
      </c>
      <c r="I260" s="4">
        <v>2472</v>
      </c>
      <c r="J260" s="4">
        <v>830.59199999999998</v>
      </c>
    </row>
    <row r="261" spans="1:10" x14ac:dyDescent="0.35">
      <c r="A261">
        <v>3151272506</v>
      </c>
      <c r="B261" t="s">
        <v>673</v>
      </c>
      <c r="C261" t="s">
        <v>686</v>
      </c>
      <c r="D261" t="s">
        <v>410</v>
      </c>
      <c r="E261" t="s">
        <v>688</v>
      </c>
      <c r="F261" t="s">
        <v>201</v>
      </c>
      <c r="G261">
        <v>941646</v>
      </c>
      <c r="H261" t="s">
        <v>614</v>
      </c>
      <c r="I261" s="4">
        <v>2088</v>
      </c>
      <c r="J261" s="4">
        <v>701.56799999999998</v>
      </c>
    </row>
    <row r="262" spans="1:10" x14ac:dyDescent="0.35">
      <c r="A262">
        <v>3151272335</v>
      </c>
      <c r="B262" t="s">
        <v>673</v>
      </c>
      <c r="C262" t="s">
        <v>686</v>
      </c>
      <c r="D262" t="s">
        <v>422</v>
      </c>
      <c r="E262" t="s">
        <v>689</v>
      </c>
      <c r="G262">
        <v>948360</v>
      </c>
      <c r="H262" t="s">
        <v>412</v>
      </c>
      <c r="I262" s="4">
        <v>6948</v>
      </c>
      <c r="J262" s="4">
        <v>2160.828</v>
      </c>
    </row>
    <row r="263" spans="1:10" x14ac:dyDescent="0.35">
      <c r="A263">
        <v>3151272505</v>
      </c>
      <c r="B263" t="s">
        <v>673</v>
      </c>
      <c r="C263" t="s">
        <v>686</v>
      </c>
      <c r="D263" t="s">
        <v>422</v>
      </c>
      <c r="E263" t="s">
        <v>689</v>
      </c>
      <c r="F263" t="s">
        <v>201</v>
      </c>
      <c r="G263">
        <v>941645</v>
      </c>
      <c r="H263" t="s">
        <v>412</v>
      </c>
      <c r="I263" s="4">
        <v>7488</v>
      </c>
      <c r="J263" s="4">
        <v>2328.768</v>
      </c>
    </row>
    <row r="264" spans="1:10" x14ac:dyDescent="0.35">
      <c r="A264">
        <v>3151272710</v>
      </c>
      <c r="B264" t="s">
        <v>673</v>
      </c>
      <c r="C264" t="s">
        <v>686</v>
      </c>
      <c r="D264" t="s">
        <v>422</v>
      </c>
      <c r="E264" t="s">
        <v>689</v>
      </c>
      <c r="F264" t="s">
        <v>201</v>
      </c>
      <c r="G264">
        <v>948360</v>
      </c>
      <c r="H264" t="s">
        <v>412</v>
      </c>
      <c r="I264" s="4">
        <v>720</v>
      </c>
      <c r="J264" s="4">
        <v>223.92000000000002</v>
      </c>
    </row>
    <row r="265" spans="1:10" x14ac:dyDescent="0.35">
      <c r="A265">
        <v>3151272335</v>
      </c>
      <c r="B265" t="s">
        <v>673</v>
      </c>
      <c r="C265" t="s">
        <v>686</v>
      </c>
      <c r="D265" t="s">
        <v>683</v>
      </c>
      <c r="E265" t="s">
        <v>690</v>
      </c>
      <c r="G265">
        <v>948358</v>
      </c>
      <c r="H265" t="s">
        <v>415</v>
      </c>
      <c r="I265" s="4">
        <v>5742</v>
      </c>
      <c r="J265" s="4">
        <v>3727.7064000000005</v>
      </c>
    </row>
    <row r="266" spans="1:10" x14ac:dyDescent="0.35">
      <c r="A266">
        <v>3151272505</v>
      </c>
      <c r="B266" t="s">
        <v>673</v>
      </c>
      <c r="C266" t="s">
        <v>686</v>
      </c>
      <c r="D266" t="s">
        <v>683</v>
      </c>
      <c r="E266" t="s">
        <v>690</v>
      </c>
      <c r="F266" t="s">
        <v>201</v>
      </c>
      <c r="G266">
        <v>941710</v>
      </c>
      <c r="H266" t="s">
        <v>415</v>
      </c>
      <c r="I266" s="4">
        <v>5922</v>
      </c>
      <c r="J266" s="4">
        <v>3844.5624000000003</v>
      </c>
    </row>
    <row r="267" spans="1:10" x14ac:dyDescent="0.35">
      <c r="A267">
        <v>3151272710</v>
      </c>
      <c r="B267" t="s">
        <v>673</v>
      </c>
      <c r="C267" t="s">
        <v>686</v>
      </c>
      <c r="D267" t="s">
        <v>683</v>
      </c>
      <c r="E267" t="s">
        <v>690</v>
      </c>
      <c r="F267" t="s">
        <v>201</v>
      </c>
      <c r="G267">
        <v>948358</v>
      </c>
      <c r="H267" t="s">
        <v>415</v>
      </c>
      <c r="I267" s="4">
        <v>450</v>
      </c>
      <c r="J267" s="4">
        <v>292.14</v>
      </c>
    </row>
    <row r="268" spans="1:10" x14ac:dyDescent="0.35">
      <c r="A268">
        <v>3151272335</v>
      </c>
      <c r="B268" t="s">
        <v>673</v>
      </c>
      <c r="C268" t="s">
        <v>686</v>
      </c>
      <c r="D268" t="s">
        <v>451</v>
      </c>
      <c r="E268" t="s">
        <v>691</v>
      </c>
      <c r="G268">
        <v>948363</v>
      </c>
      <c r="H268" t="s">
        <v>421</v>
      </c>
      <c r="I268" s="4">
        <v>4380</v>
      </c>
      <c r="J268" s="4">
        <v>4351.9679999999998</v>
      </c>
    </row>
    <row r="269" spans="1:10" x14ac:dyDescent="0.35">
      <c r="A269">
        <v>3151272505</v>
      </c>
      <c r="B269" t="s">
        <v>673</v>
      </c>
      <c r="C269" t="s">
        <v>686</v>
      </c>
      <c r="D269" t="s">
        <v>451</v>
      </c>
      <c r="E269" t="s">
        <v>691</v>
      </c>
      <c r="F269" t="s">
        <v>201</v>
      </c>
      <c r="G269">
        <v>941650</v>
      </c>
      <c r="H269" t="s">
        <v>421</v>
      </c>
      <c r="I269" s="4">
        <v>5784</v>
      </c>
      <c r="J269" s="4">
        <v>5746.9824000000008</v>
      </c>
    </row>
    <row r="270" spans="1:10" x14ac:dyDescent="0.35">
      <c r="A270">
        <v>3151272710</v>
      </c>
      <c r="B270" t="s">
        <v>673</v>
      </c>
      <c r="C270" t="s">
        <v>686</v>
      </c>
      <c r="D270" t="s">
        <v>451</v>
      </c>
      <c r="E270" t="s">
        <v>691</v>
      </c>
      <c r="F270" t="s">
        <v>201</v>
      </c>
      <c r="G270">
        <v>948363</v>
      </c>
      <c r="H270" t="s">
        <v>421</v>
      </c>
      <c r="I270" s="4">
        <v>240</v>
      </c>
      <c r="J270" s="4">
        <v>238.464</v>
      </c>
    </row>
    <row r="271" spans="1:10" x14ac:dyDescent="0.35">
      <c r="A271">
        <v>3151272799</v>
      </c>
      <c r="B271" t="s">
        <v>673</v>
      </c>
      <c r="C271" t="s">
        <v>692</v>
      </c>
      <c r="D271" t="s">
        <v>422</v>
      </c>
      <c r="E271" t="s">
        <v>693</v>
      </c>
      <c r="F271" t="s">
        <v>201</v>
      </c>
      <c r="G271">
        <v>949903</v>
      </c>
      <c r="H271" t="s">
        <v>412</v>
      </c>
      <c r="I271" s="4">
        <v>4368</v>
      </c>
      <c r="J271" s="4">
        <v>982.80000000000007</v>
      </c>
    </row>
    <row r="272" spans="1:10" x14ac:dyDescent="0.35">
      <c r="A272">
        <v>3151272799</v>
      </c>
      <c r="B272" t="s">
        <v>673</v>
      </c>
      <c r="C272" t="s">
        <v>692</v>
      </c>
      <c r="D272" t="s">
        <v>683</v>
      </c>
      <c r="E272" t="s">
        <v>694</v>
      </c>
      <c r="F272" t="s">
        <v>201</v>
      </c>
      <c r="G272">
        <v>949901</v>
      </c>
      <c r="H272" t="s">
        <v>415</v>
      </c>
      <c r="I272" s="4">
        <v>3360</v>
      </c>
      <c r="J272" s="4">
        <v>1587.6000000000001</v>
      </c>
    </row>
    <row r="273" spans="1:10" x14ac:dyDescent="0.35">
      <c r="A273">
        <v>3151272799</v>
      </c>
      <c r="B273" t="s">
        <v>673</v>
      </c>
      <c r="C273" t="s">
        <v>692</v>
      </c>
      <c r="D273" t="s">
        <v>451</v>
      </c>
      <c r="E273" t="s">
        <v>695</v>
      </c>
      <c r="F273" t="s">
        <v>201</v>
      </c>
      <c r="G273">
        <v>949902</v>
      </c>
      <c r="H273" t="s">
        <v>421</v>
      </c>
      <c r="I273" s="4">
        <v>2752</v>
      </c>
      <c r="J273" s="4">
        <v>1981.44</v>
      </c>
    </row>
    <row r="274" spans="1:10" x14ac:dyDescent="0.35">
      <c r="A274">
        <v>3151271438</v>
      </c>
      <c r="B274" t="s">
        <v>696</v>
      </c>
      <c r="C274" t="s">
        <v>697</v>
      </c>
      <c r="D274" t="s">
        <v>698</v>
      </c>
      <c r="E274" t="s">
        <v>699</v>
      </c>
      <c r="F274" t="s">
        <v>201</v>
      </c>
      <c r="G274">
        <v>943917</v>
      </c>
      <c r="H274" t="s">
        <v>421</v>
      </c>
      <c r="I274" s="4">
        <v>216</v>
      </c>
      <c r="J274" s="4">
        <v>162.37800000000001</v>
      </c>
    </row>
    <row r="275" spans="1:10" x14ac:dyDescent="0.35">
      <c r="A275">
        <v>3151271447</v>
      </c>
      <c r="B275" t="s">
        <v>696</v>
      </c>
      <c r="C275" t="s">
        <v>697</v>
      </c>
      <c r="D275" t="s">
        <v>698</v>
      </c>
      <c r="E275" t="s">
        <v>699</v>
      </c>
      <c r="F275" t="s">
        <v>201</v>
      </c>
      <c r="G275">
        <v>943917</v>
      </c>
      <c r="H275" t="s">
        <v>421</v>
      </c>
      <c r="I275" s="4">
        <v>1218</v>
      </c>
      <c r="J275" s="4">
        <v>915.63150000000007</v>
      </c>
    </row>
    <row r="276" spans="1:10" x14ac:dyDescent="0.35">
      <c r="A276">
        <v>3151271758</v>
      </c>
      <c r="B276" t="s">
        <v>696</v>
      </c>
      <c r="C276" t="s">
        <v>697</v>
      </c>
      <c r="D276" t="s">
        <v>698</v>
      </c>
      <c r="E276" t="s">
        <v>699</v>
      </c>
      <c r="F276" t="s">
        <v>201</v>
      </c>
      <c r="G276">
        <v>943917</v>
      </c>
      <c r="H276" t="s">
        <v>421</v>
      </c>
      <c r="I276" s="4">
        <v>576</v>
      </c>
      <c r="J276" s="4">
        <v>433.00799999999998</v>
      </c>
    </row>
    <row r="277" spans="1:10" x14ac:dyDescent="0.35">
      <c r="A277">
        <v>3151271484</v>
      </c>
      <c r="B277" t="s">
        <v>696</v>
      </c>
      <c r="C277" t="s">
        <v>697</v>
      </c>
      <c r="D277" t="s">
        <v>698</v>
      </c>
      <c r="E277" t="s">
        <v>699</v>
      </c>
      <c r="F277" t="s">
        <v>201</v>
      </c>
      <c r="G277">
        <v>943917</v>
      </c>
      <c r="H277" t="s">
        <v>421</v>
      </c>
      <c r="I277" s="4">
        <v>1776</v>
      </c>
      <c r="J277" s="4">
        <v>1335.1079999999999</v>
      </c>
    </row>
    <row r="278" spans="1:10" x14ac:dyDescent="0.35">
      <c r="A278">
        <v>3151271485</v>
      </c>
      <c r="B278" t="s">
        <v>696</v>
      </c>
      <c r="C278" t="s">
        <v>697</v>
      </c>
      <c r="D278" t="s">
        <v>698</v>
      </c>
      <c r="E278" t="s">
        <v>699</v>
      </c>
      <c r="F278" t="s">
        <v>201</v>
      </c>
      <c r="G278">
        <v>943917</v>
      </c>
      <c r="H278" t="s">
        <v>421</v>
      </c>
      <c r="I278" s="4">
        <v>3282</v>
      </c>
      <c r="J278" s="4">
        <v>2467.2435</v>
      </c>
    </row>
    <row r="279" spans="1:10" x14ac:dyDescent="0.35">
      <c r="A279">
        <v>3151271492</v>
      </c>
      <c r="B279" t="s">
        <v>696</v>
      </c>
      <c r="C279" t="s">
        <v>697</v>
      </c>
      <c r="D279" t="s">
        <v>698</v>
      </c>
      <c r="E279" t="s">
        <v>699</v>
      </c>
      <c r="F279" t="s">
        <v>201</v>
      </c>
      <c r="G279">
        <v>943917</v>
      </c>
      <c r="H279" t="s">
        <v>421</v>
      </c>
      <c r="I279" s="4">
        <v>7704</v>
      </c>
      <c r="J279" s="4">
        <v>5791.482</v>
      </c>
    </row>
    <row r="280" spans="1:10" x14ac:dyDescent="0.35">
      <c r="A280">
        <v>3151271493</v>
      </c>
      <c r="B280" t="s">
        <v>696</v>
      </c>
      <c r="C280" t="s">
        <v>697</v>
      </c>
      <c r="D280" t="s">
        <v>698</v>
      </c>
      <c r="E280" t="s">
        <v>699</v>
      </c>
      <c r="F280" t="s">
        <v>201</v>
      </c>
      <c r="G280">
        <v>943917</v>
      </c>
      <c r="H280" t="s">
        <v>421</v>
      </c>
      <c r="I280" s="4">
        <v>3756</v>
      </c>
      <c r="J280" s="4">
        <v>2823.5729999999999</v>
      </c>
    </row>
    <row r="281" spans="1:10" x14ac:dyDescent="0.35">
      <c r="A281">
        <v>3151271433</v>
      </c>
      <c r="B281" t="s">
        <v>696</v>
      </c>
      <c r="C281" t="s">
        <v>697</v>
      </c>
      <c r="D281" t="s">
        <v>698</v>
      </c>
      <c r="E281" t="s">
        <v>699</v>
      </c>
      <c r="F281" t="s">
        <v>201</v>
      </c>
      <c r="G281">
        <v>943917</v>
      </c>
      <c r="H281" t="s">
        <v>421</v>
      </c>
      <c r="I281" s="4">
        <v>1848</v>
      </c>
      <c r="J281" s="4">
        <v>1389.2339999999999</v>
      </c>
    </row>
    <row r="282" spans="1:10" x14ac:dyDescent="0.35">
      <c r="A282">
        <v>3151271434</v>
      </c>
      <c r="B282" t="s">
        <v>696</v>
      </c>
      <c r="C282" t="s">
        <v>697</v>
      </c>
      <c r="D282" t="s">
        <v>698</v>
      </c>
      <c r="E282" t="s">
        <v>699</v>
      </c>
      <c r="F282" t="s">
        <v>201</v>
      </c>
      <c r="G282">
        <v>943917</v>
      </c>
      <c r="H282" t="s">
        <v>421</v>
      </c>
      <c r="I282" s="4">
        <v>3666</v>
      </c>
      <c r="J282" s="4">
        <v>2755.9155000000001</v>
      </c>
    </row>
    <row r="283" spans="1:10" x14ac:dyDescent="0.35">
      <c r="A283">
        <v>3151271435</v>
      </c>
      <c r="B283" t="s">
        <v>696</v>
      </c>
      <c r="C283" t="s">
        <v>697</v>
      </c>
      <c r="D283" t="s">
        <v>698</v>
      </c>
      <c r="E283" t="s">
        <v>699</v>
      </c>
      <c r="F283" t="s">
        <v>201</v>
      </c>
      <c r="G283">
        <v>943917</v>
      </c>
      <c r="H283" t="s">
        <v>421</v>
      </c>
      <c r="I283" s="4">
        <v>2508</v>
      </c>
      <c r="J283" s="4">
        <v>1885.3890000000001</v>
      </c>
    </row>
    <row r="284" spans="1:10" x14ac:dyDescent="0.35">
      <c r="A284">
        <v>3151271441</v>
      </c>
      <c r="B284" t="s">
        <v>696</v>
      </c>
      <c r="C284" t="s">
        <v>697</v>
      </c>
      <c r="D284" t="s">
        <v>698</v>
      </c>
      <c r="E284" t="s">
        <v>699</v>
      </c>
      <c r="F284" t="s">
        <v>201</v>
      </c>
      <c r="G284">
        <v>943917</v>
      </c>
      <c r="H284" t="s">
        <v>421</v>
      </c>
      <c r="I284" s="4">
        <v>5490</v>
      </c>
      <c r="J284" s="4">
        <v>4127.1075000000001</v>
      </c>
    </row>
    <row r="285" spans="1:10" x14ac:dyDescent="0.35">
      <c r="A285">
        <v>3151271487</v>
      </c>
      <c r="B285" t="s">
        <v>696</v>
      </c>
      <c r="C285" t="s">
        <v>697</v>
      </c>
      <c r="D285" t="s">
        <v>698</v>
      </c>
      <c r="E285" t="s">
        <v>699</v>
      </c>
      <c r="F285" t="s">
        <v>201</v>
      </c>
      <c r="G285">
        <v>943917</v>
      </c>
      <c r="H285" t="s">
        <v>421</v>
      </c>
      <c r="I285" s="4">
        <v>1014</v>
      </c>
      <c r="J285" s="4">
        <v>762.27449999999999</v>
      </c>
    </row>
    <row r="286" spans="1:10" x14ac:dyDescent="0.35">
      <c r="A286">
        <v>3151271488</v>
      </c>
      <c r="B286" t="s">
        <v>696</v>
      </c>
      <c r="C286" t="s">
        <v>697</v>
      </c>
      <c r="D286" t="s">
        <v>698</v>
      </c>
      <c r="E286" t="s">
        <v>699</v>
      </c>
      <c r="F286" t="s">
        <v>201</v>
      </c>
      <c r="G286">
        <v>943917</v>
      </c>
      <c r="H286" t="s">
        <v>421</v>
      </c>
      <c r="I286" s="4">
        <v>4818</v>
      </c>
      <c r="J286" s="4">
        <v>3621.9315000000001</v>
      </c>
    </row>
    <row r="287" spans="1:10" x14ac:dyDescent="0.35">
      <c r="A287">
        <v>3151271494</v>
      </c>
      <c r="B287" t="s">
        <v>696</v>
      </c>
      <c r="C287" t="s">
        <v>697</v>
      </c>
      <c r="D287" t="s">
        <v>698</v>
      </c>
      <c r="E287" t="s">
        <v>699</v>
      </c>
      <c r="F287" t="s">
        <v>201</v>
      </c>
      <c r="G287">
        <v>943917</v>
      </c>
      <c r="H287" t="s">
        <v>421</v>
      </c>
      <c r="I287" s="4">
        <v>2610</v>
      </c>
      <c r="J287" s="4">
        <v>1962.0675000000001</v>
      </c>
    </row>
    <row r="288" spans="1:10" x14ac:dyDescent="0.35">
      <c r="A288">
        <v>3151271496</v>
      </c>
      <c r="B288" t="s">
        <v>696</v>
      </c>
      <c r="C288" t="s">
        <v>697</v>
      </c>
      <c r="D288" t="s">
        <v>698</v>
      </c>
      <c r="E288" t="s">
        <v>699</v>
      </c>
      <c r="F288" t="s">
        <v>201</v>
      </c>
      <c r="G288">
        <v>943917</v>
      </c>
      <c r="H288" t="s">
        <v>421</v>
      </c>
      <c r="I288" s="4">
        <v>3030</v>
      </c>
      <c r="J288" s="4">
        <v>2277.8025000000002</v>
      </c>
    </row>
    <row r="289" spans="1:10" x14ac:dyDescent="0.35">
      <c r="A289">
        <v>3151271445</v>
      </c>
      <c r="B289" t="s">
        <v>696</v>
      </c>
      <c r="C289" t="s">
        <v>697</v>
      </c>
      <c r="D289" t="s">
        <v>698</v>
      </c>
      <c r="E289" t="s">
        <v>699</v>
      </c>
      <c r="F289" t="s">
        <v>201</v>
      </c>
      <c r="G289">
        <v>943917</v>
      </c>
      <c r="H289" t="s">
        <v>421</v>
      </c>
      <c r="I289" s="4">
        <v>2454</v>
      </c>
      <c r="J289" s="4">
        <v>1844.7945</v>
      </c>
    </row>
    <row r="290" spans="1:10" x14ac:dyDescent="0.35">
      <c r="A290">
        <v>3151272317</v>
      </c>
      <c r="B290" t="s">
        <v>696</v>
      </c>
      <c r="C290" t="s">
        <v>697</v>
      </c>
      <c r="D290" t="s">
        <v>698</v>
      </c>
      <c r="E290" t="s">
        <v>699</v>
      </c>
      <c r="G290">
        <v>943917</v>
      </c>
      <c r="H290" t="s">
        <v>421</v>
      </c>
      <c r="I290" s="4">
        <v>1728</v>
      </c>
      <c r="J290" s="4">
        <v>1299.0240000000001</v>
      </c>
    </row>
    <row r="291" spans="1:10" x14ac:dyDescent="0.35">
      <c r="A291">
        <v>3151271497</v>
      </c>
      <c r="B291" t="s">
        <v>696</v>
      </c>
      <c r="C291" t="s">
        <v>697</v>
      </c>
      <c r="D291" t="s">
        <v>698</v>
      </c>
      <c r="E291" t="s">
        <v>699</v>
      </c>
      <c r="F291" t="s">
        <v>201</v>
      </c>
      <c r="G291">
        <v>943917</v>
      </c>
      <c r="H291" t="s">
        <v>421</v>
      </c>
      <c r="I291" s="4">
        <v>3330</v>
      </c>
      <c r="J291" s="4">
        <v>2503.3274999999999</v>
      </c>
    </row>
    <row r="292" spans="1:10" x14ac:dyDescent="0.35">
      <c r="A292">
        <v>3151271760</v>
      </c>
      <c r="B292" t="s">
        <v>696</v>
      </c>
      <c r="C292" t="s">
        <v>697</v>
      </c>
      <c r="D292" t="s">
        <v>698</v>
      </c>
      <c r="E292" t="s">
        <v>699</v>
      </c>
      <c r="F292" t="s">
        <v>201</v>
      </c>
      <c r="G292">
        <v>943917</v>
      </c>
      <c r="H292" t="s">
        <v>421</v>
      </c>
      <c r="I292" s="4">
        <v>1236</v>
      </c>
      <c r="J292" s="4">
        <v>929.16300000000001</v>
      </c>
    </row>
    <row r="293" spans="1:10" x14ac:dyDescent="0.35">
      <c r="A293">
        <v>3151271438</v>
      </c>
      <c r="B293" t="s">
        <v>696</v>
      </c>
      <c r="C293" t="s">
        <v>697</v>
      </c>
      <c r="D293" t="s">
        <v>700</v>
      </c>
      <c r="E293" t="s">
        <v>701</v>
      </c>
      <c r="F293" t="s">
        <v>201</v>
      </c>
      <c r="G293">
        <v>943919</v>
      </c>
      <c r="H293" t="s">
        <v>433</v>
      </c>
      <c r="I293" s="4">
        <v>3360</v>
      </c>
      <c r="J293" s="4">
        <v>141.77520000000001</v>
      </c>
    </row>
    <row r="294" spans="1:10" x14ac:dyDescent="0.35">
      <c r="A294">
        <v>3151271485</v>
      </c>
      <c r="B294" t="s">
        <v>696</v>
      </c>
      <c r="C294" t="s">
        <v>697</v>
      </c>
      <c r="D294" t="s">
        <v>700</v>
      </c>
      <c r="E294" t="s">
        <v>701</v>
      </c>
      <c r="F294" t="s">
        <v>201</v>
      </c>
      <c r="G294">
        <v>943919</v>
      </c>
      <c r="H294" t="s">
        <v>433</v>
      </c>
      <c r="I294" s="4">
        <v>3360</v>
      </c>
      <c r="J294" s="4">
        <v>141.77520000000001</v>
      </c>
    </row>
    <row r="295" spans="1:10" x14ac:dyDescent="0.35">
      <c r="A295">
        <v>3151271434</v>
      </c>
      <c r="B295" t="s">
        <v>696</v>
      </c>
      <c r="C295" t="s">
        <v>697</v>
      </c>
      <c r="D295" t="s">
        <v>700</v>
      </c>
      <c r="E295" t="s">
        <v>701</v>
      </c>
      <c r="F295" t="s">
        <v>201</v>
      </c>
      <c r="G295">
        <v>943919</v>
      </c>
      <c r="H295" t="s">
        <v>433</v>
      </c>
      <c r="I295" s="4">
        <v>13440</v>
      </c>
      <c r="J295" s="4">
        <v>567.10080000000005</v>
      </c>
    </row>
    <row r="296" spans="1:10" x14ac:dyDescent="0.35">
      <c r="A296">
        <v>3151271441</v>
      </c>
      <c r="B296" t="s">
        <v>696</v>
      </c>
      <c r="C296" t="s">
        <v>697</v>
      </c>
      <c r="D296" t="s">
        <v>700</v>
      </c>
      <c r="E296" t="s">
        <v>701</v>
      </c>
      <c r="F296" t="s">
        <v>201</v>
      </c>
      <c r="G296">
        <v>943919</v>
      </c>
      <c r="H296" t="s">
        <v>433</v>
      </c>
      <c r="I296" s="4">
        <v>3360</v>
      </c>
      <c r="J296" s="4">
        <v>141.77520000000001</v>
      </c>
    </row>
    <row r="297" spans="1:10" x14ac:dyDescent="0.35">
      <c r="A297">
        <v>3151271488</v>
      </c>
      <c r="B297" t="s">
        <v>696</v>
      </c>
      <c r="C297" t="s">
        <v>697</v>
      </c>
      <c r="D297" t="s">
        <v>700</v>
      </c>
      <c r="E297" t="s">
        <v>701</v>
      </c>
      <c r="F297" t="s">
        <v>201</v>
      </c>
      <c r="G297">
        <v>943919</v>
      </c>
      <c r="H297" t="s">
        <v>433</v>
      </c>
      <c r="I297" s="4">
        <v>13440</v>
      </c>
      <c r="J297" s="4">
        <v>567.10080000000005</v>
      </c>
    </row>
    <row r="298" spans="1:10" x14ac:dyDescent="0.35">
      <c r="A298">
        <v>3151271496</v>
      </c>
      <c r="B298" t="s">
        <v>696</v>
      </c>
      <c r="C298" t="s">
        <v>697</v>
      </c>
      <c r="D298" t="s">
        <v>700</v>
      </c>
      <c r="E298" t="s">
        <v>701</v>
      </c>
      <c r="F298" t="s">
        <v>201</v>
      </c>
      <c r="G298">
        <v>943919</v>
      </c>
      <c r="H298" t="s">
        <v>433</v>
      </c>
      <c r="I298" s="4">
        <v>3360</v>
      </c>
      <c r="J298" s="4">
        <v>141.77520000000001</v>
      </c>
    </row>
    <row r="299" spans="1:10" x14ac:dyDescent="0.35">
      <c r="A299">
        <v>3151271445</v>
      </c>
      <c r="B299" t="s">
        <v>696</v>
      </c>
      <c r="C299" t="s">
        <v>697</v>
      </c>
      <c r="D299" t="s">
        <v>700</v>
      </c>
      <c r="E299" t="s">
        <v>701</v>
      </c>
      <c r="F299" t="s">
        <v>201</v>
      </c>
      <c r="G299">
        <v>943919</v>
      </c>
      <c r="H299" t="s">
        <v>433</v>
      </c>
      <c r="I299" s="4">
        <v>3360</v>
      </c>
      <c r="J299" s="4">
        <v>141.77520000000001</v>
      </c>
    </row>
    <row r="300" spans="1:10" x14ac:dyDescent="0.35">
      <c r="A300">
        <v>3151271497</v>
      </c>
      <c r="B300" t="s">
        <v>696</v>
      </c>
      <c r="C300" t="s">
        <v>697</v>
      </c>
      <c r="D300" t="s">
        <v>700</v>
      </c>
      <c r="E300" t="s">
        <v>701</v>
      </c>
      <c r="F300" t="s">
        <v>201</v>
      </c>
      <c r="G300">
        <v>943919</v>
      </c>
      <c r="H300" t="s">
        <v>433</v>
      </c>
      <c r="I300" s="4">
        <v>6720</v>
      </c>
      <c r="J300" s="4">
        <v>283.55040000000002</v>
      </c>
    </row>
    <row r="301" spans="1:10" x14ac:dyDescent="0.35">
      <c r="A301">
        <v>3151271759</v>
      </c>
      <c r="B301" t="s">
        <v>696</v>
      </c>
      <c r="C301" t="s">
        <v>697</v>
      </c>
      <c r="D301" t="s">
        <v>700</v>
      </c>
      <c r="E301" t="s">
        <v>701</v>
      </c>
      <c r="F301" t="s">
        <v>201</v>
      </c>
      <c r="G301">
        <v>943919</v>
      </c>
      <c r="H301" t="s">
        <v>433</v>
      </c>
      <c r="I301" s="4">
        <v>23520</v>
      </c>
      <c r="J301" s="4">
        <v>992.42640000000006</v>
      </c>
    </row>
    <row r="302" spans="1:10" x14ac:dyDescent="0.35">
      <c r="A302">
        <v>3151271760</v>
      </c>
      <c r="B302" t="s">
        <v>696</v>
      </c>
      <c r="C302" t="s">
        <v>697</v>
      </c>
      <c r="D302" t="s">
        <v>700</v>
      </c>
      <c r="E302" t="s">
        <v>701</v>
      </c>
      <c r="F302" t="s">
        <v>201</v>
      </c>
      <c r="G302">
        <v>943919</v>
      </c>
      <c r="H302" t="s">
        <v>433</v>
      </c>
      <c r="I302" s="4">
        <v>3360</v>
      </c>
      <c r="J302" s="4">
        <v>141.77520000000001</v>
      </c>
    </row>
    <row r="303" spans="1:10" x14ac:dyDescent="0.35">
      <c r="A303">
        <v>3151271494</v>
      </c>
      <c r="B303" t="s">
        <v>696</v>
      </c>
      <c r="C303" t="s">
        <v>697</v>
      </c>
      <c r="D303" t="s">
        <v>702</v>
      </c>
      <c r="E303" t="s">
        <v>703</v>
      </c>
      <c r="F303" t="s">
        <v>201</v>
      </c>
      <c r="G303">
        <v>943918</v>
      </c>
      <c r="H303" t="s">
        <v>433</v>
      </c>
      <c r="I303" s="4">
        <v>9660</v>
      </c>
      <c r="J303" s="4">
        <v>726.35472000000004</v>
      </c>
    </row>
    <row r="304" spans="1:10" x14ac:dyDescent="0.35">
      <c r="A304">
        <v>3151271433</v>
      </c>
      <c r="B304" t="s">
        <v>696</v>
      </c>
      <c r="C304" t="s">
        <v>697</v>
      </c>
      <c r="D304" t="s">
        <v>704</v>
      </c>
      <c r="E304" t="s">
        <v>705</v>
      </c>
      <c r="F304" t="s">
        <v>201</v>
      </c>
      <c r="G304">
        <v>943913</v>
      </c>
      <c r="H304" t="s">
        <v>649</v>
      </c>
      <c r="I304" s="4">
        <v>4032</v>
      </c>
      <c r="J304" s="4">
        <v>135.519552</v>
      </c>
    </row>
    <row r="305" spans="1:10" x14ac:dyDescent="0.35">
      <c r="A305">
        <v>3151271487</v>
      </c>
      <c r="B305" t="s">
        <v>696</v>
      </c>
      <c r="C305" t="s">
        <v>697</v>
      </c>
      <c r="D305" t="s">
        <v>704</v>
      </c>
      <c r="E305" t="s">
        <v>705</v>
      </c>
      <c r="F305" t="s">
        <v>201</v>
      </c>
      <c r="G305">
        <v>943913</v>
      </c>
      <c r="H305" t="s">
        <v>649</v>
      </c>
      <c r="I305" s="4">
        <v>4032</v>
      </c>
      <c r="J305" s="4">
        <v>135.519552</v>
      </c>
    </row>
    <row r="306" spans="1:10" x14ac:dyDescent="0.35">
      <c r="A306">
        <v>3151271488</v>
      </c>
      <c r="B306" t="s">
        <v>696</v>
      </c>
      <c r="C306" t="s">
        <v>697</v>
      </c>
      <c r="D306" t="s">
        <v>704</v>
      </c>
      <c r="E306" t="s">
        <v>705</v>
      </c>
      <c r="F306" t="s">
        <v>201</v>
      </c>
      <c r="G306">
        <v>943913</v>
      </c>
      <c r="H306" t="s">
        <v>649</v>
      </c>
      <c r="I306" s="4">
        <v>8064</v>
      </c>
      <c r="J306" s="4">
        <v>271.03910400000001</v>
      </c>
    </row>
    <row r="307" spans="1:10" x14ac:dyDescent="0.35">
      <c r="A307">
        <v>3151271496</v>
      </c>
      <c r="B307" t="s">
        <v>696</v>
      </c>
      <c r="C307" t="s">
        <v>697</v>
      </c>
      <c r="D307" t="s">
        <v>704</v>
      </c>
      <c r="E307" t="s">
        <v>705</v>
      </c>
      <c r="F307" t="s">
        <v>201</v>
      </c>
      <c r="G307">
        <v>943913</v>
      </c>
      <c r="H307" t="s">
        <v>649</v>
      </c>
      <c r="I307" s="4">
        <v>4032</v>
      </c>
      <c r="J307" s="4">
        <v>135.519552</v>
      </c>
    </row>
    <row r="308" spans="1:10" x14ac:dyDescent="0.35">
      <c r="A308">
        <v>3151271759</v>
      </c>
      <c r="B308" t="s">
        <v>696</v>
      </c>
      <c r="C308" t="s">
        <v>697</v>
      </c>
      <c r="D308" t="s">
        <v>704</v>
      </c>
      <c r="E308" t="s">
        <v>705</v>
      </c>
      <c r="F308" t="s">
        <v>201</v>
      </c>
      <c r="G308">
        <v>943913</v>
      </c>
      <c r="H308" t="s">
        <v>649</v>
      </c>
      <c r="I308" s="4">
        <v>4032</v>
      </c>
      <c r="J308" s="4">
        <v>135.519552</v>
      </c>
    </row>
    <row r="309" spans="1:10" x14ac:dyDescent="0.35">
      <c r="A309">
        <v>3151271438</v>
      </c>
      <c r="B309" t="s">
        <v>696</v>
      </c>
      <c r="C309" t="s">
        <v>697</v>
      </c>
      <c r="D309" t="s">
        <v>706</v>
      </c>
      <c r="E309" t="s">
        <v>707</v>
      </c>
      <c r="F309" t="s">
        <v>201</v>
      </c>
      <c r="G309">
        <v>943916</v>
      </c>
      <c r="H309" t="s">
        <v>412</v>
      </c>
      <c r="I309" s="4">
        <v>11520</v>
      </c>
      <c r="J309" s="4">
        <v>1388.4825600000001</v>
      </c>
    </row>
    <row r="310" spans="1:10" x14ac:dyDescent="0.35">
      <c r="A310">
        <v>3151271485</v>
      </c>
      <c r="B310" t="s">
        <v>696</v>
      </c>
      <c r="C310" t="s">
        <v>697</v>
      </c>
      <c r="D310" t="s">
        <v>706</v>
      </c>
      <c r="E310" t="s">
        <v>707</v>
      </c>
      <c r="F310" t="s">
        <v>201</v>
      </c>
      <c r="G310">
        <v>943916</v>
      </c>
      <c r="H310" t="s">
        <v>412</v>
      </c>
      <c r="I310" s="4">
        <v>13824</v>
      </c>
      <c r="J310" s="4">
        <v>1666.1790720000001</v>
      </c>
    </row>
    <row r="311" spans="1:10" x14ac:dyDescent="0.35">
      <c r="A311">
        <v>3151271433</v>
      </c>
      <c r="B311" t="s">
        <v>696</v>
      </c>
      <c r="C311" t="s">
        <v>697</v>
      </c>
      <c r="D311" t="s">
        <v>706</v>
      </c>
      <c r="E311" t="s">
        <v>707</v>
      </c>
      <c r="F311" t="s">
        <v>201</v>
      </c>
      <c r="G311">
        <v>943916</v>
      </c>
      <c r="H311" t="s">
        <v>412</v>
      </c>
      <c r="I311" s="4">
        <v>4608</v>
      </c>
      <c r="J311" s="4">
        <v>555.39302399999997</v>
      </c>
    </row>
    <row r="312" spans="1:10" x14ac:dyDescent="0.35">
      <c r="A312">
        <v>3151271434</v>
      </c>
      <c r="B312" t="s">
        <v>696</v>
      </c>
      <c r="C312" t="s">
        <v>697</v>
      </c>
      <c r="D312" t="s">
        <v>706</v>
      </c>
      <c r="E312" t="s">
        <v>707</v>
      </c>
      <c r="F312" t="s">
        <v>201</v>
      </c>
      <c r="G312">
        <v>943916</v>
      </c>
      <c r="H312" t="s">
        <v>412</v>
      </c>
      <c r="I312" s="4">
        <v>5760</v>
      </c>
      <c r="J312" s="4">
        <v>694.24128000000007</v>
      </c>
    </row>
    <row r="313" spans="1:10" x14ac:dyDescent="0.35">
      <c r="A313">
        <v>3151271441</v>
      </c>
      <c r="B313" t="s">
        <v>696</v>
      </c>
      <c r="C313" t="s">
        <v>697</v>
      </c>
      <c r="D313" t="s">
        <v>706</v>
      </c>
      <c r="E313" t="s">
        <v>707</v>
      </c>
      <c r="F313" t="s">
        <v>201</v>
      </c>
      <c r="G313">
        <v>943916</v>
      </c>
      <c r="H313" t="s">
        <v>412</v>
      </c>
      <c r="I313" s="4">
        <v>10368</v>
      </c>
      <c r="J313" s="4">
        <v>1249.6343039999999</v>
      </c>
    </row>
    <row r="314" spans="1:10" x14ac:dyDescent="0.35">
      <c r="A314">
        <v>3151271487</v>
      </c>
      <c r="B314" t="s">
        <v>696</v>
      </c>
      <c r="C314" t="s">
        <v>697</v>
      </c>
      <c r="D314" t="s">
        <v>706</v>
      </c>
      <c r="E314" t="s">
        <v>707</v>
      </c>
      <c r="F314" t="s">
        <v>201</v>
      </c>
      <c r="G314">
        <v>943916</v>
      </c>
      <c r="H314" t="s">
        <v>412</v>
      </c>
      <c r="I314" s="4">
        <v>6912</v>
      </c>
      <c r="J314" s="4">
        <v>833.08953600000007</v>
      </c>
    </row>
    <row r="315" spans="1:10" x14ac:dyDescent="0.35">
      <c r="A315">
        <v>3151271488</v>
      </c>
      <c r="B315" t="s">
        <v>696</v>
      </c>
      <c r="C315" t="s">
        <v>697</v>
      </c>
      <c r="D315" t="s">
        <v>706</v>
      </c>
      <c r="E315" t="s">
        <v>707</v>
      </c>
      <c r="F315" t="s">
        <v>201</v>
      </c>
      <c r="G315">
        <v>943916</v>
      </c>
      <c r="H315" t="s">
        <v>412</v>
      </c>
      <c r="I315" s="4">
        <v>8064</v>
      </c>
      <c r="J315" s="4">
        <v>971.93779200000006</v>
      </c>
    </row>
    <row r="316" spans="1:10" x14ac:dyDescent="0.35">
      <c r="A316">
        <v>3151271496</v>
      </c>
      <c r="B316" t="s">
        <v>696</v>
      </c>
      <c r="C316" t="s">
        <v>697</v>
      </c>
      <c r="D316" t="s">
        <v>706</v>
      </c>
      <c r="E316" t="s">
        <v>707</v>
      </c>
      <c r="F316" t="s">
        <v>201</v>
      </c>
      <c r="G316">
        <v>943916</v>
      </c>
      <c r="H316" t="s">
        <v>412</v>
      </c>
      <c r="I316" s="4">
        <v>2304</v>
      </c>
      <c r="J316" s="4">
        <v>277.69651199999998</v>
      </c>
    </row>
    <row r="317" spans="1:10" x14ac:dyDescent="0.35">
      <c r="A317">
        <v>3151271445</v>
      </c>
      <c r="B317" t="s">
        <v>696</v>
      </c>
      <c r="C317" t="s">
        <v>697</v>
      </c>
      <c r="D317" t="s">
        <v>706</v>
      </c>
      <c r="E317" t="s">
        <v>707</v>
      </c>
      <c r="F317" t="s">
        <v>201</v>
      </c>
      <c r="G317">
        <v>943916</v>
      </c>
      <c r="H317" t="s">
        <v>412</v>
      </c>
      <c r="I317" s="4">
        <v>6912</v>
      </c>
      <c r="J317" s="4">
        <v>833.08953600000007</v>
      </c>
    </row>
    <row r="318" spans="1:10" x14ac:dyDescent="0.35">
      <c r="A318">
        <v>3151272317</v>
      </c>
      <c r="B318" t="s">
        <v>696</v>
      </c>
      <c r="C318" t="s">
        <v>697</v>
      </c>
      <c r="D318" t="s">
        <v>706</v>
      </c>
      <c r="E318" t="s">
        <v>707</v>
      </c>
      <c r="G318">
        <v>943916</v>
      </c>
      <c r="H318" t="s">
        <v>412</v>
      </c>
      <c r="I318" s="4">
        <v>3456</v>
      </c>
      <c r="J318" s="4">
        <v>416.54476800000003</v>
      </c>
    </row>
    <row r="319" spans="1:10" x14ac:dyDescent="0.35">
      <c r="A319">
        <v>3151271497</v>
      </c>
      <c r="B319" t="s">
        <v>696</v>
      </c>
      <c r="C319" t="s">
        <v>697</v>
      </c>
      <c r="D319" t="s">
        <v>706</v>
      </c>
      <c r="E319" t="s">
        <v>707</v>
      </c>
      <c r="F319" t="s">
        <v>201</v>
      </c>
      <c r="G319">
        <v>943916</v>
      </c>
      <c r="H319" t="s">
        <v>412</v>
      </c>
      <c r="I319" s="4">
        <v>4608</v>
      </c>
      <c r="J319" s="4">
        <v>555.39302399999997</v>
      </c>
    </row>
    <row r="320" spans="1:10" x14ac:dyDescent="0.35">
      <c r="A320">
        <v>3151271759</v>
      </c>
      <c r="B320" t="s">
        <v>696</v>
      </c>
      <c r="C320" t="s">
        <v>697</v>
      </c>
      <c r="D320" t="s">
        <v>706</v>
      </c>
      <c r="E320" t="s">
        <v>707</v>
      </c>
      <c r="F320" t="s">
        <v>201</v>
      </c>
      <c r="G320">
        <v>943916</v>
      </c>
      <c r="H320" t="s">
        <v>412</v>
      </c>
      <c r="I320" s="4">
        <v>9216</v>
      </c>
      <c r="J320" s="4">
        <v>1110.7860479999999</v>
      </c>
    </row>
    <row r="321" spans="1:10" x14ac:dyDescent="0.35">
      <c r="A321">
        <v>3151271760</v>
      </c>
      <c r="B321" t="s">
        <v>696</v>
      </c>
      <c r="C321" t="s">
        <v>697</v>
      </c>
      <c r="D321" t="s">
        <v>706</v>
      </c>
      <c r="E321" t="s">
        <v>707</v>
      </c>
      <c r="F321" t="s">
        <v>201</v>
      </c>
      <c r="G321">
        <v>943916</v>
      </c>
      <c r="H321" t="s">
        <v>412</v>
      </c>
      <c r="I321" s="4">
        <v>9216</v>
      </c>
      <c r="J321" s="4">
        <v>1110.7860479999999</v>
      </c>
    </row>
    <row r="322" spans="1:10" x14ac:dyDescent="0.35">
      <c r="A322">
        <v>3151271438</v>
      </c>
      <c r="B322" t="s">
        <v>696</v>
      </c>
      <c r="C322" t="s">
        <v>697</v>
      </c>
      <c r="D322" t="s">
        <v>708</v>
      </c>
      <c r="E322" t="s">
        <v>709</v>
      </c>
      <c r="F322" t="s">
        <v>201</v>
      </c>
      <c r="G322">
        <v>943914</v>
      </c>
      <c r="H322" t="s">
        <v>412</v>
      </c>
      <c r="I322" s="4">
        <v>1152</v>
      </c>
      <c r="J322" s="4">
        <v>288.33408000000003</v>
      </c>
    </row>
    <row r="323" spans="1:10" x14ac:dyDescent="0.35">
      <c r="A323">
        <v>3151271447</v>
      </c>
      <c r="B323" t="s">
        <v>696</v>
      </c>
      <c r="C323" t="s">
        <v>697</v>
      </c>
      <c r="D323" t="s">
        <v>708</v>
      </c>
      <c r="E323" t="s">
        <v>709</v>
      </c>
      <c r="F323" t="s">
        <v>201</v>
      </c>
      <c r="G323">
        <v>943914</v>
      </c>
      <c r="H323" t="s">
        <v>412</v>
      </c>
      <c r="I323" s="4">
        <v>3024</v>
      </c>
      <c r="J323" s="4">
        <v>756.87695999999994</v>
      </c>
    </row>
    <row r="324" spans="1:10" x14ac:dyDescent="0.35">
      <c r="A324">
        <v>3151271484</v>
      </c>
      <c r="B324" t="s">
        <v>696</v>
      </c>
      <c r="C324" t="s">
        <v>697</v>
      </c>
      <c r="D324" t="s">
        <v>708</v>
      </c>
      <c r="E324" t="s">
        <v>709</v>
      </c>
      <c r="F324" t="s">
        <v>201</v>
      </c>
      <c r="G324">
        <v>943914</v>
      </c>
      <c r="H324" t="s">
        <v>412</v>
      </c>
      <c r="I324" s="4">
        <v>7776</v>
      </c>
      <c r="J324" s="4">
        <v>1946.25504</v>
      </c>
    </row>
    <row r="325" spans="1:10" x14ac:dyDescent="0.35">
      <c r="A325">
        <v>3151271485</v>
      </c>
      <c r="B325" t="s">
        <v>696</v>
      </c>
      <c r="C325" t="s">
        <v>697</v>
      </c>
      <c r="D325" t="s">
        <v>708</v>
      </c>
      <c r="E325" t="s">
        <v>709</v>
      </c>
      <c r="F325" t="s">
        <v>201</v>
      </c>
      <c r="G325">
        <v>943914</v>
      </c>
      <c r="H325" t="s">
        <v>412</v>
      </c>
      <c r="I325" s="4">
        <v>6624</v>
      </c>
      <c r="J325" s="4">
        <v>1657.9209599999999</v>
      </c>
    </row>
    <row r="326" spans="1:10" x14ac:dyDescent="0.35">
      <c r="A326">
        <v>3151271433</v>
      </c>
      <c r="B326" t="s">
        <v>696</v>
      </c>
      <c r="C326" t="s">
        <v>697</v>
      </c>
      <c r="D326" t="s">
        <v>708</v>
      </c>
      <c r="E326" t="s">
        <v>709</v>
      </c>
      <c r="F326" t="s">
        <v>201</v>
      </c>
      <c r="G326">
        <v>943914</v>
      </c>
      <c r="H326" t="s">
        <v>412</v>
      </c>
      <c r="I326" s="4">
        <v>9936</v>
      </c>
      <c r="J326" s="4">
        <v>2486.8814400000001</v>
      </c>
    </row>
    <row r="327" spans="1:10" x14ac:dyDescent="0.35">
      <c r="A327">
        <v>3151271434</v>
      </c>
      <c r="B327" t="s">
        <v>696</v>
      </c>
      <c r="C327" t="s">
        <v>697</v>
      </c>
      <c r="D327" t="s">
        <v>708</v>
      </c>
      <c r="E327" t="s">
        <v>709</v>
      </c>
      <c r="F327" t="s">
        <v>201</v>
      </c>
      <c r="G327">
        <v>943914</v>
      </c>
      <c r="H327" t="s">
        <v>412</v>
      </c>
      <c r="I327" s="4">
        <v>4608</v>
      </c>
      <c r="J327" s="4">
        <v>1153.3363200000001</v>
      </c>
    </row>
    <row r="328" spans="1:10" x14ac:dyDescent="0.35">
      <c r="A328">
        <v>3151271441</v>
      </c>
      <c r="B328" t="s">
        <v>696</v>
      </c>
      <c r="C328" t="s">
        <v>697</v>
      </c>
      <c r="D328" t="s">
        <v>708</v>
      </c>
      <c r="E328" t="s">
        <v>709</v>
      </c>
      <c r="F328" t="s">
        <v>201</v>
      </c>
      <c r="G328">
        <v>943914</v>
      </c>
      <c r="H328" t="s">
        <v>412</v>
      </c>
      <c r="I328" s="4">
        <v>2952</v>
      </c>
      <c r="J328" s="4">
        <v>738.85608000000002</v>
      </c>
    </row>
    <row r="329" spans="1:10" x14ac:dyDescent="0.35">
      <c r="A329">
        <v>3151271487</v>
      </c>
      <c r="B329" t="s">
        <v>696</v>
      </c>
      <c r="C329" t="s">
        <v>697</v>
      </c>
      <c r="D329" t="s">
        <v>708</v>
      </c>
      <c r="E329" t="s">
        <v>709</v>
      </c>
      <c r="F329" t="s">
        <v>201</v>
      </c>
      <c r="G329">
        <v>943914</v>
      </c>
      <c r="H329" t="s">
        <v>412</v>
      </c>
      <c r="I329" s="4">
        <v>7776</v>
      </c>
      <c r="J329" s="4">
        <v>1946.25504</v>
      </c>
    </row>
    <row r="330" spans="1:10" x14ac:dyDescent="0.35">
      <c r="A330">
        <v>3151271488</v>
      </c>
      <c r="B330" t="s">
        <v>696</v>
      </c>
      <c r="C330" t="s">
        <v>697</v>
      </c>
      <c r="D330" t="s">
        <v>708</v>
      </c>
      <c r="E330" t="s">
        <v>709</v>
      </c>
      <c r="F330" t="s">
        <v>201</v>
      </c>
      <c r="G330">
        <v>943914</v>
      </c>
      <c r="H330" t="s">
        <v>412</v>
      </c>
      <c r="I330" s="4">
        <v>5448</v>
      </c>
      <c r="J330" s="4">
        <v>1363.5799199999999</v>
      </c>
    </row>
    <row r="331" spans="1:10" x14ac:dyDescent="0.35">
      <c r="A331">
        <v>3151271445</v>
      </c>
      <c r="B331" t="s">
        <v>696</v>
      </c>
      <c r="C331" t="s">
        <v>697</v>
      </c>
      <c r="D331" t="s">
        <v>708</v>
      </c>
      <c r="E331" t="s">
        <v>709</v>
      </c>
      <c r="F331" t="s">
        <v>201</v>
      </c>
      <c r="G331">
        <v>943914</v>
      </c>
      <c r="H331" t="s">
        <v>412</v>
      </c>
      <c r="I331" s="4">
        <v>6912</v>
      </c>
      <c r="J331" s="4">
        <v>1730.0044800000001</v>
      </c>
    </row>
    <row r="332" spans="1:10" x14ac:dyDescent="0.35">
      <c r="A332">
        <v>3151272317</v>
      </c>
      <c r="B332" t="s">
        <v>696</v>
      </c>
      <c r="C332" t="s">
        <v>697</v>
      </c>
      <c r="D332" t="s">
        <v>708</v>
      </c>
      <c r="E332" t="s">
        <v>709</v>
      </c>
      <c r="G332">
        <v>943914</v>
      </c>
      <c r="H332" t="s">
        <v>412</v>
      </c>
      <c r="I332" s="4">
        <v>4320</v>
      </c>
      <c r="J332" s="4">
        <v>1081.2528</v>
      </c>
    </row>
    <row r="333" spans="1:10" x14ac:dyDescent="0.35">
      <c r="A333">
        <v>3151271497</v>
      </c>
      <c r="B333" t="s">
        <v>696</v>
      </c>
      <c r="C333" t="s">
        <v>697</v>
      </c>
      <c r="D333" t="s">
        <v>708</v>
      </c>
      <c r="E333" t="s">
        <v>709</v>
      </c>
      <c r="F333" t="s">
        <v>201</v>
      </c>
      <c r="G333">
        <v>943914</v>
      </c>
      <c r="H333" t="s">
        <v>412</v>
      </c>
      <c r="I333" s="4">
        <v>13968</v>
      </c>
      <c r="J333" s="4">
        <v>3496.0507199999997</v>
      </c>
    </row>
    <row r="334" spans="1:10" x14ac:dyDescent="0.35">
      <c r="A334">
        <v>3151271759</v>
      </c>
      <c r="B334" t="s">
        <v>696</v>
      </c>
      <c r="C334" t="s">
        <v>697</v>
      </c>
      <c r="D334" t="s">
        <v>708</v>
      </c>
      <c r="E334" t="s">
        <v>709</v>
      </c>
      <c r="F334" t="s">
        <v>201</v>
      </c>
      <c r="G334">
        <v>943914</v>
      </c>
      <c r="H334" t="s">
        <v>412</v>
      </c>
      <c r="I334" s="4">
        <v>11376</v>
      </c>
      <c r="J334" s="4">
        <v>2847.2990399999999</v>
      </c>
    </row>
    <row r="335" spans="1:10" x14ac:dyDescent="0.35">
      <c r="A335">
        <v>3151271760</v>
      </c>
      <c r="B335" t="s">
        <v>696</v>
      </c>
      <c r="C335" t="s">
        <v>697</v>
      </c>
      <c r="D335" t="s">
        <v>708</v>
      </c>
      <c r="E335" t="s">
        <v>709</v>
      </c>
      <c r="F335" t="s">
        <v>201</v>
      </c>
      <c r="G335">
        <v>943914</v>
      </c>
      <c r="H335" t="s">
        <v>412</v>
      </c>
      <c r="I335" s="4">
        <v>9072</v>
      </c>
      <c r="J335" s="4">
        <v>2270.6308800000002</v>
      </c>
    </row>
    <row r="336" spans="1:10" x14ac:dyDescent="0.35">
      <c r="A336">
        <v>3151271758</v>
      </c>
      <c r="B336" t="s">
        <v>696</v>
      </c>
      <c r="C336" t="s">
        <v>697</v>
      </c>
      <c r="D336" t="s">
        <v>710</v>
      </c>
      <c r="E336" t="s">
        <v>711</v>
      </c>
      <c r="F336" t="s">
        <v>201</v>
      </c>
      <c r="G336">
        <v>943915</v>
      </c>
      <c r="H336" t="s">
        <v>412</v>
      </c>
      <c r="I336" s="4">
        <v>32256</v>
      </c>
      <c r="J336" s="4">
        <v>5643.5097600000008</v>
      </c>
    </row>
    <row r="337" spans="1:10" x14ac:dyDescent="0.35">
      <c r="A337">
        <v>3151271492</v>
      </c>
      <c r="B337" t="s">
        <v>696</v>
      </c>
      <c r="C337" t="s">
        <v>697</v>
      </c>
      <c r="D337" t="s">
        <v>710</v>
      </c>
      <c r="E337" t="s">
        <v>711</v>
      </c>
      <c r="F337" t="s">
        <v>201</v>
      </c>
      <c r="G337">
        <v>943915</v>
      </c>
      <c r="H337" t="s">
        <v>412</v>
      </c>
      <c r="I337" s="4">
        <v>2304</v>
      </c>
      <c r="J337" s="4">
        <v>403.10784000000001</v>
      </c>
    </row>
    <row r="338" spans="1:10" x14ac:dyDescent="0.35">
      <c r="A338">
        <v>3151271493</v>
      </c>
      <c r="B338" t="s">
        <v>696</v>
      </c>
      <c r="C338" t="s">
        <v>697</v>
      </c>
      <c r="D338" t="s">
        <v>710</v>
      </c>
      <c r="E338" t="s">
        <v>711</v>
      </c>
      <c r="F338" t="s">
        <v>201</v>
      </c>
      <c r="G338">
        <v>943915</v>
      </c>
      <c r="H338" t="s">
        <v>412</v>
      </c>
      <c r="I338" s="4">
        <v>10368</v>
      </c>
      <c r="J338" s="4">
        <v>1813.9852800000001</v>
      </c>
    </row>
    <row r="339" spans="1:10" x14ac:dyDescent="0.35">
      <c r="A339">
        <v>3151271435</v>
      </c>
      <c r="B339" t="s">
        <v>696</v>
      </c>
      <c r="C339" t="s">
        <v>697</v>
      </c>
      <c r="D339" t="s">
        <v>710</v>
      </c>
      <c r="E339" t="s">
        <v>711</v>
      </c>
      <c r="F339" t="s">
        <v>201</v>
      </c>
      <c r="G339">
        <v>943915</v>
      </c>
      <c r="H339" t="s">
        <v>412</v>
      </c>
      <c r="I339" s="4">
        <v>14976</v>
      </c>
      <c r="J339" s="4">
        <v>2620.2009600000001</v>
      </c>
    </row>
    <row r="340" spans="1:10" x14ac:dyDescent="0.35">
      <c r="A340">
        <v>3151271494</v>
      </c>
      <c r="B340" t="s">
        <v>696</v>
      </c>
      <c r="C340" t="s">
        <v>697</v>
      </c>
      <c r="D340" t="s">
        <v>710</v>
      </c>
      <c r="E340" t="s">
        <v>711</v>
      </c>
      <c r="F340" t="s">
        <v>201</v>
      </c>
      <c r="G340">
        <v>943915</v>
      </c>
      <c r="H340" t="s">
        <v>412</v>
      </c>
      <c r="I340" s="4">
        <v>14256</v>
      </c>
      <c r="J340" s="4">
        <v>2494.2297600000002</v>
      </c>
    </row>
    <row r="341" spans="1:10" x14ac:dyDescent="0.35">
      <c r="A341">
        <v>3151271438</v>
      </c>
      <c r="B341" t="s">
        <v>696</v>
      </c>
      <c r="C341" t="s">
        <v>697</v>
      </c>
      <c r="D341" t="s">
        <v>712</v>
      </c>
      <c r="E341" t="s">
        <v>713</v>
      </c>
      <c r="F341" t="s">
        <v>201</v>
      </c>
      <c r="G341">
        <v>943912</v>
      </c>
      <c r="H341" t="s">
        <v>415</v>
      </c>
      <c r="I341" s="4">
        <v>12840</v>
      </c>
      <c r="J341" s="4">
        <v>6303.1046400000005</v>
      </c>
    </row>
    <row r="342" spans="1:10" x14ac:dyDescent="0.35">
      <c r="A342">
        <v>3151271447</v>
      </c>
      <c r="B342" t="s">
        <v>696</v>
      </c>
      <c r="C342" t="s">
        <v>697</v>
      </c>
      <c r="D342" t="s">
        <v>712</v>
      </c>
      <c r="E342" t="s">
        <v>713</v>
      </c>
      <c r="F342" t="s">
        <v>201</v>
      </c>
      <c r="G342">
        <v>943912</v>
      </c>
      <c r="H342" t="s">
        <v>415</v>
      </c>
      <c r="I342" s="4">
        <v>12960</v>
      </c>
      <c r="J342" s="4">
        <v>6362.0121600000002</v>
      </c>
    </row>
    <row r="343" spans="1:10" x14ac:dyDescent="0.35">
      <c r="A343">
        <v>3151271758</v>
      </c>
      <c r="B343" t="s">
        <v>696</v>
      </c>
      <c r="C343" t="s">
        <v>697</v>
      </c>
      <c r="D343" t="s">
        <v>712</v>
      </c>
      <c r="E343" t="s">
        <v>713</v>
      </c>
      <c r="F343" t="s">
        <v>201</v>
      </c>
      <c r="G343">
        <v>943912</v>
      </c>
      <c r="H343" t="s">
        <v>415</v>
      </c>
      <c r="I343" s="4">
        <v>3456</v>
      </c>
      <c r="J343" s="4">
        <v>1696.5365760000002</v>
      </c>
    </row>
    <row r="344" spans="1:10" x14ac:dyDescent="0.35">
      <c r="A344">
        <v>3151271484</v>
      </c>
      <c r="B344" t="s">
        <v>696</v>
      </c>
      <c r="C344" t="s">
        <v>697</v>
      </c>
      <c r="D344" t="s">
        <v>712</v>
      </c>
      <c r="E344" t="s">
        <v>713</v>
      </c>
      <c r="F344" t="s">
        <v>201</v>
      </c>
      <c r="G344">
        <v>943912</v>
      </c>
      <c r="H344" t="s">
        <v>415</v>
      </c>
      <c r="I344" s="4">
        <v>9720</v>
      </c>
      <c r="J344" s="4">
        <v>4771.5091200000006</v>
      </c>
    </row>
    <row r="345" spans="1:10" x14ac:dyDescent="0.35">
      <c r="A345">
        <v>3151271485</v>
      </c>
      <c r="B345" t="s">
        <v>696</v>
      </c>
      <c r="C345" t="s">
        <v>697</v>
      </c>
      <c r="D345" t="s">
        <v>712</v>
      </c>
      <c r="E345" t="s">
        <v>713</v>
      </c>
      <c r="F345" t="s">
        <v>201</v>
      </c>
      <c r="G345">
        <v>943912</v>
      </c>
      <c r="H345" t="s">
        <v>415</v>
      </c>
      <c r="I345" s="4">
        <v>4896</v>
      </c>
      <c r="J345" s="4">
        <v>2403.4268160000001</v>
      </c>
    </row>
    <row r="346" spans="1:10" x14ac:dyDescent="0.35">
      <c r="A346">
        <v>3151271492</v>
      </c>
      <c r="B346" t="s">
        <v>696</v>
      </c>
      <c r="C346" t="s">
        <v>697</v>
      </c>
      <c r="D346" t="s">
        <v>712</v>
      </c>
      <c r="E346" t="s">
        <v>713</v>
      </c>
      <c r="F346" t="s">
        <v>201</v>
      </c>
      <c r="G346">
        <v>943912</v>
      </c>
      <c r="H346" t="s">
        <v>415</v>
      </c>
      <c r="I346" s="4">
        <v>3600</v>
      </c>
      <c r="J346" s="4">
        <v>1767.2256000000002</v>
      </c>
    </row>
    <row r="347" spans="1:10" x14ac:dyDescent="0.35">
      <c r="A347">
        <v>3151271493</v>
      </c>
      <c r="B347" t="s">
        <v>696</v>
      </c>
      <c r="C347" t="s">
        <v>697</v>
      </c>
      <c r="D347" t="s">
        <v>712</v>
      </c>
      <c r="E347" t="s">
        <v>713</v>
      </c>
      <c r="F347" t="s">
        <v>201</v>
      </c>
      <c r="G347">
        <v>943912</v>
      </c>
      <c r="H347" t="s">
        <v>415</v>
      </c>
      <c r="I347" s="4">
        <v>6696</v>
      </c>
      <c r="J347" s="4">
        <v>3287.039616</v>
      </c>
    </row>
    <row r="348" spans="1:10" x14ac:dyDescent="0.35">
      <c r="A348">
        <v>3151271433</v>
      </c>
      <c r="B348" t="s">
        <v>696</v>
      </c>
      <c r="C348" t="s">
        <v>697</v>
      </c>
      <c r="D348" t="s">
        <v>712</v>
      </c>
      <c r="E348" t="s">
        <v>713</v>
      </c>
      <c r="F348" t="s">
        <v>201</v>
      </c>
      <c r="G348">
        <v>943912</v>
      </c>
      <c r="H348" t="s">
        <v>415</v>
      </c>
      <c r="I348" s="4">
        <v>7344</v>
      </c>
      <c r="J348" s="4">
        <v>3605.1402240000002</v>
      </c>
    </row>
    <row r="349" spans="1:10" x14ac:dyDescent="0.35">
      <c r="A349">
        <v>3151271434</v>
      </c>
      <c r="B349" t="s">
        <v>696</v>
      </c>
      <c r="C349" t="s">
        <v>697</v>
      </c>
      <c r="D349" t="s">
        <v>712</v>
      </c>
      <c r="E349" t="s">
        <v>713</v>
      </c>
      <c r="F349" t="s">
        <v>201</v>
      </c>
      <c r="G349">
        <v>943912</v>
      </c>
      <c r="H349" t="s">
        <v>415</v>
      </c>
      <c r="I349" s="4">
        <v>6264</v>
      </c>
      <c r="J349" s="4">
        <v>3074.9725440000002</v>
      </c>
    </row>
    <row r="350" spans="1:10" x14ac:dyDescent="0.35">
      <c r="A350">
        <v>3151271435</v>
      </c>
      <c r="B350" t="s">
        <v>696</v>
      </c>
      <c r="C350" t="s">
        <v>697</v>
      </c>
      <c r="D350" t="s">
        <v>712</v>
      </c>
      <c r="E350" t="s">
        <v>713</v>
      </c>
      <c r="F350" t="s">
        <v>201</v>
      </c>
      <c r="G350">
        <v>943912</v>
      </c>
      <c r="H350" t="s">
        <v>415</v>
      </c>
      <c r="I350" s="4">
        <v>6912</v>
      </c>
      <c r="J350" s="4">
        <v>3393.0731520000004</v>
      </c>
    </row>
    <row r="351" spans="1:10" x14ac:dyDescent="0.35">
      <c r="A351">
        <v>3151271439</v>
      </c>
      <c r="B351" t="s">
        <v>696</v>
      </c>
      <c r="C351" t="s">
        <v>697</v>
      </c>
      <c r="D351" t="s">
        <v>712</v>
      </c>
      <c r="E351" t="s">
        <v>713</v>
      </c>
      <c r="F351" t="s">
        <v>201</v>
      </c>
      <c r="G351">
        <v>943912</v>
      </c>
      <c r="H351" t="s">
        <v>415</v>
      </c>
      <c r="I351" s="4">
        <v>16200</v>
      </c>
      <c r="J351" s="4">
        <v>7952.5152000000007</v>
      </c>
    </row>
    <row r="352" spans="1:10" x14ac:dyDescent="0.35">
      <c r="A352">
        <v>3151271441</v>
      </c>
      <c r="B352" t="s">
        <v>696</v>
      </c>
      <c r="C352" t="s">
        <v>697</v>
      </c>
      <c r="D352" t="s">
        <v>712</v>
      </c>
      <c r="E352" t="s">
        <v>713</v>
      </c>
      <c r="F352" t="s">
        <v>201</v>
      </c>
      <c r="G352">
        <v>943912</v>
      </c>
      <c r="H352" t="s">
        <v>415</v>
      </c>
      <c r="I352" s="4">
        <v>4032</v>
      </c>
      <c r="J352" s="4">
        <v>1979.292672</v>
      </c>
    </row>
    <row r="353" spans="1:10" x14ac:dyDescent="0.35">
      <c r="A353">
        <v>3151271487</v>
      </c>
      <c r="B353" t="s">
        <v>696</v>
      </c>
      <c r="C353" t="s">
        <v>697</v>
      </c>
      <c r="D353" t="s">
        <v>712</v>
      </c>
      <c r="E353" t="s">
        <v>713</v>
      </c>
      <c r="F353" t="s">
        <v>201</v>
      </c>
      <c r="G353">
        <v>943912</v>
      </c>
      <c r="H353" t="s">
        <v>415</v>
      </c>
      <c r="I353" s="4">
        <v>9240</v>
      </c>
      <c r="J353" s="4">
        <v>4535.8790399999998</v>
      </c>
    </row>
    <row r="354" spans="1:10" x14ac:dyDescent="0.35">
      <c r="A354">
        <v>3151271488</v>
      </c>
      <c r="B354" t="s">
        <v>696</v>
      </c>
      <c r="C354" t="s">
        <v>697</v>
      </c>
      <c r="D354" t="s">
        <v>712</v>
      </c>
      <c r="E354" t="s">
        <v>713</v>
      </c>
      <c r="F354" t="s">
        <v>201</v>
      </c>
      <c r="G354">
        <v>943912</v>
      </c>
      <c r="H354" t="s">
        <v>415</v>
      </c>
      <c r="I354" s="4">
        <v>3108</v>
      </c>
      <c r="J354" s="4">
        <v>1525.7047680000003</v>
      </c>
    </row>
    <row r="355" spans="1:10" x14ac:dyDescent="0.35">
      <c r="A355">
        <v>3151271494</v>
      </c>
      <c r="B355" t="s">
        <v>696</v>
      </c>
      <c r="C355" t="s">
        <v>697</v>
      </c>
      <c r="D355" t="s">
        <v>712</v>
      </c>
      <c r="E355" t="s">
        <v>713</v>
      </c>
      <c r="F355" t="s">
        <v>201</v>
      </c>
      <c r="G355">
        <v>943912</v>
      </c>
      <c r="H355" t="s">
        <v>415</v>
      </c>
      <c r="I355" s="4">
        <v>5832</v>
      </c>
      <c r="J355" s="4">
        <v>2862.9054719999999</v>
      </c>
    </row>
    <row r="356" spans="1:10" x14ac:dyDescent="0.35">
      <c r="A356">
        <v>3151271496</v>
      </c>
      <c r="B356" t="s">
        <v>696</v>
      </c>
      <c r="C356" t="s">
        <v>697</v>
      </c>
      <c r="D356" t="s">
        <v>712</v>
      </c>
      <c r="E356" t="s">
        <v>713</v>
      </c>
      <c r="F356" t="s">
        <v>201</v>
      </c>
      <c r="G356">
        <v>943912</v>
      </c>
      <c r="H356" t="s">
        <v>415</v>
      </c>
      <c r="I356" s="4">
        <v>10728</v>
      </c>
      <c r="J356" s="4">
        <v>5266.3322879999996</v>
      </c>
    </row>
    <row r="357" spans="1:10" x14ac:dyDescent="0.35">
      <c r="A357">
        <v>3151271445</v>
      </c>
      <c r="B357" t="s">
        <v>696</v>
      </c>
      <c r="C357" t="s">
        <v>697</v>
      </c>
      <c r="D357" t="s">
        <v>712</v>
      </c>
      <c r="E357" t="s">
        <v>713</v>
      </c>
      <c r="F357" t="s">
        <v>201</v>
      </c>
      <c r="G357">
        <v>943912</v>
      </c>
      <c r="H357" t="s">
        <v>415</v>
      </c>
      <c r="I357" s="4">
        <v>7452</v>
      </c>
      <c r="J357" s="4">
        <v>3658.1569920000002</v>
      </c>
    </row>
    <row r="358" spans="1:10" x14ac:dyDescent="0.35">
      <c r="A358">
        <v>3151272317</v>
      </c>
      <c r="B358" t="s">
        <v>696</v>
      </c>
      <c r="C358" t="s">
        <v>697</v>
      </c>
      <c r="D358" t="s">
        <v>712</v>
      </c>
      <c r="E358" t="s">
        <v>713</v>
      </c>
      <c r="G358">
        <v>943912</v>
      </c>
      <c r="H358" t="s">
        <v>415</v>
      </c>
      <c r="I358" s="4">
        <v>648</v>
      </c>
      <c r="J358" s="4">
        <v>318.10060800000002</v>
      </c>
    </row>
    <row r="359" spans="1:10" x14ac:dyDescent="0.35">
      <c r="A359">
        <v>3151271497</v>
      </c>
      <c r="B359" t="s">
        <v>696</v>
      </c>
      <c r="C359" t="s">
        <v>697</v>
      </c>
      <c r="D359" t="s">
        <v>712</v>
      </c>
      <c r="E359" t="s">
        <v>713</v>
      </c>
      <c r="F359" t="s">
        <v>201</v>
      </c>
      <c r="G359">
        <v>943912</v>
      </c>
      <c r="H359" t="s">
        <v>415</v>
      </c>
      <c r="I359" s="4">
        <v>2808</v>
      </c>
      <c r="J359" s="4">
        <v>1378.4359680000002</v>
      </c>
    </row>
    <row r="360" spans="1:10" x14ac:dyDescent="0.35">
      <c r="A360">
        <v>3151271759</v>
      </c>
      <c r="B360" t="s">
        <v>696</v>
      </c>
      <c r="C360" t="s">
        <v>697</v>
      </c>
      <c r="D360" t="s">
        <v>712</v>
      </c>
      <c r="E360" t="s">
        <v>713</v>
      </c>
      <c r="F360" t="s">
        <v>201</v>
      </c>
      <c r="G360">
        <v>943912</v>
      </c>
      <c r="H360" t="s">
        <v>415</v>
      </c>
      <c r="I360" s="4">
        <v>6876</v>
      </c>
      <c r="J360" s="4">
        <v>3375.4008960000001</v>
      </c>
    </row>
    <row r="361" spans="1:10" x14ac:dyDescent="0.35">
      <c r="A361">
        <v>3151271760</v>
      </c>
      <c r="B361" t="s">
        <v>696</v>
      </c>
      <c r="C361" t="s">
        <v>697</v>
      </c>
      <c r="D361" t="s">
        <v>712</v>
      </c>
      <c r="E361" t="s">
        <v>713</v>
      </c>
      <c r="F361" t="s">
        <v>201</v>
      </c>
      <c r="G361">
        <v>943912</v>
      </c>
      <c r="H361" t="s">
        <v>415</v>
      </c>
      <c r="I361" s="4">
        <v>7776</v>
      </c>
      <c r="J361" s="4">
        <v>3817.207296</v>
      </c>
    </row>
    <row r="362" spans="1:10" x14ac:dyDescent="0.35">
      <c r="A362">
        <v>3151271357</v>
      </c>
      <c r="B362" t="s">
        <v>696</v>
      </c>
      <c r="C362" t="s">
        <v>714</v>
      </c>
      <c r="D362" t="s">
        <v>698</v>
      </c>
      <c r="E362" t="s">
        <v>715</v>
      </c>
      <c r="G362">
        <v>943909</v>
      </c>
      <c r="H362" t="s">
        <v>421</v>
      </c>
      <c r="I362" s="4">
        <v>2646</v>
      </c>
      <c r="J362" s="4">
        <v>2395.1592000000001</v>
      </c>
    </row>
    <row r="363" spans="1:10" x14ac:dyDescent="0.35">
      <c r="A363">
        <v>3151271486</v>
      </c>
      <c r="B363" t="s">
        <v>696</v>
      </c>
      <c r="C363" t="s">
        <v>714</v>
      </c>
      <c r="D363" t="s">
        <v>698</v>
      </c>
      <c r="E363" t="s">
        <v>715</v>
      </c>
      <c r="F363" t="s">
        <v>201</v>
      </c>
      <c r="G363">
        <v>943909</v>
      </c>
      <c r="H363" t="s">
        <v>421</v>
      </c>
      <c r="I363" s="4">
        <v>882</v>
      </c>
      <c r="J363" s="4">
        <v>798.38640000000009</v>
      </c>
    </row>
    <row r="364" spans="1:10" x14ac:dyDescent="0.35">
      <c r="A364">
        <v>3151271081</v>
      </c>
      <c r="B364" t="s">
        <v>696</v>
      </c>
      <c r="C364" t="s">
        <v>714</v>
      </c>
      <c r="D364" t="s">
        <v>698</v>
      </c>
      <c r="E364" t="s">
        <v>715</v>
      </c>
      <c r="G364">
        <v>943909</v>
      </c>
      <c r="H364" t="s">
        <v>421</v>
      </c>
      <c r="I364" s="4">
        <v>1890</v>
      </c>
      <c r="J364" s="4">
        <v>1710.828</v>
      </c>
    </row>
    <row r="365" spans="1:10" x14ac:dyDescent="0.35">
      <c r="A365">
        <v>3151271114</v>
      </c>
      <c r="B365" t="s">
        <v>696</v>
      </c>
      <c r="C365" t="s">
        <v>714</v>
      </c>
      <c r="D365" t="s">
        <v>698</v>
      </c>
      <c r="E365" t="s">
        <v>715</v>
      </c>
      <c r="G365">
        <v>943909</v>
      </c>
      <c r="H365" t="s">
        <v>421</v>
      </c>
      <c r="I365" s="4">
        <v>2268</v>
      </c>
      <c r="J365" s="4">
        <v>2052.9936000000002</v>
      </c>
    </row>
    <row r="366" spans="1:10" x14ac:dyDescent="0.35">
      <c r="A366">
        <v>3151271432</v>
      </c>
      <c r="B366" t="s">
        <v>696</v>
      </c>
      <c r="C366" t="s">
        <v>714</v>
      </c>
      <c r="D366" t="s">
        <v>698</v>
      </c>
      <c r="E366" t="s">
        <v>715</v>
      </c>
      <c r="F366" t="s">
        <v>201</v>
      </c>
      <c r="G366">
        <v>943909</v>
      </c>
      <c r="H366" t="s">
        <v>421</v>
      </c>
      <c r="I366" s="4">
        <v>2142</v>
      </c>
      <c r="J366" s="4">
        <v>1938.9384000000002</v>
      </c>
    </row>
    <row r="367" spans="1:10" x14ac:dyDescent="0.35">
      <c r="A367">
        <v>3151271489</v>
      </c>
      <c r="B367" t="s">
        <v>696</v>
      </c>
      <c r="C367" t="s">
        <v>714</v>
      </c>
      <c r="D367" t="s">
        <v>698</v>
      </c>
      <c r="E367" t="s">
        <v>715</v>
      </c>
      <c r="F367" t="s">
        <v>201</v>
      </c>
      <c r="G367">
        <v>943909</v>
      </c>
      <c r="H367" t="s">
        <v>421</v>
      </c>
      <c r="I367" s="4">
        <v>3906</v>
      </c>
      <c r="J367" s="4">
        <v>3535.7112000000002</v>
      </c>
    </row>
    <row r="368" spans="1:10" x14ac:dyDescent="0.35">
      <c r="A368">
        <v>3151271504</v>
      </c>
      <c r="B368" t="s">
        <v>696</v>
      </c>
      <c r="C368" t="s">
        <v>714</v>
      </c>
      <c r="D368" t="s">
        <v>698</v>
      </c>
      <c r="E368" t="s">
        <v>715</v>
      </c>
      <c r="F368" t="s">
        <v>201</v>
      </c>
      <c r="G368">
        <v>943909</v>
      </c>
      <c r="H368" t="s">
        <v>421</v>
      </c>
      <c r="I368" s="4">
        <v>1512</v>
      </c>
      <c r="J368" s="4">
        <v>1368.6624000000002</v>
      </c>
    </row>
    <row r="369" spans="1:10" x14ac:dyDescent="0.35">
      <c r="A369">
        <v>3151271357</v>
      </c>
      <c r="B369" t="s">
        <v>696</v>
      </c>
      <c r="C369" t="s">
        <v>714</v>
      </c>
      <c r="D369" t="s">
        <v>702</v>
      </c>
      <c r="E369" t="s">
        <v>716</v>
      </c>
      <c r="G369">
        <v>943910</v>
      </c>
      <c r="H369" t="s">
        <v>433</v>
      </c>
      <c r="I369" s="4">
        <v>12960</v>
      </c>
      <c r="J369" s="4">
        <v>1180.70784</v>
      </c>
    </row>
    <row r="370" spans="1:10" x14ac:dyDescent="0.35">
      <c r="A370">
        <v>3151271114</v>
      </c>
      <c r="B370" t="s">
        <v>696</v>
      </c>
      <c r="C370" t="s">
        <v>714</v>
      </c>
      <c r="D370" t="s">
        <v>702</v>
      </c>
      <c r="E370" t="s">
        <v>716</v>
      </c>
      <c r="G370">
        <v>943910</v>
      </c>
      <c r="H370" t="s">
        <v>433</v>
      </c>
      <c r="I370" s="4">
        <v>10440</v>
      </c>
      <c r="J370" s="4">
        <v>951.12576000000001</v>
      </c>
    </row>
    <row r="371" spans="1:10" x14ac:dyDescent="0.35">
      <c r="A371">
        <v>3151271504</v>
      </c>
      <c r="B371" t="s">
        <v>696</v>
      </c>
      <c r="C371" t="s">
        <v>714</v>
      </c>
      <c r="D371" t="s">
        <v>702</v>
      </c>
      <c r="E371" t="s">
        <v>716</v>
      </c>
      <c r="F371" t="s">
        <v>201</v>
      </c>
      <c r="G371">
        <v>943910</v>
      </c>
      <c r="H371" t="s">
        <v>433</v>
      </c>
      <c r="I371" s="4">
        <v>9768</v>
      </c>
      <c r="J371" s="4">
        <v>889.90387199999998</v>
      </c>
    </row>
    <row r="372" spans="1:10" x14ac:dyDescent="0.35">
      <c r="A372">
        <v>3151271486</v>
      </c>
      <c r="B372" t="s">
        <v>696</v>
      </c>
      <c r="C372" t="s">
        <v>714</v>
      </c>
      <c r="D372" t="s">
        <v>706</v>
      </c>
      <c r="E372" t="s">
        <v>717</v>
      </c>
      <c r="F372" t="s">
        <v>201</v>
      </c>
      <c r="G372">
        <v>943908</v>
      </c>
      <c r="H372" t="s">
        <v>412</v>
      </c>
      <c r="I372" s="4">
        <v>7800</v>
      </c>
      <c r="J372" s="4">
        <v>1129.6895999999999</v>
      </c>
    </row>
    <row r="373" spans="1:10" x14ac:dyDescent="0.35">
      <c r="A373">
        <v>3151271081</v>
      </c>
      <c r="B373" t="s">
        <v>696</v>
      </c>
      <c r="C373" t="s">
        <v>714</v>
      </c>
      <c r="D373" t="s">
        <v>706</v>
      </c>
      <c r="E373" t="s">
        <v>717</v>
      </c>
      <c r="G373">
        <v>943908</v>
      </c>
      <c r="H373" t="s">
        <v>412</v>
      </c>
      <c r="I373" s="4">
        <v>9720</v>
      </c>
      <c r="J373" s="4">
        <v>1407.7670400000002</v>
      </c>
    </row>
    <row r="374" spans="1:10" x14ac:dyDescent="0.35">
      <c r="A374">
        <v>3151271111</v>
      </c>
      <c r="B374" t="s">
        <v>696</v>
      </c>
      <c r="C374" t="s">
        <v>714</v>
      </c>
      <c r="D374" t="s">
        <v>706</v>
      </c>
      <c r="E374" t="s">
        <v>717</v>
      </c>
      <c r="G374">
        <v>943908</v>
      </c>
      <c r="H374" t="s">
        <v>412</v>
      </c>
      <c r="I374" s="4">
        <v>10008</v>
      </c>
      <c r="J374" s="4">
        <v>1449.478656</v>
      </c>
    </row>
    <row r="375" spans="1:10" x14ac:dyDescent="0.35">
      <c r="A375">
        <v>3151271432</v>
      </c>
      <c r="B375" t="s">
        <v>696</v>
      </c>
      <c r="C375" t="s">
        <v>714</v>
      </c>
      <c r="D375" t="s">
        <v>706</v>
      </c>
      <c r="E375" t="s">
        <v>717</v>
      </c>
      <c r="F375" t="s">
        <v>201</v>
      </c>
      <c r="G375">
        <v>943908</v>
      </c>
      <c r="H375" t="s">
        <v>412</v>
      </c>
      <c r="I375" s="4">
        <v>4536</v>
      </c>
      <c r="J375" s="4">
        <v>656.95795199999998</v>
      </c>
    </row>
    <row r="376" spans="1:10" x14ac:dyDescent="0.35">
      <c r="A376">
        <v>3151271489</v>
      </c>
      <c r="B376" t="s">
        <v>696</v>
      </c>
      <c r="C376" t="s">
        <v>714</v>
      </c>
      <c r="D376" t="s">
        <v>706</v>
      </c>
      <c r="E376" t="s">
        <v>717</v>
      </c>
      <c r="F376" t="s">
        <v>201</v>
      </c>
      <c r="G376">
        <v>943908</v>
      </c>
      <c r="H376" t="s">
        <v>412</v>
      </c>
      <c r="I376" s="4">
        <v>5664</v>
      </c>
      <c r="J376" s="4">
        <v>820.32844799999998</v>
      </c>
    </row>
    <row r="377" spans="1:10" x14ac:dyDescent="0.35">
      <c r="A377">
        <v>3151271490</v>
      </c>
      <c r="B377" t="s">
        <v>696</v>
      </c>
      <c r="C377" t="s">
        <v>714</v>
      </c>
      <c r="D377" t="s">
        <v>706</v>
      </c>
      <c r="E377" t="s">
        <v>717</v>
      </c>
      <c r="F377" t="s">
        <v>201</v>
      </c>
      <c r="G377">
        <v>943908</v>
      </c>
      <c r="H377" t="s">
        <v>412</v>
      </c>
      <c r="I377" s="4">
        <v>9552</v>
      </c>
      <c r="J377" s="4">
        <v>1383.435264</v>
      </c>
    </row>
    <row r="378" spans="1:10" x14ac:dyDescent="0.35">
      <c r="A378">
        <v>3151271483</v>
      </c>
      <c r="B378" t="s">
        <v>696</v>
      </c>
      <c r="C378" t="s">
        <v>714</v>
      </c>
      <c r="D378" t="s">
        <v>708</v>
      </c>
      <c r="E378" t="s">
        <v>718</v>
      </c>
      <c r="F378" t="s">
        <v>201</v>
      </c>
      <c r="G378">
        <v>943906</v>
      </c>
      <c r="H378" t="s">
        <v>412</v>
      </c>
      <c r="I378" s="4">
        <v>26304</v>
      </c>
      <c r="J378" s="4">
        <v>7924.7375999999995</v>
      </c>
    </row>
    <row r="379" spans="1:10" x14ac:dyDescent="0.35">
      <c r="A379">
        <v>3151271486</v>
      </c>
      <c r="B379" t="s">
        <v>696</v>
      </c>
      <c r="C379" t="s">
        <v>714</v>
      </c>
      <c r="D379" t="s">
        <v>708</v>
      </c>
      <c r="E379" t="s">
        <v>718</v>
      </c>
      <c r="F379" t="s">
        <v>201</v>
      </c>
      <c r="G379">
        <v>943906</v>
      </c>
      <c r="H379" t="s">
        <v>412</v>
      </c>
      <c r="I379" s="4">
        <v>15120</v>
      </c>
      <c r="J379" s="4">
        <v>4555.2780000000002</v>
      </c>
    </row>
    <row r="380" spans="1:10" x14ac:dyDescent="0.35">
      <c r="A380">
        <v>3151271081</v>
      </c>
      <c r="B380" t="s">
        <v>696</v>
      </c>
      <c r="C380" t="s">
        <v>714</v>
      </c>
      <c r="D380" t="s">
        <v>708</v>
      </c>
      <c r="E380" t="s">
        <v>718</v>
      </c>
      <c r="G380">
        <v>943906</v>
      </c>
      <c r="H380" t="s">
        <v>412</v>
      </c>
      <c r="I380" s="4">
        <v>4320</v>
      </c>
      <c r="J380" s="4">
        <v>1301.508</v>
      </c>
    </row>
    <row r="381" spans="1:10" x14ac:dyDescent="0.35">
      <c r="A381">
        <v>3151271111</v>
      </c>
      <c r="B381" t="s">
        <v>696</v>
      </c>
      <c r="C381" t="s">
        <v>714</v>
      </c>
      <c r="D381" t="s">
        <v>708</v>
      </c>
      <c r="E381" t="s">
        <v>718</v>
      </c>
      <c r="G381">
        <v>943906</v>
      </c>
      <c r="H381" t="s">
        <v>412</v>
      </c>
      <c r="I381" s="4">
        <v>7488</v>
      </c>
      <c r="J381" s="4">
        <v>2255.9471999999996</v>
      </c>
    </row>
    <row r="382" spans="1:10" x14ac:dyDescent="0.35">
      <c r="A382">
        <v>3151271432</v>
      </c>
      <c r="B382" t="s">
        <v>696</v>
      </c>
      <c r="C382" t="s">
        <v>714</v>
      </c>
      <c r="D382" t="s">
        <v>708</v>
      </c>
      <c r="E382" t="s">
        <v>718</v>
      </c>
      <c r="F382" t="s">
        <v>201</v>
      </c>
      <c r="G382">
        <v>943906</v>
      </c>
      <c r="H382" t="s">
        <v>412</v>
      </c>
      <c r="I382" s="4">
        <v>9072</v>
      </c>
      <c r="J382" s="4">
        <v>2733.1668</v>
      </c>
    </row>
    <row r="383" spans="1:10" x14ac:dyDescent="0.35">
      <c r="A383">
        <v>3151271489</v>
      </c>
      <c r="B383" t="s">
        <v>696</v>
      </c>
      <c r="C383" t="s">
        <v>714</v>
      </c>
      <c r="D383" t="s">
        <v>708</v>
      </c>
      <c r="E383" t="s">
        <v>718</v>
      </c>
      <c r="F383" t="s">
        <v>201</v>
      </c>
      <c r="G383">
        <v>943906</v>
      </c>
      <c r="H383" t="s">
        <v>412</v>
      </c>
      <c r="I383" s="4">
        <v>864</v>
      </c>
      <c r="J383" s="4">
        <v>260.30160000000001</v>
      </c>
    </row>
    <row r="384" spans="1:10" x14ac:dyDescent="0.35">
      <c r="A384">
        <v>3151271490</v>
      </c>
      <c r="B384" t="s">
        <v>696</v>
      </c>
      <c r="C384" t="s">
        <v>714</v>
      </c>
      <c r="D384" t="s">
        <v>708</v>
      </c>
      <c r="E384" t="s">
        <v>718</v>
      </c>
      <c r="F384" t="s">
        <v>201</v>
      </c>
      <c r="G384">
        <v>943906</v>
      </c>
      <c r="H384" t="s">
        <v>412</v>
      </c>
      <c r="I384" s="4">
        <v>6336</v>
      </c>
      <c r="J384" s="4">
        <v>1908.8784000000001</v>
      </c>
    </row>
    <row r="385" spans="1:10" x14ac:dyDescent="0.35">
      <c r="A385">
        <v>3151271357</v>
      </c>
      <c r="B385" t="s">
        <v>696</v>
      </c>
      <c r="C385" t="s">
        <v>714</v>
      </c>
      <c r="D385" t="s">
        <v>710</v>
      </c>
      <c r="E385" t="s">
        <v>719</v>
      </c>
      <c r="G385">
        <v>943907</v>
      </c>
      <c r="H385" t="s">
        <v>412</v>
      </c>
      <c r="I385" s="4">
        <v>13152</v>
      </c>
      <c r="J385" s="4">
        <v>2769.8111999999996</v>
      </c>
    </row>
    <row r="386" spans="1:10" x14ac:dyDescent="0.35">
      <c r="A386">
        <v>3151271114</v>
      </c>
      <c r="B386" t="s">
        <v>696</v>
      </c>
      <c r="C386" t="s">
        <v>714</v>
      </c>
      <c r="D386" t="s">
        <v>710</v>
      </c>
      <c r="E386" t="s">
        <v>719</v>
      </c>
      <c r="G386">
        <v>943907</v>
      </c>
      <c r="H386" t="s">
        <v>412</v>
      </c>
      <c r="I386" s="4">
        <v>10800</v>
      </c>
      <c r="J386" s="4">
        <v>2274.48</v>
      </c>
    </row>
    <row r="387" spans="1:10" x14ac:dyDescent="0.35">
      <c r="A387">
        <v>3151271504</v>
      </c>
      <c r="B387" t="s">
        <v>696</v>
      </c>
      <c r="C387" t="s">
        <v>714</v>
      </c>
      <c r="D387" t="s">
        <v>710</v>
      </c>
      <c r="E387" t="s">
        <v>719</v>
      </c>
      <c r="F387" t="s">
        <v>201</v>
      </c>
      <c r="G387">
        <v>943907</v>
      </c>
      <c r="H387" t="s">
        <v>412</v>
      </c>
      <c r="I387" s="4">
        <v>9936</v>
      </c>
      <c r="J387" s="4">
        <v>2092.5216</v>
      </c>
    </row>
    <row r="388" spans="1:10" x14ac:dyDescent="0.35">
      <c r="A388">
        <v>3151271357</v>
      </c>
      <c r="B388" t="s">
        <v>696</v>
      </c>
      <c r="C388" t="s">
        <v>714</v>
      </c>
      <c r="D388" t="s">
        <v>712</v>
      </c>
      <c r="E388" t="s">
        <v>720</v>
      </c>
      <c r="G388">
        <v>943905</v>
      </c>
      <c r="H388" t="s">
        <v>415</v>
      </c>
      <c r="I388" s="4">
        <v>900</v>
      </c>
      <c r="J388" s="4">
        <v>529.80480000000011</v>
      </c>
    </row>
    <row r="389" spans="1:10" x14ac:dyDescent="0.35">
      <c r="A389">
        <v>3151271486</v>
      </c>
      <c r="B389" t="s">
        <v>696</v>
      </c>
      <c r="C389" t="s">
        <v>714</v>
      </c>
      <c r="D389" t="s">
        <v>712</v>
      </c>
      <c r="E389" t="s">
        <v>720</v>
      </c>
      <c r="F389" t="s">
        <v>201</v>
      </c>
      <c r="G389">
        <v>943905</v>
      </c>
      <c r="H389" t="s">
        <v>415</v>
      </c>
      <c r="I389" s="4">
        <v>1764</v>
      </c>
      <c r="J389" s="4">
        <v>1038.417408</v>
      </c>
    </row>
    <row r="390" spans="1:10" x14ac:dyDescent="0.35">
      <c r="A390">
        <v>3151271081</v>
      </c>
      <c r="B390" t="s">
        <v>696</v>
      </c>
      <c r="C390" t="s">
        <v>714</v>
      </c>
      <c r="D390" t="s">
        <v>712</v>
      </c>
      <c r="E390" t="s">
        <v>720</v>
      </c>
      <c r="G390">
        <v>943905</v>
      </c>
      <c r="H390" t="s">
        <v>415</v>
      </c>
      <c r="I390" s="4">
        <v>4620</v>
      </c>
      <c r="J390" s="4">
        <v>2719.66464</v>
      </c>
    </row>
    <row r="391" spans="1:10" x14ac:dyDescent="0.35">
      <c r="A391">
        <v>3151271111</v>
      </c>
      <c r="B391" t="s">
        <v>696</v>
      </c>
      <c r="C391" t="s">
        <v>714</v>
      </c>
      <c r="D391" t="s">
        <v>712</v>
      </c>
      <c r="E391" t="s">
        <v>720</v>
      </c>
      <c r="G391">
        <v>943905</v>
      </c>
      <c r="H391" t="s">
        <v>415</v>
      </c>
      <c r="I391" s="4">
        <v>5796</v>
      </c>
      <c r="J391" s="4">
        <v>3411.942912</v>
      </c>
    </row>
    <row r="392" spans="1:10" x14ac:dyDescent="0.35">
      <c r="A392">
        <v>3151271114</v>
      </c>
      <c r="B392" t="s">
        <v>696</v>
      </c>
      <c r="C392" t="s">
        <v>714</v>
      </c>
      <c r="D392" t="s">
        <v>712</v>
      </c>
      <c r="E392" t="s">
        <v>720</v>
      </c>
      <c r="G392">
        <v>943905</v>
      </c>
      <c r="H392" t="s">
        <v>415</v>
      </c>
      <c r="I392" s="4">
        <v>2700</v>
      </c>
      <c r="J392" s="4">
        <v>1589.4144000000001</v>
      </c>
    </row>
    <row r="393" spans="1:10" x14ac:dyDescent="0.35">
      <c r="A393">
        <v>3151271432</v>
      </c>
      <c r="B393" t="s">
        <v>696</v>
      </c>
      <c r="C393" t="s">
        <v>714</v>
      </c>
      <c r="D393" t="s">
        <v>712</v>
      </c>
      <c r="E393" t="s">
        <v>720</v>
      </c>
      <c r="F393" t="s">
        <v>201</v>
      </c>
      <c r="G393">
        <v>943905</v>
      </c>
      <c r="H393" t="s">
        <v>415</v>
      </c>
      <c r="I393" s="4">
        <v>3456</v>
      </c>
      <c r="J393" s="4">
        <v>2034.4504320000001</v>
      </c>
    </row>
    <row r="394" spans="1:10" x14ac:dyDescent="0.35">
      <c r="A394">
        <v>3151271489</v>
      </c>
      <c r="B394" t="s">
        <v>696</v>
      </c>
      <c r="C394" t="s">
        <v>714</v>
      </c>
      <c r="D394" t="s">
        <v>712</v>
      </c>
      <c r="E394" t="s">
        <v>720</v>
      </c>
      <c r="F394" t="s">
        <v>201</v>
      </c>
      <c r="G394">
        <v>943905</v>
      </c>
      <c r="H394" t="s">
        <v>415</v>
      </c>
      <c r="I394" s="4">
        <v>4320</v>
      </c>
      <c r="J394" s="4">
        <v>2543.06304</v>
      </c>
    </row>
    <row r="395" spans="1:10" x14ac:dyDescent="0.35">
      <c r="A395">
        <v>3151271490</v>
      </c>
      <c r="B395" t="s">
        <v>696</v>
      </c>
      <c r="C395" t="s">
        <v>714</v>
      </c>
      <c r="D395" t="s">
        <v>712</v>
      </c>
      <c r="E395" t="s">
        <v>720</v>
      </c>
      <c r="F395" t="s">
        <v>201</v>
      </c>
      <c r="G395">
        <v>943905</v>
      </c>
      <c r="H395" t="s">
        <v>415</v>
      </c>
      <c r="I395" s="4">
        <v>6408</v>
      </c>
      <c r="J395" s="4">
        <v>3772.210176</v>
      </c>
    </row>
    <row r="396" spans="1:10" x14ac:dyDescent="0.35">
      <c r="A396">
        <v>3151271504</v>
      </c>
      <c r="B396" t="s">
        <v>696</v>
      </c>
      <c r="C396" t="s">
        <v>714</v>
      </c>
      <c r="D396" t="s">
        <v>712</v>
      </c>
      <c r="E396" t="s">
        <v>720</v>
      </c>
      <c r="F396" t="s">
        <v>201</v>
      </c>
      <c r="G396">
        <v>943905</v>
      </c>
      <c r="H396" t="s">
        <v>415</v>
      </c>
      <c r="I396" s="4">
        <v>4176</v>
      </c>
      <c r="J396" s="4">
        <v>2458.2942720000001</v>
      </c>
    </row>
    <row r="397" spans="1:10" x14ac:dyDescent="0.35">
      <c r="A397">
        <v>3151271771</v>
      </c>
      <c r="B397" t="s">
        <v>721</v>
      </c>
      <c r="C397" t="s">
        <v>722</v>
      </c>
      <c r="D397" t="s">
        <v>473</v>
      </c>
      <c r="E397" t="s">
        <v>723</v>
      </c>
      <c r="G397">
        <v>943150</v>
      </c>
      <c r="H397" t="s">
        <v>433</v>
      </c>
      <c r="I397" s="4">
        <v>6800</v>
      </c>
      <c r="J397" s="4">
        <v>444.04</v>
      </c>
    </row>
    <row r="398" spans="1:10" x14ac:dyDescent="0.35">
      <c r="A398">
        <v>3151271772</v>
      </c>
      <c r="B398" t="s">
        <v>721</v>
      </c>
      <c r="C398" t="s">
        <v>722</v>
      </c>
      <c r="D398" t="s">
        <v>473</v>
      </c>
      <c r="E398" t="s">
        <v>723</v>
      </c>
      <c r="G398">
        <v>943150</v>
      </c>
      <c r="H398" t="s">
        <v>433</v>
      </c>
      <c r="I398" s="4">
        <v>4400</v>
      </c>
      <c r="J398" s="4">
        <v>287.32</v>
      </c>
    </row>
    <row r="399" spans="1:10" x14ac:dyDescent="0.35">
      <c r="A399">
        <v>3151271774</v>
      </c>
      <c r="B399" t="s">
        <v>721</v>
      </c>
      <c r="C399" t="s">
        <v>722</v>
      </c>
      <c r="D399" t="s">
        <v>473</v>
      </c>
      <c r="E399" t="s">
        <v>723</v>
      </c>
      <c r="G399">
        <v>943150</v>
      </c>
      <c r="H399" t="s">
        <v>433</v>
      </c>
      <c r="I399" s="4">
        <v>7600</v>
      </c>
      <c r="J399" s="4">
        <v>496.28000000000003</v>
      </c>
    </row>
    <row r="400" spans="1:10" x14ac:dyDescent="0.35">
      <c r="A400">
        <v>3151271775</v>
      </c>
      <c r="B400" t="s">
        <v>721</v>
      </c>
      <c r="C400" t="s">
        <v>722</v>
      </c>
      <c r="D400" t="s">
        <v>473</v>
      </c>
      <c r="E400" t="s">
        <v>723</v>
      </c>
      <c r="G400">
        <v>943150</v>
      </c>
      <c r="H400" t="s">
        <v>433</v>
      </c>
      <c r="I400" s="4">
        <v>5200</v>
      </c>
      <c r="J400" s="4">
        <v>339.56</v>
      </c>
    </row>
    <row r="401" spans="1:10" x14ac:dyDescent="0.35">
      <c r="A401">
        <v>3151271955</v>
      </c>
      <c r="B401" t="s">
        <v>721</v>
      </c>
      <c r="C401" t="s">
        <v>722</v>
      </c>
      <c r="D401" t="s">
        <v>473</v>
      </c>
      <c r="E401" t="s">
        <v>723</v>
      </c>
      <c r="G401">
        <v>943150</v>
      </c>
      <c r="H401" t="s">
        <v>433</v>
      </c>
      <c r="I401" s="4">
        <v>640</v>
      </c>
      <c r="J401" s="4">
        <v>41.792000000000002</v>
      </c>
    </row>
    <row r="402" spans="1:10" x14ac:dyDescent="0.35">
      <c r="A402">
        <v>3151271956</v>
      </c>
      <c r="B402" t="s">
        <v>721</v>
      </c>
      <c r="C402" t="s">
        <v>722</v>
      </c>
      <c r="D402" t="s">
        <v>473</v>
      </c>
      <c r="E402" t="s">
        <v>723</v>
      </c>
      <c r="G402">
        <v>943150</v>
      </c>
      <c r="H402" t="s">
        <v>433</v>
      </c>
      <c r="I402" s="4">
        <v>320</v>
      </c>
      <c r="J402" s="4">
        <v>20.896000000000001</v>
      </c>
    </row>
    <row r="403" spans="1:10" x14ac:dyDescent="0.35">
      <c r="A403">
        <v>3151271958</v>
      </c>
      <c r="B403" t="s">
        <v>721</v>
      </c>
      <c r="C403" t="s">
        <v>722</v>
      </c>
      <c r="D403" t="s">
        <v>473</v>
      </c>
      <c r="E403" t="s">
        <v>723</v>
      </c>
      <c r="G403">
        <v>943150</v>
      </c>
      <c r="H403" t="s">
        <v>433</v>
      </c>
      <c r="I403" s="4">
        <v>640</v>
      </c>
      <c r="J403" s="4">
        <v>41.792000000000002</v>
      </c>
    </row>
    <row r="404" spans="1:10" x14ac:dyDescent="0.35">
      <c r="A404">
        <v>3151271959</v>
      </c>
      <c r="B404" t="s">
        <v>721</v>
      </c>
      <c r="C404" t="s">
        <v>722</v>
      </c>
      <c r="D404" t="s">
        <v>473</v>
      </c>
      <c r="E404" t="s">
        <v>723</v>
      </c>
      <c r="G404">
        <v>943150</v>
      </c>
      <c r="H404" t="s">
        <v>433</v>
      </c>
      <c r="I404" s="4">
        <v>192</v>
      </c>
      <c r="J404" s="4">
        <v>12.537599999999999</v>
      </c>
    </row>
    <row r="405" spans="1:10" x14ac:dyDescent="0.35">
      <c r="A405">
        <v>3151271960</v>
      </c>
      <c r="B405" t="s">
        <v>721</v>
      </c>
      <c r="C405" t="s">
        <v>722</v>
      </c>
      <c r="D405" t="s">
        <v>473</v>
      </c>
      <c r="E405" t="s">
        <v>723</v>
      </c>
      <c r="G405">
        <v>943150</v>
      </c>
      <c r="H405" t="s">
        <v>433</v>
      </c>
      <c r="I405" s="4">
        <v>96</v>
      </c>
      <c r="J405" s="4">
        <v>6.2687999999999997</v>
      </c>
    </row>
    <row r="406" spans="1:10" x14ac:dyDescent="0.35">
      <c r="A406">
        <v>3151271962</v>
      </c>
      <c r="B406" t="s">
        <v>721</v>
      </c>
      <c r="C406" t="s">
        <v>722</v>
      </c>
      <c r="D406" t="s">
        <v>473</v>
      </c>
      <c r="E406" t="s">
        <v>723</v>
      </c>
      <c r="G406">
        <v>943150</v>
      </c>
      <c r="H406" t="s">
        <v>433</v>
      </c>
      <c r="I406" s="4">
        <v>192</v>
      </c>
      <c r="J406" s="4">
        <v>12.537599999999999</v>
      </c>
    </row>
    <row r="407" spans="1:10" x14ac:dyDescent="0.35">
      <c r="A407">
        <v>3151271963</v>
      </c>
      <c r="B407" t="s">
        <v>721</v>
      </c>
      <c r="C407" t="s">
        <v>722</v>
      </c>
      <c r="D407" t="s">
        <v>473</v>
      </c>
      <c r="E407" t="s">
        <v>723</v>
      </c>
      <c r="G407">
        <v>943150</v>
      </c>
      <c r="H407" t="s">
        <v>433</v>
      </c>
      <c r="I407" s="4">
        <v>2560</v>
      </c>
      <c r="J407" s="4">
        <v>167.16800000000001</v>
      </c>
    </row>
    <row r="408" spans="1:10" x14ac:dyDescent="0.35">
      <c r="A408">
        <v>3151271982</v>
      </c>
      <c r="B408" t="s">
        <v>721</v>
      </c>
      <c r="C408" t="s">
        <v>722</v>
      </c>
      <c r="D408" t="s">
        <v>473</v>
      </c>
      <c r="E408" t="s">
        <v>723</v>
      </c>
      <c r="F408" t="s">
        <v>201</v>
      </c>
      <c r="G408">
        <v>943150</v>
      </c>
      <c r="H408" t="s">
        <v>433</v>
      </c>
      <c r="I408" s="4">
        <v>960</v>
      </c>
      <c r="J408" s="4">
        <v>62.688000000000002</v>
      </c>
    </row>
    <row r="409" spans="1:10" x14ac:dyDescent="0.35">
      <c r="A409">
        <v>3151271983</v>
      </c>
      <c r="B409" t="s">
        <v>721</v>
      </c>
      <c r="C409" t="s">
        <v>722</v>
      </c>
      <c r="D409" t="s">
        <v>473</v>
      </c>
      <c r="E409" t="s">
        <v>723</v>
      </c>
      <c r="F409" t="s">
        <v>201</v>
      </c>
      <c r="G409">
        <v>943150</v>
      </c>
      <c r="H409" t="s">
        <v>433</v>
      </c>
      <c r="I409" s="4">
        <v>800</v>
      </c>
      <c r="J409" s="4">
        <v>52.24</v>
      </c>
    </row>
    <row r="410" spans="1:10" x14ac:dyDescent="0.35">
      <c r="A410">
        <v>3151271984</v>
      </c>
      <c r="B410" t="s">
        <v>721</v>
      </c>
      <c r="C410" t="s">
        <v>722</v>
      </c>
      <c r="D410" t="s">
        <v>473</v>
      </c>
      <c r="E410" t="s">
        <v>723</v>
      </c>
      <c r="F410" t="s">
        <v>201</v>
      </c>
      <c r="G410">
        <v>943150</v>
      </c>
      <c r="H410" t="s">
        <v>433</v>
      </c>
      <c r="I410" s="4">
        <v>800</v>
      </c>
      <c r="J410" s="4">
        <v>52.24</v>
      </c>
    </row>
    <row r="411" spans="1:10" x14ac:dyDescent="0.35">
      <c r="A411">
        <v>3151272533</v>
      </c>
      <c r="B411" t="s">
        <v>721</v>
      </c>
      <c r="C411" t="s">
        <v>722</v>
      </c>
      <c r="D411" t="s">
        <v>473</v>
      </c>
      <c r="E411" t="s">
        <v>723</v>
      </c>
      <c r="G411">
        <v>943150</v>
      </c>
      <c r="H411" t="s">
        <v>433</v>
      </c>
      <c r="I411" s="4">
        <v>640</v>
      </c>
      <c r="J411" s="4">
        <v>41.792000000000002</v>
      </c>
    </row>
    <row r="412" spans="1:10" x14ac:dyDescent="0.35">
      <c r="A412">
        <v>3151272535</v>
      </c>
      <c r="B412" t="s">
        <v>721</v>
      </c>
      <c r="C412" t="s">
        <v>722</v>
      </c>
      <c r="D412" t="s">
        <v>473</v>
      </c>
      <c r="E412" t="s">
        <v>723</v>
      </c>
      <c r="G412">
        <v>943150</v>
      </c>
      <c r="H412" t="s">
        <v>433</v>
      </c>
      <c r="I412" s="4">
        <v>320</v>
      </c>
      <c r="J412" s="4">
        <v>20.896000000000001</v>
      </c>
    </row>
    <row r="413" spans="1:10" x14ac:dyDescent="0.35">
      <c r="A413">
        <v>3151272536</v>
      </c>
      <c r="B413" t="s">
        <v>721</v>
      </c>
      <c r="C413" t="s">
        <v>722</v>
      </c>
      <c r="D413" t="s">
        <v>473</v>
      </c>
      <c r="E413" t="s">
        <v>723</v>
      </c>
      <c r="G413">
        <v>943150</v>
      </c>
      <c r="H413" t="s">
        <v>433</v>
      </c>
      <c r="I413" s="4">
        <v>640</v>
      </c>
      <c r="J413" s="4">
        <v>41.792000000000002</v>
      </c>
    </row>
    <row r="414" spans="1:10" x14ac:dyDescent="0.35">
      <c r="A414">
        <v>3151272540</v>
      </c>
      <c r="B414" t="s">
        <v>721</v>
      </c>
      <c r="C414" t="s">
        <v>722</v>
      </c>
      <c r="D414" t="s">
        <v>473</v>
      </c>
      <c r="E414" t="s">
        <v>723</v>
      </c>
      <c r="G414">
        <v>943150</v>
      </c>
      <c r="H414" t="s">
        <v>433</v>
      </c>
      <c r="I414" s="4">
        <v>192</v>
      </c>
      <c r="J414" s="4">
        <v>12.537599999999999</v>
      </c>
    </row>
    <row r="415" spans="1:10" x14ac:dyDescent="0.35">
      <c r="A415">
        <v>3151272542</v>
      </c>
      <c r="B415" t="s">
        <v>721</v>
      </c>
      <c r="C415" t="s">
        <v>722</v>
      </c>
      <c r="D415" t="s">
        <v>473</v>
      </c>
      <c r="E415" t="s">
        <v>723</v>
      </c>
      <c r="G415">
        <v>943150</v>
      </c>
      <c r="H415" t="s">
        <v>433</v>
      </c>
      <c r="I415" s="4">
        <v>96</v>
      </c>
      <c r="J415" s="4">
        <v>6.2687999999999997</v>
      </c>
    </row>
    <row r="416" spans="1:10" x14ac:dyDescent="0.35">
      <c r="A416">
        <v>3151272543</v>
      </c>
      <c r="B416" t="s">
        <v>721</v>
      </c>
      <c r="C416" t="s">
        <v>722</v>
      </c>
      <c r="D416" t="s">
        <v>473</v>
      </c>
      <c r="E416" t="s">
        <v>723</v>
      </c>
      <c r="G416">
        <v>943150</v>
      </c>
      <c r="H416" t="s">
        <v>433</v>
      </c>
      <c r="I416" s="4">
        <v>192</v>
      </c>
      <c r="J416" s="4">
        <v>12.537599999999999</v>
      </c>
    </row>
    <row r="417" spans="1:10" x14ac:dyDescent="0.35">
      <c r="A417">
        <v>3151272497</v>
      </c>
      <c r="B417" t="s">
        <v>721</v>
      </c>
      <c r="C417" t="s">
        <v>722</v>
      </c>
      <c r="D417" t="s">
        <v>473</v>
      </c>
      <c r="E417" t="s">
        <v>723</v>
      </c>
      <c r="F417" t="s">
        <v>201</v>
      </c>
      <c r="G417">
        <v>943150</v>
      </c>
      <c r="H417" t="s">
        <v>433</v>
      </c>
      <c r="I417" s="4">
        <v>960</v>
      </c>
      <c r="J417" s="4">
        <v>62.688000000000002</v>
      </c>
    </row>
    <row r="418" spans="1:10" x14ac:dyDescent="0.35">
      <c r="A418">
        <v>3151272499</v>
      </c>
      <c r="B418" t="s">
        <v>721</v>
      </c>
      <c r="C418" t="s">
        <v>722</v>
      </c>
      <c r="D418" t="s">
        <v>473</v>
      </c>
      <c r="E418" t="s">
        <v>723</v>
      </c>
      <c r="F418" t="s">
        <v>201</v>
      </c>
      <c r="G418">
        <v>943150</v>
      </c>
      <c r="H418" t="s">
        <v>433</v>
      </c>
      <c r="I418" s="4">
        <v>800</v>
      </c>
      <c r="J418" s="4">
        <v>52.24</v>
      </c>
    </row>
    <row r="419" spans="1:10" x14ac:dyDescent="0.35">
      <c r="A419">
        <v>3151272500</v>
      </c>
      <c r="B419" t="s">
        <v>721</v>
      </c>
      <c r="C419" t="s">
        <v>722</v>
      </c>
      <c r="D419" t="s">
        <v>473</v>
      </c>
      <c r="E419" t="s">
        <v>723</v>
      </c>
      <c r="F419" t="s">
        <v>201</v>
      </c>
      <c r="G419">
        <v>943150</v>
      </c>
      <c r="H419" t="s">
        <v>433</v>
      </c>
      <c r="I419" s="4">
        <v>800</v>
      </c>
      <c r="J419" s="4">
        <v>52.24</v>
      </c>
    </row>
    <row r="420" spans="1:10" x14ac:dyDescent="0.35">
      <c r="A420">
        <v>3151272521</v>
      </c>
      <c r="B420" t="s">
        <v>721</v>
      </c>
      <c r="C420" t="s">
        <v>722</v>
      </c>
      <c r="D420" t="s">
        <v>473</v>
      </c>
      <c r="E420" t="s">
        <v>723</v>
      </c>
      <c r="F420" t="s">
        <v>201</v>
      </c>
      <c r="G420">
        <v>943150</v>
      </c>
      <c r="H420" t="s">
        <v>433</v>
      </c>
      <c r="I420" s="4">
        <v>5200</v>
      </c>
      <c r="J420" s="4">
        <v>339.56</v>
      </c>
    </row>
    <row r="421" spans="1:10" x14ac:dyDescent="0.35">
      <c r="A421">
        <v>3151272522</v>
      </c>
      <c r="B421" t="s">
        <v>721</v>
      </c>
      <c r="C421" t="s">
        <v>722</v>
      </c>
      <c r="D421" t="s">
        <v>473</v>
      </c>
      <c r="E421" t="s">
        <v>723</v>
      </c>
      <c r="F421" t="s">
        <v>201</v>
      </c>
      <c r="G421">
        <v>943150</v>
      </c>
      <c r="H421" t="s">
        <v>433</v>
      </c>
      <c r="I421" s="4">
        <v>7600</v>
      </c>
      <c r="J421" s="4">
        <v>496.28000000000003</v>
      </c>
    </row>
    <row r="422" spans="1:10" x14ac:dyDescent="0.35">
      <c r="A422">
        <v>3151272523</v>
      </c>
      <c r="B422" t="s">
        <v>721</v>
      </c>
      <c r="C422" t="s">
        <v>722</v>
      </c>
      <c r="D422" t="s">
        <v>473</v>
      </c>
      <c r="E422" t="s">
        <v>723</v>
      </c>
      <c r="F422" t="s">
        <v>201</v>
      </c>
      <c r="G422">
        <v>943150</v>
      </c>
      <c r="H422" t="s">
        <v>433</v>
      </c>
      <c r="I422" s="4">
        <v>6800</v>
      </c>
      <c r="J422" s="4">
        <v>444.04</v>
      </c>
    </row>
    <row r="423" spans="1:10" x14ac:dyDescent="0.35">
      <c r="A423">
        <v>3151272524</v>
      </c>
      <c r="B423" t="s">
        <v>721</v>
      </c>
      <c r="C423" t="s">
        <v>722</v>
      </c>
      <c r="D423" t="s">
        <v>473</v>
      </c>
      <c r="E423" t="s">
        <v>723</v>
      </c>
      <c r="F423" t="s">
        <v>201</v>
      </c>
      <c r="G423">
        <v>943150</v>
      </c>
      <c r="H423" t="s">
        <v>433</v>
      </c>
      <c r="I423" s="4">
        <v>4400</v>
      </c>
      <c r="J423" s="4">
        <v>287.32</v>
      </c>
    </row>
    <row r="424" spans="1:10" x14ac:dyDescent="0.35">
      <c r="A424">
        <v>3151272525</v>
      </c>
      <c r="B424" t="s">
        <v>721</v>
      </c>
      <c r="C424" t="s">
        <v>722</v>
      </c>
      <c r="D424" t="s">
        <v>473</v>
      </c>
      <c r="E424" t="s">
        <v>723</v>
      </c>
      <c r="F424" t="s">
        <v>201</v>
      </c>
      <c r="G424">
        <v>943150</v>
      </c>
      <c r="H424" t="s">
        <v>433</v>
      </c>
      <c r="I424" s="4">
        <v>7600</v>
      </c>
      <c r="J424" s="4">
        <v>496.28000000000003</v>
      </c>
    </row>
    <row r="425" spans="1:10" x14ac:dyDescent="0.35">
      <c r="A425">
        <v>3151272526</v>
      </c>
      <c r="B425" t="s">
        <v>721</v>
      </c>
      <c r="C425" t="s">
        <v>722</v>
      </c>
      <c r="D425" t="s">
        <v>473</v>
      </c>
      <c r="E425" t="s">
        <v>723</v>
      </c>
      <c r="F425" t="s">
        <v>201</v>
      </c>
      <c r="G425">
        <v>943150</v>
      </c>
      <c r="H425" t="s">
        <v>433</v>
      </c>
      <c r="I425" s="4">
        <v>4400</v>
      </c>
      <c r="J425" s="4">
        <v>287.32</v>
      </c>
    </row>
    <row r="426" spans="1:10" x14ac:dyDescent="0.35">
      <c r="A426">
        <v>3151272527</v>
      </c>
      <c r="B426" t="s">
        <v>721</v>
      </c>
      <c r="C426" t="s">
        <v>722</v>
      </c>
      <c r="D426" t="s">
        <v>473</v>
      </c>
      <c r="E426" t="s">
        <v>723</v>
      </c>
      <c r="F426" t="s">
        <v>201</v>
      </c>
      <c r="G426">
        <v>943150</v>
      </c>
      <c r="H426" t="s">
        <v>433</v>
      </c>
      <c r="I426" s="4">
        <v>4400</v>
      </c>
      <c r="J426" s="4">
        <v>287.32</v>
      </c>
    </row>
    <row r="427" spans="1:10" x14ac:dyDescent="0.35">
      <c r="A427">
        <v>3151272528</v>
      </c>
      <c r="B427" t="s">
        <v>721</v>
      </c>
      <c r="C427" t="s">
        <v>722</v>
      </c>
      <c r="D427" t="s">
        <v>473</v>
      </c>
      <c r="E427" t="s">
        <v>723</v>
      </c>
      <c r="F427" t="s">
        <v>201</v>
      </c>
      <c r="G427">
        <v>943150</v>
      </c>
      <c r="H427" t="s">
        <v>433</v>
      </c>
      <c r="I427" s="4">
        <v>8400</v>
      </c>
      <c r="J427" s="4">
        <v>548.52</v>
      </c>
    </row>
    <row r="428" spans="1:10" x14ac:dyDescent="0.35">
      <c r="A428">
        <v>3151272529</v>
      </c>
      <c r="B428" t="s">
        <v>721</v>
      </c>
      <c r="C428" t="s">
        <v>722</v>
      </c>
      <c r="D428" t="s">
        <v>473</v>
      </c>
      <c r="E428" t="s">
        <v>723</v>
      </c>
      <c r="F428" t="s">
        <v>201</v>
      </c>
      <c r="G428">
        <v>943150</v>
      </c>
      <c r="H428" t="s">
        <v>433</v>
      </c>
      <c r="I428" s="4">
        <v>5200</v>
      </c>
      <c r="J428" s="4">
        <v>339.56</v>
      </c>
    </row>
    <row r="429" spans="1:10" x14ac:dyDescent="0.35">
      <c r="A429">
        <v>3151272530</v>
      </c>
      <c r="B429" t="s">
        <v>721</v>
      </c>
      <c r="C429" t="s">
        <v>722</v>
      </c>
      <c r="D429" t="s">
        <v>473</v>
      </c>
      <c r="E429" t="s">
        <v>723</v>
      </c>
      <c r="F429" t="s">
        <v>201</v>
      </c>
      <c r="G429">
        <v>943150</v>
      </c>
      <c r="H429" t="s">
        <v>433</v>
      </c>
      <c r="I429" s="4">
        <v>5200</v>
      </c>
      <c r="J429" s="4">
        <v>339.56</v>
      </c>
    </row>
    <row r="430" spans="1:10" x14ac:dyDescent="0.35">
      <c r="A430">
        <v>3151272547</v>
      </c>
      <c r="B430" t="s">
        <v>721</v>
      </c>
      <c r="C430" t="s">
        <v>722</v>
      </c>
      <c r="D430" t="s">
        <v>473</v>
      </c>
      <c r="E430" t="s">
        <v>723</v>
      </c>
      <c r="G430">
        <v>943150</v>
      </c>
      <c r="H430" t="s">
        <v>433</v>
      </c>
      <c r="I430" s="4">
        <v>1760</v>
      </c>
      <c r="J430" s="4">
        <v>114.928</v>
      </c>
    </row>
    <row r="431" spans="1:10" x14ac:dyDescent="0.35">
      <c r="A431">
        <v>3151272850</v>
      </c>
      <c r="B431" t="s">
        <v>721</v>
      </c>
      <c r="C431" t="s">
        <v>722</v>
      </c>
      <c r="D431" t="s">
        <v>473</v>
      </c>
      <c r="E431" t="s">
        <v>723</v>
      </c>
      <c r="F431" t="s">
        <v>201</v>
      </c>
      <c r="G431">
        <v>943150</v>
      </c>
      <c r="H431" t="s">
        <v>433</v>
      </c>
      <c r="I431" s="4">
        <v>3800</v>
      </c>
      <c r="J431" s="4">
        <v>248.14000000000001</v>
      </c>
    </row>
    <row r="432" spans="1:10" x14ac:dyDescent="0.35">
      <c r="A432">
        <v>3151272851</v>
      </c>
      <c r="B432" t="s">
        <v>721</v>
      </c>
      <c r="C432" t="s">
        <v>722</v>
      </c>
      <c r="D432" t="s">
        <v>473</v>
      </c>
      <c r="E432" t="s">
        <v>723</v>
      </c>
      <c r="F432" t="s">
        <v>201</v>
      </c>
      <c r="G432">
        <v>943150</v>
      </c>
      <c r="H432" t="s">
        <v>433</v>
      </c>
      <c r="I432" s="4">
        <v>4200</v>
      </c>
      <c r="J432" s="4">
        <v>274.26</v>
      </c>
    </row>
    <row r="433" spans="1:10" x14ac:dyDescent="0.35">
      <c r="A433">
        <v>3151271771</v>
      </c>
      <c r="B433" t="s">
        <v>721</v>
      </c>
      <c r="C433" t="s">
        <v>722</v>
      </c>
      <c r="D433" t="s">
        <v>524</v>
      </c>
      <c r="E433" t="s">
        <v>724</v>
      </c>
      <c r="G433">
        <v>943149</v>
      </c>
      <c r="H433" t="s">
        <v>412</v>
      </c>
      <c r="I433" s="4">
        <v>3400</v>
      </c>
      <c r="J433" s="4">
        <v>635.80000000000007</v>
      </c>
    </row>
    <row r="434" spans="1:10" x14ac:dyDescent="0.35">
      <c r="A434">
        <v>3151271772</v>
      </c>
      <c r="B434" t="s">
        <v>721</v>
      </c>
      <c r="C434" t="s">
        <v>722</v>
      </c>
      <c r="D434" t="s">
        <v>524</v>
      </c>
      <c r="E434" t="s">
        <v>724</v>
      </c>
      <c r="G434">
        <v>943149</v>
      </c>
      <c r="H434" t="s">
        <v>412</v>
      </c>
      <c r="I434" s="4">
        <v>2200</v>
      </c>
      <c r="J434" s="4">
        <v>411.40000000000003</v>
      </c>
    </row>
    <row r="435" spans="1:10" x14ac:dyDescent="0.35">
      <c r="A435">
        <v>3151271774</v>
      </c>
      <c r="B435" t="s">
        <v>721</v>
      </c>
      <c r="C435" t="s">
        <v>722</v>
      </c>
      <c r="D435" t="s">
        <v>524</v>
      </c>
      <c r="E435" t="s">
        <v>724</v>
      </c>
      <c r="G435">
        <v>943149</v>
      </c>
      <c r="H435" t="s">
        <v>412</v>
      </c>
      <c r="I435" s="4">
        <v>3800</v>
      </c>
      <c r="J435" s="4">
        <v>710.6</v>
      </c>
    </row>
    <row r="436" spans="1:10" x14ac:dyDescent="0.35">
      <c r="A436">
        <v>3151271775</v>
      </c>
      <c r="B436" t="s">
        <v>721</v>
      </c>
      <c r="C436" t="s">
        <v>722</v>
      </c>
      <c r="D436" t="s">
        <v>524</v>
      </c>
      <c r="E436" t="s">
        <v>724</v>
      </c>
      <c r="G436">
        <v>943149</v>
      </c>
      <c r="H436" t="s">
        <v>412</v>
      </c>
      <c r="I436" s="4">
        <v>2600</v>
      </c>
      <c r="J436" s="4">
        <v>486.2</v>
      </c>
    </row>
    <row r="437" spans="1:10" x14ac:dyDescent="0.35">
      <c r="A437">
        <v>3151271955</v>
      </c>
      <c r="B437" t="s">
        <v>721</v>
      </c>
      <c r="C437" t="s">
        <v>722</v>
      </c>
      <c r="D437" t="s">
        <v>524</v>
      </c>
      <c r="E437" t="s">
        <v>724</v>
      </c>
      <c r="G437">
        <v>943149</v>
      </c>
      <c r="H437" t="s">
        <v>412</v>
      </c>
      <c r="I437" s="4">
        <v>960</v>
      </c>
      <c r="J437" s="4">
        <v>179.52</v>
      </c>
    </row>
    <row r="438" spans="1:10" x14ac:dyDescent="0.35">
      <c r="A438">
        <v>3151271956</v>
      </c>
      <c r="B438" t="s">
        <v>721</v>
      </c>
      <c r="C438" t="s">
        <v>722</v>
      </c>
      <c r="D438" t="s">
        <v>524</v>
      </c>
      <c r="E438" t="s">
        <v>724</v>
      </c>
      <c r="G438">
        <v>943149</v>
      </c>
      <c r="H438" t="s">
        <v>412</v>
      </c>
      <c r="I438" s="4">
        <v>480</v>
      </c>
      <c r="J438" s="4">
        <v>89.76</v>
      </c>
    </row>
    <row r="439" spans="1:10" x14ac:dyDescent="0.35">
      <c r="A439">
        <v>3151271958</v>
      </c>
      <c r="B439" t="s">
        <v>721</v>
      </c>
      <c r="C439" t="s">
        <v>722</v>
      </c>
      <c r="D439" t="s">
        <v>524</v>
      </c>
      <c r="E439" t="s">
        <v>724</v>
      </c>
      <c r="G439">
        <v>943149</v>
      </c>
      <c r="H439" t="s">
        <v>412</v>
      </c>
      <c r="I439" s="4">
        <v>960</v>
      </c>
      <c r="J439" s="4">
        <v>179.52</v>
      </c>
    </row>
    <row r="440" spans="1:10" x14ac:dyDescent="0.35">
      <c r="A440">
        <v>3151271959</v>
      </c>
      <c r="B440" t="s">
        <v>721</v>
      </c>
      <c r="C440" t="s">
        <v>722</v>
      </c>
      <c r="D440" t="s">
        <v>524</v>
      </c>
      <c r="E440" t="s">
        <v>724</v>
      </c>
      <c r="G440">
        <v>943149</v>
      </c>
      <c r="H440" t="s">
        <v>412</v>
      </c>
      <c r="I440" s="4">
        <v>288</v>
      </c>
      <c r="J440" s="4">
        <v>53.856000000000002</v>
      </c>
    </row>
    <row r="441" spans="1:10" x14ac:dyDescent="0.35">
      <c r="A441">
        <v>3151271960</v>
      </c>
      <c r="B441" t="s">
        <v>721</v>
      </c>
      <c r="C441" t="s">
        <v>722</v>
      </c>
      <c r="D441" t="s">
        <v>524</v>
      </c>
      <c r="E441" t="s">
        <v>724</v>
      </c>
      <c r="G441">
        <v>943149</v>
      </c>
      <c r="H441" t="s">
        <v>412</v>
      </c>
      <c r="I441" s="4">
        <v>144</v>
      </c>
      <c r="J441" s="4">
        <v>26.928000000000001</v>
      </c>
    </row>
    <row r="442" spans="1:10" x14ac:dyDescent="0.35">
      <c r="A442">
        <v>3151271962</v>
      </c>
      <c r="B442" t="s">
        <v>721</v>
      </c>
      <c r="C442" t="s">
        <v>722</v>
      </c>
      <c r="D442" t="s">
        <v>524</v>
      </c>
      <c r="E442" t="s">
        <v>724</v>
      </c>
      <c r="G442">
        <v>943149</v>
      </c>
      <c r="H442" t="s">
        <v>412</v>
      </c>
      <c r="I442" s="4">
        <v>288</v>
      </c>
      <c r="J442" s="4">
        <v>53.856000000000002</v>
      </c>
    </row>
    <row r="443" spans="1:10" x14ac:dyDescent="0.35">
      <c r="A443">
        <v>3151271963</v>
      </c>
      <c r="B443" t="s">
        <v>721</v>
      </c>
      <c r="C443" t="s">
        <v>722</v>
      </c>
      <c r="D443" t="s">
        <v>524</v>
      </c>
      <c r="E443" t="s">
        <v>724</v>
      </c>
      <c r="G443">
        <v>943149</v>
      </c>
      <c r="H443" t="s">
        <v>412</v>
      </c>
      <c r="I443" s="4">
        <v>1920</v>
      </c>
      <c r="J443" s="4">
        <v>359.04</v>
      </c>
    </row>
    <row r="444" spans="1:10" x14ac:dyDescent="0.35">
      <c r="A444">
        <v>3151271982</v>
      </c>
      <c r="B444" t="s">
        <v>721</v>
      </c>
      <c r="C444" t="s">
        <v>722</v>
      </c>
      <c r="D444" t="s">
        <v>524</v>
      </c>
      <c r="E444" t="s">
        <v>724</v>
      </c>
      <c r="F444" t="s">
        <v>201</v>
      </c>
      <c r="G444">
        <v>943149</v>
      </c>
      <c r="H444" t="s">
        <v>412</v>
      </c>
      <c r="I444" s="4">
        <v>720</v>
      </c>
      <c r="J444" s="4">
        <v>134.64000000000001</v>
      </c>
    </row>
    <row r="445" spans="1:10" x14ac:dyDescent="0.35">
      <c r="A445">
        <v>3151271983</v>
      </c>
      <c r="B445" t="s">
        <v>721</v>
      </c>
      <c r="C445" t="s">
        <v>722</v>
      </c>
      <c r="D445" t="s">
        <v>524</v>
      </c>
      <c r="E445" t="s">
        <v>724</v>
      </c>
      <c r="F445" t="s">
        <v>201</v>
      </c>
      <c r="G445">
        <v>943149</v>
      </c>
      <c r="H445" t="s">
        <v>412</v>
      </c>
      <c r="I445" s="4">
        <v>600</v>
      </c>
      <c r="J445" s="4">
        <v>112.2</v>
      </c>
    </row>
    <row r="446" spans="1:10" x14ac:dyDescent="0.35">
      <c r="A446">
        <v>3151271984</v>
      </c>
      <c r="B446" t="s">
        <v>721</v>
      </c>
      <c r="C446" t="s">
        <v>722</v>
      </c>
      <c r="D446" t="s">
        <v>524</v>
      </c>
      <c r="E446" t="s">
        <v>724</v>
      </c>
      <c r="F446" t="s">
        <v>201</v>
      </c>
      <c r="G446">
        <v>943149</v>
      </c>
      <c r="H446" t="s">
        <v>412</v>
      </c>
      <c r="I446" s="4">
        <v>600</v>
      </c>
      <c r="J446" s="4">
        <v>112.2</v>
      </c>
    </row>
    <row r="447" spans="1:10" x14ac:dyDescent="0.35">
      <c r="A447">
        <v>3151272533</v>
      </c>
      <c r="B447" t="s">
        <v>721</v>
      </c>
      <c r="C447" t="s">
        <v>722</v>
      </c>
      <c r="D447" t="s">
        <v>524</v>
      </c>
      <c r="E447" t="s">
        <v>724</v>
      </c>
      <c r="G447">
        <v>943149</v>
      </c>
      <c r="H447" t="s">
        <v>412</v>
      </c>
      <c r="I447" s="4">
        <v>960</v>
      </c>
      <c r="J447" s="4">
        <v>179.52</v>
      </c>
    </row>
    <row r="448" spans="1:10" x14ac:dyDescent="0.35">
      <c r="A448">
        <v>3151272535</v>
      </c>
      <c r="B448" t="s">
        <v>721</v>
      </c>
      <c r="C448" t="s">
        <v>722</v>
      </c>
      <c r="D448" t="s">
        <v>524</v>
      </c>
      <c r="E448" t="s">
        <v>724</v>
      </c>
      <c r="G448">
        <v>943149</v>
      </c>
      <c r="H448" t="s">
        <v>412</v>
      </c>
      <c r="I448" s="4">
        <v>480</v>
      </c>
      <c r="J448" s="4">
        <v>89.76</v>
      </c>
    </row>
    <row r="449" spans="1:10" x14ac:dyDescent="0.35">
      <c r="A449">
        <v>3151272536</v>
      </c>
      <c r="B449" t="s">
        <v>721</v>
      </c>
      <c r="C449" t="s">
        <v>722</v>
      </c>
      <c r="D449" t="s">
        <v>524</v>
      </c>
      <c r="E449" t="s">
        <v>724</v>
      </c>
      <c r="G449">
        <v>943149</v>
      </c>
      <c r="H449" t="s">
        <v>412</v>
      </c>
      <c r="I449" s="4">
        <v>960</v>
      </c>
      <c r="J449" s="4">
        <v>179.52</v>
      </c>
    </row>
    <row r="450" spans="1:10" x14ac:dyDescent="0.35">
      <c r="A450">
        <v>3151272540</v>
      </c>
      <c r="B450" t="s">
        <v>721</v>
      </c>
      <c r="C450" t="s">
        <v>722</v>
      </c>
      <c r="D450" t="s">
        <v>524</v>
      </c>
      <c r="E450" t="s">
        <v>724</v>
      </c>
      <c r="G450">
        <v>943149</v>
      </c>
      <c r="H450" t="s">
        <v>412</v>
      </c>
      <c r="I450" s="4">
        <v>288</v>
      </c>
      <c r="J450" s="4">
        <v>53.856000000000002</v>
      </c>
    </row>
    <row r="451" spans="1:10" x14ac:dyDescent="0.35">
      <c r="A451">
        <v>3151272542</v>
      </c>
      <c r="B451" t="s">
        <v>721</v>
      </c>
      <c r="C451" t="s">
        <v>722</v>
      </c>
      <c r="D451" t="s">
        <v>524</v>
      </c>
      <c r="E451" t="s">
        <v>724</v>
      </c>
      <c r="G451">
        <v>943149</v>
      </c>
      <c r="H451" t="s">
        <v>412</v>
      </c>
      <c r="I451" s="4">
        <v>144</v>
      </c>
      <c r="J451" s="4">
        <v>26.928000000000001</v>
      </c>
    </row>
    <row r="452" spans="1:10" x14ac:dyDescent="0.35">
      <c r="A452">
        <v>3151272543</v>
      </c>
      <c r="B452" t="s">
        <v>721</v>
      </c>
      <c r="C452" t="s">
        <v>722</v>
      </c>
      <c r="D452" t="s">
        <v>524</v>
      </c>
      <c r="E452" t="s">
        <v>724</v>
      </c>
      <c r="G452">
        <v>943149</v>
      </c>
      <c r="H452" t="s">
        <v>412</v>
      </c>
      <c r="I452" s="4">
        <v>288</v>
      </c>
      <c r="J452" s="4">
        <v>53.856000000000002</v>
      </c>
    </row>
    <row r="453" spans="1:10" x14ac:dyDescent="0.35">
      <c r="A453">
        <v>3151272497</v>
      </c>
      <c r="B453" t="s">
        <v>721</v>
      </c>
      <c r="C453" t="s">
        <v>722</v>
      </c>
      <c r="D453" t="s">
        <v>524</v>
      </c>
      <c r="E453" t="s">
        <v>724</v>
      </c>
      <c r="F453" t="s">
        <v>201</v>
      </c>
      <c r="G453">
        <v>943149</v>
      </c>
      <c r="H453" t="s">
        <v>412</v>
      </c>
      <c r="I453" s="4">
        <v>720</v>
      </c>
      <c r="J453" s="4">
        <v>134.64000000000001</v>
      </c>
    </row>
    <row r="454" spans="1:10" x14ac:dyDescent="0.35">
      <c r="A454">
        <v>3151272499</v>
      </c>
      <c r="B454" t="s">
        <v>721</v>
      </c>
      <c r="C454" t="s">
        <v>722</v>
      </c>
      <c r="D454" t="s">
        <v>524</v>
      </c>
      <c r="E454" t="s">
        <v>724</v>
      </c>
      <c r="F454" t="s">
        <v>201</v>
      </c>
      <c r="G454">
        <v>943149</v>
      </c>
      <c r="H454" t="s">
        <v>412</v>
      </c>
      <c r="I454" s="4">
        <v>600</v>
      </c>
      <c r="J454" s="4">
        <v>112.2</v>
      </c>
    </row>
    <row r="455" spans="1:10" x14ac:dyDescent="0.35">
      <c r="A455">
        <v>3151272500</v>
      </c>
      <c r="B455" t="s">
        <v>721</v>
      </c>
      <c r="C455" t="s">
        <v>722</v>
      </c>
      <c r="D455" t="s">
        <v>524</v>
      </c>
      <c r="E455" t="s">
        <v>724</v>
      </c>
      <c r="F455" t="s">
        <v>201</v>
      </c>
      <c r="G455">
        <v>943149</v>
      </c>
      <c r="H455" t="s">
        <v>412</v>
      </c>
      <c r="I455" s="4">
        <v>600</v>
      </c>
      <c r="J455" s="4">
        <v>112.2</v>
      </c>
    </row>
    <row r="456" spans="1:10" x14ac:dyDescent="0.35">
      <c r="A456">
        <v>3151272521</v>
      </c>
      <c r="B456" t="s">
        <v>721</v>
      </c>
      <c r="C456" t="s">
        <v>722</v>
      </c>
      <c r="D456" t="s">
        <v>524</v>
      </c>
      <c r="E456" t="s">
        <v>724</v>
      </c>
      <c r="F456" t="s">
        <v>201</v>
      </c>
      <c r="G456">
        <v>943149</v>
      </c>
      <c r="H456" t="s">
        <v>412</v>
      </c>
      <c r="I456" s="4">
        <v>2600</v>
      </c>
      <c r="J456" s="4">
        <v>486.2</v>
      </c>
    </row>
    <row r="457" spans="1:10" x14ac:dyDescent="0.35">
      <c r="A457">
        <v>3151272522</v>
      </c>
      <c r="B457" t="s">
        <v>721</v>
      </c>
      <c r="C457" t="s">
        <v>722</v>
      </c>
      <c r="D457" t="s">
        <v>524</v>
      </c>
      <c r="E457" t="s">
        <v>724</v>
      </c>
      <c r="F457" t="s">
        <v>201</v>
      </c>
      <c r="G457">
        <v>943149</v>
      </c>
      <c r="H457" t="s">
        <v>412</v>
      </c>
      <c r="I457" s="4">
        <v>3800</v>
      </c>
      <c r="J457" s="4">
        <v>710.6</v>
      </c>
    </row>
    <row r="458" spans="1:10" x14ac:dyDescent="0.35">
      <c r="A458">
        <v>3151272523</v>
      </c>
      <c r="B458" t="s">
        <v>721</v>
      </c>
      <c r="C458" t="s">
        <v>722</v>
      </c>
      <c r="D458" t="s">
        <v>524</v>
      </c>
      <c r="E458" t="s">
        <v>724</v>
      </c>
      <c r="F458" t="s">
        <v>201</v>
      </c>
      <c r="G458">
        <v>943149</v>
      </c>
      <c r="H458" t="s">
        <v>412</v>
      </c>
      <c r="I458" s="4">
        <v>3400</v>
      </c>
      <c r="J458" s="4">
        <v>635.80000000000007</v>
      </c>
    </row>
    <row r="459" spans="1:10" x14ac:dyDescent="0.35">
      <c r="A459">
        <v>3151272524</v>
      </c>
      <c r="B459" t="s">
        <v>721</v>
      </c>
      <c r="C459" t="s">
        <v>722</v>
      </c>
      <c r="D459" t="s">
        <v>524</v>
      </c>
      <c r="E459" t="s">
        <v>724</v>
      </c>
      <c r="F459" t="s">
        <v>201</v>
      </c>
      <c r="G459">
        <v>943149</v>
      </c>
      <c r="H459" t="s">
        <v>412</v>
      </c>
      <c r="I459" s="4">
        <v>2200</v>
      </c>
      <c r="J459" s="4">
        <v>411.40000000000003</v>
      </c>
    </row>
    <row r="460" spans="1:10" x14ac:dyDescent="0.35">
      <c r="A460">
        <v>3151272525</v>
      </c>
      <c r="B460" t="s">
        <v>721</v>
      </c>
      <c r="C460" t="s">
        <v>722</v>
      </c>
      <c r="D460" t="s">
        <v>524</v>
      </c>
      <c r="E460" t="s">
        <v>724</v>
      </c>
      <c r="F460" t="s">
        <v>201</v>
      </c>
      <c r="G460">
        <v>943149</v>
      </c>
      <c r="H460" t="s">
        <v>412</v>
      </c>
      <c r="I460" s="4">
        <v>3800</v>
      </c>
      <c r="J460" s="4">
        <v>710.6</v>
      </c>
    </row>
    <row r="461" spans="1:10" x14ac:dyDescent="0.35">
      <c r="A461">
        <v>3151272526</v>
      </c>
      <c r="B461" t="s">
        <v>721</v>
      </c>
      <c r="C461" t="s">
        <v>722</v>
      </c>
      <c r="D461" t="s">
        <v>524</v>
      </c>
      <c r="E461" t="s">
        <v>724</v>
      </c>
      <c r="F461" t="s">
        <v>201</v>
      </c>
      <c r="G461">
        <v>943149</v>
      </c>
      <c r="H461" t="s">
        <v>412</v>
      </c>
      <c r="I461" s="4">
        <v>2200</v>
      </c>
      <c r="J461" s="4">
        <v>411.40000000000003</v>
      </c>
    </row>
    <row r="462" spans="1:10" x14ac:dyDescent="0.35">
      <c r="A462">
        <v>3151272527</v>
      </c>
      <c r="B462" t="s">
        <v>721</v>
      </c>
      <c r="C462" t="s">
        <v>722</v>
      </c>
      <c r="D462" t="s">
        <v>524</v>
      </c>
      <c r="E462" t="s">
        <v>724</v>
      </c>
      <c r="F462" t="s">
        <v>201</v>
      </c>
      <c r="G462">
        <v>943149</v>
      </c>
      <c r="H462" t="s">
        <v>412</v>
      </c>
      <c r="I462" s="4">
        <v>2200</v>
      </c>
      <c r="J462" s="4">
        <v>411.40000000000003</v>
      </c>
    </row>
    <row r="463" spans="1:10" x14ac:dyDescent="0.35">
      <c r="A463">
        <v>3151272528</v>
      </c>
      <c r="B463" t="s">
        <v>721</v>
      </c>
      <c r="C463" t="s">
        <v>722</v>
      </c>
      <c r="D463" t="s">
        <v>524</v>
      </c>
      <c r="E463" t="s">
        <v>724</v>
      </c>
      <c r="F463" t="s">
        <v>201</v>
      </c>
      <c r="G463">
        <v>943149</v>
      </c>
      <c r="H463" t="s">
        <v>412</v>
      </c>
      <c r="I463" s="4">
        <v>4200</v>
      </c>
      <c r="J463" s="4">
        <v>785.4</v>
      </c>
    </row>
    <row r="464" spans="1:10" x14ac:dyDescent="0.35">
      <c r="A464">
        <v>3151272529</v>
      </c>
      <c r="B464" t="s">
        <v>721</v>
      </c>
      <c r="C464" t="s">
        <v>722</v>
      </c>
      <c r="D464" t="s">
        <v>524</v>
      </c>
      <c r="E464" t="s">
        <v>724</v>
      </c>
      <c r="F464" t="s">
        <v>201</v>
      </c>
      <c r="G464">
        <v>943149</v>
      </c>
      <c r="H464" t="s">
        <v>412</v>
      </c>
      <c r="I464" s="4">
        <v>2600</v>
      </c>
      <c r="J464" s="4">
        <v>486.2</v>
      </c>
    </row>
    <row r="465" spans="1:10" x14ac:dyDescent="0.35">
      <c r="A465">
        <v>3151272530</v>
      </c>
      <c r="B465" t="s">
        <v>721</v>
      </c>
      <c r="C465" t="s">
        <v>722</v>
      </c>
      <c r="D465" t="s">
        <v>524</v>
      </c>
      <c r="E465" t="s">
        <v>724</v>
      </c>
      <c r="F465" t="s">
        <v>201</v>
      </c>
      <c r="G465">
        <v>943149</v>
      </c>
      <c r="H465" t="s">
        <v>412</v>
      </c>
      <c r="I465" s="4">
        <v>2600</v>
      </c>
      <c r="J465" s="4">
        <v>486.2</v>
      </c>
    </row>
    <row r="466" spans="1:10" x14ac:dyDescent="0.35">
      <c r="A466">
        <v>3151272547</v>
      </c>
      <c r="B466" t="s">
        <v>721</v>
      </c>
      <c r="C466" t="s">
        <v>722</v>
      </c>
      <c r="D466" t="s">
        <v>524</v>
      </c>
      <c r="E466" t="s">
        <v>724</v>
      </c>
      <c r="G466">
        <v>943149</v>
      </c>
      <c r="H466" t="s">
        <v>412</v>
      </c>
      <c r="I466" s="4">
        <v>1320</v>
      </c>
      <c r="J466" s="4">
        <v>246.84</v>
      </c>
    </row>
    <row r="467" spans="1:10" x14ac:dyDescent="0.35">
      <c r="A467">
        <v>3151272850</v>
      </c>
      <c r="B467" t="s">
        <v>721</v>
      </c>
      <c r="C467" t="s">
        <v>722</v>
      </c>
      <c r="D467" t="s">
        <v>524</v>
      </c>
      <c r="E467" t="s">
        <v>724</v>
      </c>
      <c r="F467" t="s">
        <v>201</v>
      </c>
      <c r="G467">
        <v>943149</v>
      </c>
      <c r="H467" t="s">
        <v>412</v>
      </c>
      <c r="I467" s="4">
        <v>1900</v>
      </c>
      <c r="J467" s="4">
        <v>355.3</v>
      </c>
    </row>
    <row r="468" spans="1:10" x14ac:dyDescent="0.35">
      <c r="A468">
        <v>3151272851</v>
      </c>
      <c r="B468" t="s">
        <v>721</v>
      </c>
      <c r="C468" t="s">
        <v>722</v>
      </c>
      <c r="D468" t="s">
        <v>524</v>
      </c>
      <c r="E468" t="s">
        <v>724</v>
      </c>
      <c r="F468" t="s">
        <v>201</v>
      </c>
      <c r="G468">
        <v>943149</v>
      </c>
      <c r="H468" t="s">
        <v>412</v>
      </c>
      <c r="I468" s="4">
        <v>2100</v>
      </c>
      <c r="J468" s="4">
        <v>392.7</v>
      </c>
    </row>
    <row r="469" spans="1:10" x14ac:dyDescent="0.35">
      <c r="A469">
        <v>3151271771</v>
      </c>
      <c r="B469" t="s">
        <v>721</v>
      </c>
      <c r="C469" t="s">
        <v>722</v>
      </c>
      <c r="D469" t="s">
        <v>725</v>
      </c>
      <c r="E469" t="s">
        <v>726</v>
      </c>
      <c r="G469">
        <v>943144</v>
      </c>
      <c r="H469" t="s">
        <v>415</v>
      </c>
      <c r="I469" s="4">
        <v>4250</v>
      </c>
      <c r="J469" s="4">
        <v>2751.875</v>
      </c>
    </row>
    <row r="470" spans="1:10" x14ac:dyDescent="0.35">
      <c r="A470">
        <v>3151271772</v>
      </c>
      <c r="B470" t="s">
        <v>721</v>
      </c>
      <c r="C470" t="s">
        <v>722</v>
      </c>
      <c r="D470" t="s">
        <v>725</v>
      </c>
      <c r="E470" t="s">
        <v>726</v>
      </c>
      <c r="G470">
        <v>943144</v>
      </c>
      <c r="H470" t="s">
        <v>415</v>
      </c>
      <c r="I470" s="4">
        <v>2750</v>
      </c>
      <c r="J470" s="4">
        <v>1780.625</v>
      </c>
    </row>
    <row r="471" spans="1:10" x14ac:dyDescent="0.35">
      <c r="A471">
        <v>3151271774</v>
      </c>
      <c r="B471" t="s">
        <v>721</v>
      </c>
      <c r="C471" t="s">
        <v>722</v>
      </c>
      <c r="D471" t="s">
        <v>725</v>
      </c>
      <c r="E471" t="s">
        <v>726</v>
      </c>
      <c r="G471">
        <v>943144</v>
      </c>
      <c r="H471" t="s">
        <v>415</v>
      </c>
      <c r="I471" s="4">
        <v>4750</v>
      </c>
      <c r="J471" s="4">
        <v>3075.625</v>
      </c>
    </row>
    <row r="472" spans="1:10" x14ac:dyDescent="0.35">
      <c r="A472">
        <v>3151271775</v>
      </c>
      <c r="B472" t="s">
        <v>721</v>
      </c>
      <c r="C472" t="s">
        <v>722</v>
      </c>
      <c r="D472" t="s">
        <v>725</v>
      </c>
      <c r="E472" t="s">
        <v>726</v>
      </c>
      <c r="G472">
        <v>943144</v>
      </c>
      <c r="H472" t="s">
        <v>415</v>
      </c>
      <c r="I472" s="4">
        <v>3250</v>
      </c>
      <c r="J472" s="4">
        <v>2104.375</v>
      </c>
    </row>
    <row r="473" spans="1:10" x14ac:dyDescent="0.35">
      <c r="A473">
        <v>3151271955</v>
      </c>
      <c r="B473" t="s">
        <v>721</v>
      </c>
      <c r="C473" t="s">
        <v>722</v>
      </c>
      <c r="D473" t="s">
        <v>725</v>
      </c>
      <c r="E473" t="s">
        <v>726</v>
      </c>
      <c r="G473">
        <v>943144</v>
      </c>
      <c r="H473" t="s">
        <v>415</v>
      </c>
      <c r="I473" s="4">
        <v>800</v>
      </c>
      <c r="J473" s="4">
        <v>518</v>
      </c>
    </row>
    <row r="474" spans="1:10" x14ac:dyDescent="0.35">
      <c r="A474">
        <v>3151271956</v>
      </c>
      <c r="B474" t="s">
        <v>721</v>
      </c>
      <c r="C474" t="s">
        <v>722</v>
      </c>
      <c r="D474" t="s">
        <v>725</v>
      </c>
      <c r="E474" t="s">
        <v>726</v>
      </c>
      <c r="G474">
        <v>943144</v>
      </c>
      <c r="H474" t="s">
        <v>415</v>
      </c>
      <c r="I474" s="4">
        <v>400</v>
      </c>
      <c r="J474" s="4">
        <v>259</v>
      </c>
    </row>
    <row r="475" spans="1:10" x14ac:dyDescent="0.35">
      <c r="A475">
        <v>3151271958</v>
      </c>
      <c r="B475" t="s">
        <v>721</v>
      </c>
      <c r="C475" t="s">
        <v>722</v>
      </c>
      <c r="D475" t="s">
        <v>725</v>
      </c>
      <c r="E475" t="s">
        <v>726</v>
      </c>
      <c r="G475">
        <v>943144</v>
      </c>
      <c r="H475" t="s">
        <v>415</v>
      </c>
      <c r="I475" s="4">
        <v>800</v>
      </c>
      <c r="J475" s="4">
        <v>518</v>
      </c>
    </row>
    <row r="476" spans="1:10" x14ac:dyDescent="0.35">
      <c r="A476">
        <v>3151271959</v>
      </c>
      <c r="B476" t="s">
        <v>721</v>
      </c>
      <c r="C476" t="s">
        <v>722</v>
      </c>
      <c r="D476" t="s">
        <v>725</v>
      </c>
      <c r="E476" t="s">
        <v>726</v>
      </c>
      <c r="G476">
        <v>943144</v>
      </c>
      <c r="H476" t="s">
        <v>415</v>
      </c>
      <c r="I476" s="4">
        <v>240</v>
      </c>
      <c r="J476" s="4">
        <v>155.4</v>
      </c>
    </row>
    <row r="477" spans="1:10" x14ac:dyDescent="0.35">
      <c r="A477">
        <v>3151271960</v>
      </c>
      <c r="B477" t="s">
        <v>721</v>
      </c>
      <c r="C477" t="s">
        <v>722</v>
      </c>
      <c r="D477" t="s">
        <v>725</v>
      </c>
      <c r="E477" t="s">
        <v>726</v>
      </c>
      <c r="G477">
        <v>943144</v>
      </c>
      <c r="H477" t="s">
        <v>415</v>
      </c>
      <c r="I477" s="4">
        <v>120</v>
      </c>
      <c r="J477" s="4">
        <v>77.7</v>
      </c>
    </row>
    <row r="478" spans="1:10" x14ac:dyDescent="0.35">
      <c r="A478">
        <v>3151271962</v>
      </c>
      <c r="B478" t="s">
        <v>721</v>
      </c>
      <c r="C478" t="s">
        <v>722</v>
      </c>
      <c r="D478" t="s">
        <v>725</v>
      </c>
      <c r="E478" t="s">
        <v>726</v>
      </c>
      <c r="G478">
        <v>943144</v>
      </c>
      <c r="H478" t="s">
        <v>415</v>
      </c>
      <c r="I478" s="4">
        <v>240</v>
      </c>
      <c r="J478" s="4">
        <v>155.4</v>
      </c>
    </row>
    <row r="479" spans="1:10" x14ac:dyDescent="0.35">
      <c r="A479">
        <v>3151271963</v>
      </c>
      <c r="B479" t="s">
        <v>721</v>
      </c>
      <c r="C479" t="s">
        <v>722</v>
      </c>
      <c r="D479" t="s">
        <v>725</v>
      </c>
      <c r="E479" t="s">
        <v>726</v>
      </c>
      <c r="G479">
        <v>943144</v>
      </c>
      <c r="H479" t="s">
        <v>415</v>
      </c>
      <c r="I479" s="4">
        <v>1600</v>
      </c>
      <c r="J479" s="4">
        <v>1036</v>
      </c>
    </row>
    <row r="480" spans="1:10" x14ac:dyDescent="0.35">
      <c r="A480">
        <v>3151271982</v>
      </c>
      <c r="B480" t="s">
        <v>721</v>
      </c>
      <c r="C480" t="s">
        <v>722</v>
      </c>
      <c r="D480" t="s">
        <v>725</v>
      </c>
      <c r="E480" t="s">
        <v>726</v>
      </c>
      <c r="F480" t="s">
        <v>201</v>
      </c>
      <c r="G480">
        <v>943144</v>
      </c>
      <c r="H480" t="s">
        <v>415</v>
      </c>
      <c r="I480" s="4">
        <v>600</v>
      </c>
      <c r="J480" s="4">
        <v>388.5</v>
      </c>
    </row>
    <row r="481" spans="1:10" x14ac:dyDescent="0.35">
      <c r="A481">
        <v>3151271983</v>
      </c>
      <c r="B481" t="s">
        <v>721</v>
      </c>
      <c r="C481" t="s">
        <v>722</v>
      </c>
      <c r="D481" t="s">
        <v>725</v>
      </c>
      <c r="E481" t="s">
        <v>726</v>
      </c>
      <c r="F481" t="s">
        <v>201</v>
      </c>
      <c r="G481">
        <v>943144</v>
      </c>
      <c r="H481" t="s">
        <v>415</v>
      </c>
      <c r="I481" s="4">
        <v>500</v>
      </c>
      <c r="J481" s="4">
        <v>323.75</v>
      </c>
    </row>
    <row r="482" spans="1:10" x14ac:dyDescent="0.35">
      <c r="A482">
        <v>3151271984</v>
      </c>
      <c r="B482" t="s">
        <v>721</v>
      </c>
      <c r="C482" t="s">
        <v>722</v>
      </c>
      <c r="D482" t="s">
        <v>725</v>
      </c>
      <c r="E482" t="s">
        <v>726</v>
      </c>
      <c r="F482" t="s">
        <v>201</v>
      </c>
      <c r="G482">
        <v>943144</v>
      </c>
      <c r="H482" t="s">
        <v>415</v>
      </c>
      <c r="I482" s="4">
        <v>500</v>
      </c>
      <c r="J482" s="4">
        <v>323.75</v>
      </c>
    </row>
    <row r="483" spans="1:10" x14ac:dyDescent="0.35">
      <c r="A483">
        <v>3151272533</v>
      </c>
      <c r="B483" t="s">
        <v>721</v>
      </c>
      <c r="C483" t="s">
        <v>722</v>
      </c>
      <c r="D483" t="s">
        <v>725</v>
      </c>
      <c r="E483" t="s">
        <v>726</v>
      </c>
      <c r="G483">
        <v>943144</v>
      </c>
      <c r="H483" t="s">
        <v>415</v>
      </c>
      <c r="I483" s="4">
        <v>800</v>
      </c>
      <c r="J483" s="4">
        <v>518</v>
      </c>
    </row>
    <row r="484" spans="1:10" x14ac:dyDescent="0.35">
      <c r="A484">
        <v>3151272535</v>
      </c>
      <c r="B484" t="s">
        <v>721</v>
      </c>
      <c r="C484" t="s">
        <v>722</v>
      </c>
      <c r="D484" t="s">
        <v>725</v>
      </c>
      <c r="E484" t="s">
        <v>726</v>
      </c>
      <c r="G484">
        <v>943144</v>
      </c>
      <c r="H484" t="s">
        <v>415</v>
      </c>
      <c r="I484" s="4">
        <v>400</v>
      </c>
      <c r="J484" s="4">
        <v>259</v>
      </c>
    </row>
    <row r="485" spans="1:10" x14ac:dyDescent="0.35">
      <c r="A485">
        <v>3151272536</v>
      </c>
      <c r="B485" t="s">
        <v>721</v>
      </c>
      <c r="C485" t="s">
        <v>722</v>
      </c>
      <c r="D485" t="s">
        <v>725</v>
      </c>
      <c r="E485" t="s">
        <v>726</v>
      </c>
      <c r="G485">
        <v>943144</v>
      </c>
      <c r="H485" t="s">
        <v>415</v>
      </c>
      <c r="I485" s="4">
        <v>800</v>
      </c>
      <c r="J485" s="4">
        <v>518</v>
      </c>
    </row>
    <row r="486" spans="1:10" x14ac:dyDescent="0.35">
      <c r="A486">
        <v>3151272540</v>
      </c>
      <c r="B486" t="s">
        <v>721</v>
      </c>
      <c r="C486" t="s">
        <v>722</v>
      </c>
      <c r="D486" t="s">
        <v>725</v>
      </c>
      <c r="E486" t="s">
        <v>726</v>
      </c>
      <c r="G486">
        <v>943144</v>
      </c>
      <c r="H486" t="s">
        <v>415</v>
      </c>
      <c r="I486" s="4">
        <v>240</v>
      </c>
      <c r="J486" s="4">
        <v>155.4</v>
      </c>
    </row>
    <row r="487" spans="1:10" x14ac:dyDescent="0.35">
      <c r="A487">
        <v>3151272542</v>
      </c>
      <c r="B487" t="s">
        <v>721</v>
      </c>
      <c r="C487" t="s">
        <v>722</v>
      </c>
      <c r="D487" t="s">
        <v>725</v>
      </c>
      <c r="E487" t="s">
        <v>726</v>
      </c>
      <c r="G487">
        <v>943144</v>
      </c>
      <c r="H487" t="s">
        <v>415</v>
      </c>
      <c r="I487" s="4">
        <v>120</v>
      </c>
      <c r="J487" s="4">
        <v>77.7</v>
      </c>
    </row>
    <row r="488" spans="1:10" x14ac:dyDescent="0.35">
      <c r="A488">
        <v>3151272543</v>
      </c>
      <c r="B488" t="s">
        <v>721</v>
      </c>
      <c r="C488" t="s">
        <v>722</v>
      </c>
      <c r="D488" t="s">
        <v>725</v>
      </c>
      <c r="E488" t="s">
        <v>726</v>
      </c>
      <c r="G488">
        <v>943144</v>
      </c>
      <c r="H488" t="s">
        <v>415</v>
      </c>
      <c r="I488" s="4">
        <v>240</v>
      </c>
      <c r="J488" s="4">
        <v>155.4</v>
      </c>
    </row>
    <row r="489" spans="1:10" x14ac:dyDescent="0.35">
      <c r="A489">
        <v>3151272497</v>
      </c>
      <c r="B489" t="s">
        <v>721</v>
      </c>
      <c r="C489" t="s">
        <v>722</v>
      </c>
      <c r="D489" t="s">
        <v>725</v>
      </c>
      <c r="E489" t="s">
        <v>726</v>
      </c>
      <c r="F489" t="s">
        <v>201</v>
      </c>
      <c r="G489">
        <v>943144</v>
      </c>
      <c r="H489" t="s">
        <v>415</v>
      </c>
      <c r="I489" s="4">
        <v>600</v>
      </c>
      <c r="J489" s="4">
        <v>388.5</v>
      </c>
    </row>
    <row r="490" spans="1:10" x14ac:dyDescent="0.35">
      <c r="A490">
        <v>3151272499</v>
      </c>
      <c r="B490" t="s">
        <v>721</v>
      </c>
      <c r="C490" t="s">
        <v>722</v>
      </c>
      <c r="D490" t="s">
        <v>725</v>
      </c>
      <c r="E490" t="s">
        <v>726</v>
      </c>
      <c r="F490" t="s">
        <v>201</v>
      </c>
      <c r="G490">
        <v>943144</v>
      </c>
      <c r="H490" t="s">
        <v>415</v>
      </c>
      <c r="I490" s="4">
        <v>500</v>
      </c>
      <c r="J490" s="4">
        <v>323.75</v>
      </c>
    </row>
    <row r="491" spans="1:10" x14ac:dyDescent="0.35">
      <c r="A491">
        <v>3151272500</v>
      </c>
      <c r="B491" t="s">
        <v>721</v>
      </c>
      <c r="C491" t="s">
        <v>722</v>
      </c>
      <c r="D491" t="s">
        <v>725</v>
      </c>
      <c r="E491" t="s">
        <v>726</v>
      </c>
      <c r="F491" t="s">
        <v>201</v>
      </c>
      <c r="G491">
        <v>943144</v>
      </c>
      <c r="H491" t="s">
        <v>415</v>
      </c>
      <c r="I491" s="4">
        <v>500</v>
      </c>
      <c r="J491" s="4">
        <v>323.75</v>
      </c>
    </row>
    <row r="492" spans="1:10" x14ac:dyDescent="0.35">
      <c r="A492">
        <v>3151272521</v>
      </c>
      <c r="B492" t="s">
        <v>721</v>
      </c>
      <c r="C492" t="s">
        <v>722</v>
      </c>
      <c r="D492" t="s">
        <v>725</v>
      </c>
      <c r="E492" t="s">
        <v>726</v>
      </c>
      <c r="F492" t="s">
        <v>201</v>
      </c>
      <c r="G492">
        <v>943144</v>
      </c>
      <c r="H492" t="s">
        <v>415</v>
      </c>
      <c r="I492" s="4">
        <v>3250</v>
      </c>
      <c r="J492" s="4">
        <v>2104.375</v>
      </c>
    </row>
    <row r="493" spans="1:10" x14ac:dyDescent="0.35">
      <c r="A493">
        <v>3151272522</v>
      </c>
      <c r="B493" t="s">
        <v>721</v>
      </c>
      <c r="C493" t="s">
        <v>722</v>
      </c>
      <c r="D493" t="s">
        <v>725</v>
      </c>
      <c r="E493" t="s">
        <v>726</v>
      </c>
      <c r="F493" t="s">
        <v>201</v>
      </c>
      <c r="G493">
        <v>943144</v>
      </c>
      <c r="H493" t="s">
        <v>415</v>
      </c>
      <c r="I493" s="4">
        <v>4750</v>
      </c>
      <c r="J493" s="4">
        <v>3075.625</v>
      </c>
    </row>
    <row r="494" spans="1:10" x14ac:dyDescent="0.35">
      <c r="A494">
        <v>3151272523</v>
      </c>
      <c r="B494" t="s">
        <v>721</v>
      </c>
      <c r="C494" t="s">
        <v>722</v>
      </c>
      <c r="D494" t="s">
        <v>725</v>
      </c>
      <c r="E494" t="s">
        <v>726</v>
      </c>
      <c r="F494" t="s">
        <v>201</v>
      </c>
      <c r="G494">
        <v>943144</v>
      </c>
      <c r="H494" t="s">
        <v>415</v>
      </c>
      <c r="I494" s="4">
        <v>4250</v>
      </c>
      <c r="J494" s="4">
        <v>2751.875</v>
      </c>
    </row>
    <row r="495" spans="1:10" x14ac:dyDescent="0.35">
      <c r="A495">
        <v>3151272524</v>
      </c>
      <c r="B495" t="s">
        <v>721</v>
      </c>
      <c r="C495" t="s">
        <v>722</v>
      </c>
      <c r="D495" t="s">
        <v>725</v>
      </c>
      <c r="E495" t="s">
        <v>726</v>
      </c>
      <c r="F495" t="s">
        <v>201</v>
      </c>
      <c r="G495">
        <v>943144</v>
      </c>
      <c r="H495" t="s">
        <v>415</v>
      </c>
      <c r="I495" s="4">
        <v>2750</v>
      </c>
      <c r="J495" s="4">
        <v>1780.625</v>
      </c>
    </row>
    <row r="496" spans="1:10" x14ac:dyDescent="0.35">
      <c r="A496">
        <v>3151272525</v>
      </c>
      <c r="B496" t="s">
        <v>721</v>
      </c>
      <c r="C496" t="s">
        <v>722</v>
      </c>
      <c r="D496" t="s">
        <v>725</v>
      </c>
      <c r="E496" t="s">
        <v>726</v>
      </c>
      <c r="F496" t="s">
        <v>201</v>
      </c>
      <c r="G496">
        <v>943144</v>
      </c>
      <c r="H496" t="s">
        <v>415</v>
      </c>
      <c r="I496" s="4">
        <v>4750</v>
      </c>
      <c r="J496" s="4">
        <v>3075.625</v>
      </c>
    </row>
    <row r="497" spans="1:10" x14ac:dyDescent="0.35">
      <c r="A497">
        <v>3151272526</v>
      </c>
      <c r="B497" t="s">
        <v>721</v>
      </c>
      <c r="C497" t="s">
        <v>722</v>
      </c>
      <c r="D497" t="s">
        <v>725</v>
      </c>
      <c r="E497" t="s">
        <v>726</v>
      </c>
      <c r="F497" t="s">
        <v>201</v>
      </c>
      <c r="G497">
        <v>943144</v>
      </c>
      <c r="H497" t="s">
        <v>415</v>
      </c>
      <c r="I497" s="4">
        <v>2750</v>
      </c>
      <c r="J497" s="4">
        <v>1780.625</v>
      </c>
    </row>
    <row r="498" spans="1:10" x14ac:dyDescent="0.35">
      <c r="A498">
        <v>3151272527</v>
      </c>
      <c r="B498" t="s">
        <v>721</v>
      </c>
      <c r="C498" t="s">
        <v>722</v>
      </c>
      <c r="D498" t="s">
        <v>725</v>
      </c>
      <c r="E498" t="s">
        <v>726</v>
      </c>
      <c r="F498" t="s">
        <v>201</v>
      </c>
      <c r="G498">
        <v>943144</v>
      </c>
      <c r="H498" t="s">
        <v>415</v>
      </c>
      <c r="I498" s="4">
        <v>2750</v>
      </c>
      <c r="J498" s="4">
        <v>1780.625</v>
      </c>
    </row>
    <row r="499" spans="1:10" x14ac:dyDescent="0.35">
      <c r="A499">
        <v>3151272528</v>
      </c>
      <c r="B499" t="s">
        <v>721</v>
      </c>
      <c r="C499" t="s">
        <v>722</v>
      </c>
      <c r="D499" t="s">
        <v>725</v>
      </c>
      <c r="E499" t="s">
        <v>726</v>
      </c>
      <c r="F499" t="s">
        <v>201</v>
      </c>
      <c r="G499">
        <v>943144</v>
      </c>
      <c r="H499" t="s">
        <v>415</v>
      </c>
      <c r="I499" s="4">
        <v>5250</v>
      </c>
      <c r="J499" s="4">
        <v>3399.375</v>
      </c>
    </row>
    <row r="500" spans="1:10" x14ac:dyDescent="0.35">
      <c r="A500">
        <v>3151272529</v>
      </c>
      <c r="B500" t="s">
        <v>721</v>
      </c>
      <c r="C500" t="s">
        <v>722</v>
      </c>
      <c r="D500" t="s">
        <v>725</v>
      </c>
      <c r="E500" t="s">
        <v>726</v>
      </c>
      <c r="F500" t="s">
        <v>201</v>
      </c>
      <c r="G500">
        <v>943144</v>
      </c>
      <c r="H500" t="s">
        <v>415</v>
      </c>
      <c r="I500" s="4">
        <v>3250</v>
      </c>
      <c r="J500" s="4">
        <v>2104.375</v>
      </c>
    </row>
    <row r="501" spans="1:10" x14ac:dyDescent="0.35">
      <c r="A501">
        <v>3151272530</v>
      </c>
      <c r="B501" t="s">
        <v>721</v>
      </c>
      <c r="C501" t="s">
        <v>722</v>
      </c>
      <c r="D501" t="s">
        <v>725</v>
      </c>
      <c r="E501" t="s">
        <v>726</v>
      </c>
      <c r="F501" t="s">
        <v>201</v>
      </c>
      <c r="G501">
        <v>943144</v>
      </c>
      <c r="H501" t="s">
        <v>415</v>
      </c>
      <c r="I501" s="4">
        <v>3250</v>
      </c>
      <c r="J501" s="4">
        <v>2104.375</v>
      </c>
    </row>
    <row r="502" spans="1:10" x14ac:dyDescent="0.35">
      <c r="A502">
        <v>3151272547</v>
      </c>
      <c r="B502" t="s">
        <v>721</v>
      </c>
      <c r="C502" t="s">
        <v>722</v>
      </c>
      <c r="D502" t="s">
        <v>725</v>
      </c>
      <c r="E502" t="s">
        <v>726</v>
      </c>
      <c r="G502">
        <v>943144</v>
      </c>
      <c r="H502" t="s">
        <v>415</v>
      </c>
      <c r="I502" s="4">
        <v>1100</v>
      </c>
      <c r="J502" s="4">
        <v>712.25</v>
      </c>
    </row>
    <row r="503" spans="1:10" x14ac:dyDescent="0.35">
      <c r="A503">
        <v>3151272850</v>
      </c>
      <c r="B503" t="s">
        <v>721</v>
      </c>
      <c r="C503" t="s">
        <v>722</v>
      </c>
      <c r="D503" t="s">
        <v>725</v>
      </c>
      <c r="E503" t="s">
        <v>726</v>
      </c>
      <c r="F503" t="s">
        <v>201</v>
      </c>
      <c r="G503">
        <v>943144</v>
      </c>
      <c r="H503" t="s">
        <v>415</v>
      </c>
      <c r="I503" s="4">
        <v>1900</v>
      </c>
      <c r="J503" s="4">
        <v>1230.25</v>
      </c>
    </row>
    <row r="504" spans="1:10" x14ac:dyDescent="0.35">
      <c r="A504">
        <v>3151272851</v>
      </c>
      <c r="B504" t="s">
        <v>721</v>
      </c>
      <c r="C504" t="s">
        <v>722</v>
      </c>
      <c r="D504" t="s">
        <v>725</v>
      </c>
      <c r="E504" t="s">
        <v>726</v>
      </c>
      <c r="F504" t="s">
        <v>201</v>
      </c>
      <c r="G504">
        <v>943144</v>
      </c>
      <c r="H504" t="s">
        <v>415</v>
      </c>
      <c r="I504" s="4">
        <v>2100</v>
      </c>
      <c r="J504" s="4">
        <v>1359.75</v>
      </c>
    </row>
    <row r="505" spans="1:10" x14ac:dyDescent="0.35">
      <c r="A505">
        <v>3151271703</v>
      </c>
      <c r="B505" t="s">
        <v>727</v>
      </c>
      <c r="C505" t="s">
        <v>728</v>
      </c>
      <c r="D505" t="s">
        <v>473</v>
      </c>
      <c r="E505" t="s">
        <v>729</v>
      </c>
      <c r="F505" t="s">
        <v>730</v>
      </c>
      <c r="G505">
        <v>804475</v>
      </c>
      <c r="H505" t="s">
        <v>433</v>
      </c>
      <c r="I505" s="4">
        <v>552</v>
      </c>
      <c r="J505" s="4">
        <v>32.292000000000002</v>
      </c>
    </row>
    <row r="506" spans="1:10" x14ac:dyDescent="0.35">
      <c r="A506">
        <v>3151272151</v>
      </c>
      <c r="B506" t="s">
        <v>727</v>
      </c>
      <c r="C506" t="s">
        <v>728</v>
      </c>
      <c r="D506" t="s">
        <v>473</v>
      </c>
      <c r="E506" t="s">
        <v>729</v>
      </c>
      <c r="F506" t="s">
        <v>730</v>
      </c>
      <c r="G506">
        <v>804475</v>
      </c>
      <c r="H506" t="s">
        <v>433</v>
      </c>
      <c r="I506" s="4">
        <v>2736</v>
      </c>
      <c r="J506" s="4">
        <v>160.05600000000001</v>
      </c>
    </row>
    <row r="507" spans="1:10" x14ac:dyDescent="0.35">
      <c r="A507">
        <v>3151272160</v>
      </c>
      <c r="B507" t="s">
        <v>727</v>
      </c>
      <c r="C507" t="s">
        <v>728</v>
      </c>
      <c r="D507" t="s">
        <v>473</v>
      </c>
      <c r="E507" t="s">
        <v>729</v>
      </c>
      <c r="F507" t="s">
        <v>730</v>
      </c>
      <c r="G507">
        <v>804475</v>
      </c>
      <c r="H507" t="s">
        <v>433</v>
      </c>
      <c r="I507" s="4">
        <v>2736</v>
      </c>
      <c r="J507" s="4">
        <v>160.05600000000001</v>
      </c>
    </row>
    <row r="508" spans="1:10" x14ac:dyDescent="0.35">
      <c r="A508">
        <v>3151271703</v>
      </c>
      <c r="B508" t="s">
        <v>727</v>
      </c>
      <c r="C508" t="s">
        <v>728</v>
      </c>
      <c r="D508" t="s">
        <v>534</v>
      </c>
      <c r="E508" t="s">
        <v>731</v>
      </c>
      <c r="F508" t="s">
        <v>730</v>
      </c>
      <c r="G508">
        <v>804474</v>
      </c>
      <c r="H508" t="s">
        <v>412</v>
      </c>
      <c r="I508" s="4">
        <v>1344</v>
      </c>
      <c r="J508" s="4">
        <v>214.77120000000002</v>
      </c>
    </row>
    <row r="509" spans="1:10" x14ac:dyDescent="0.35">
      <c r="A509">
        <v>3151272151</v>
      </c>
      <c r="B509" t="s">
        <v>727</v>
      </c>
      <c r="C509" t="s">
        <v>728</v>
      </c>
      <c r="D509" t="s">
        <v>534</v>
      </c>
      <c r="E509" t="s">
        <v>731</v>
      </c>
      <c r="F509" t="s">
        <v>730</v>
      </c>
      <c r="G509">
        <v>804474</v>
      </c>
      <c r="H509" t="s">
        <v>412</v>
      </c>
      <c r="I509" s="4">
        <v>3996</v>
      </c>
      <c r="J509" s="4">
        <v>638.56080000000009</v>
      </c>
    </row>
    <row r="510" spans="1:10" x14ac:dyDescent="0.35">
      <c r="A510">
        <v>3151272160</v>
      </c>
      <c r="B510" t="s">
        <v>727</v>
      </c>
      <c r="C510" t="s">
        <v>728</v>
      </c>
      <c r="D510" t="s">
        <v>534</v>
      </c>
      <c r="E510" t="s">
        <v>731</v>
      </c>
      <c r="F510" t="s">
        <v>730</v>
      </c>
      <c r="G510">
        <v>804474</v>
      </c>
      <c r="H510" t="s">
        <v>412</v>
      </c>
      <c r="I510" s="4">
        <v>3996</v>
      </c>
      <c r="J510" s="4">
        <v>638.56080000000009</v>
      </c>
    </row>
    <row r="511" spans="1:10" x14ac:dyDescent="0.35">
      <c r="A511">
        <v>3151271703</v>
      </c>
      <c r="B511" t="s">
        <v>727</v>
      </c>
      <c r="C511" t="s">
        <v>728</v>
      </c>
      <c r="D511" t="s">
        <v>732</v>
      </c>
      <c r="E511" t="s">
        <v>733</v>
      </c>
      <c r="F511" t="s">
        <v>730</v>
      </c>
      <c r="G511">
        <v>804473</v>
      </c>
      <c r="H511" t="s">
        <v>415</v>
      </c>
      <c r="I511" s="4">
        <v>2088</v>
      </c>
      <c r="J511" s="4">
        <v>1065.0888</v>
      </c>
    </row>
    <row r="512" spans="1:10" x14ac:dyDescent="0.35">
      <c r="A512">
        <v>3151272151</v>
      </c>
      <c r="B512" t="s">
        <v>727</v>
      </c>
      <c r="C512" t="s">
        <v>728</v>
      </c>
      <c r="D512" t="s">
        <v>732</v>
      </c>
      <c r="E512" t="s">
        <v>733</v>
      </c>
      <c r="F512" t="s">
        <v>730</v>
      </c>
      <c r="G512">
        <v>804473</v>
      </c>
      <c r="H512" t="s">
        <v>415</v>
      </c>
      <c r="I512" s="4">
        <v>8172</v>
      </c>
      <c r="J512" s="4">
        <v>4168.5372000000007</v>
      </c>
    </row>
    <row r="513" spans="1:10" x14ac:dyDescent="0.35">
      <c r="A513">
        <v>3151272217</v>
      </c>
      <c r="B513" t="s">
        <v>727</v>
      </c>
      <c r="C513" t="s">
        <v>728</v>
      </c>
      <c r="D513" t="s">
        <v>732</v>
      </c>
      <c r="E513" t="s">
        <v>733</v>
      </c>
      <c r="F513" t="s">
        <v>730</v>
      </c>
      <c r="G513">
        <v>804473</v>
      </c>
      <c r="H513" t="s">
        <v>415</v>
      </c>
      <c r="I513" s="4">
        <v>216</v>
      </c>
      <c r="J513" s="4">
        <v>110.1816</v>
      </c>
    </row>
    <row r="514" spans="1:10" x14ac:dyDescent="0.35">
      <c r="A514">
        <v>3151272160</v>
      </c>
      <c r="B514" t="s">
        <v>727</v>
      </c>
      <c r="C514" t="s">
        <v>728</v>
      </c>
      <c r="D514" t="s">
        <v>732</v>
      </c>
      <c r="E514" t="s">
        <v>733</v>
      </c>
      <c r="F514" t="s">
        <v>730</v>
      </c>
      <c r="G514">
        <v>804473</v>
      </c>
      <c r="H514" t="s">
        <v>415</v>
      </c>
      <c r="I514" s="4">
        <v>8172</v>
      </c>
      <c r="J514" s="4">
        <v>4168.5372000000007</v>
      </c>
    </row>
    <row r="515" spans="1:10" x14ac:dyDescent="0.35">
      <c r="A515">
        <v>3151271703</v>
      </c>
      <c r="B515" t="s">
        <v>727</v>
      </c>
      <c r="C515" t="s">
        <v>734</v>
      </c>
      <c r="D515" t="s">
        <v>473</v>
      </c>
      <c r="E515" t="s">
        <v>729</v>
      </c>
      <c r="F515" t="s">
        <v>735</v>
      </c>
      <c r="G515">
        <v>804478</v>
      </c>
      <c r="H515" t="s">
        <v>433</v>
      </c>
      <c r="I515" s="4">
        <v>1080</v>
      </c>
      <c r="J515" s="4">
        <v>63.18</v>
      </c>
    </row>
    <row r="516" spans="1:10" x14ac:dyDescent="0.35">
      <c r="A516">
        <v>3151272151</v>
      </c>
      <c r="B516" t="s">
        <v>727</v>
      </c>
      <c r="C516" t="s">
        <v>734</v>
      </c>
      <c r="D516" t="s">
        <v>473</v>
      </c>
      <c r="E516" t="s">
        <v>729</v>
      </c>
      <c r="F516" t="s">
        <v>735</v>
      </c>
      <c r="G516">
        <v>804478</v>
      </c>
      <c r="H516" t="s">
        <v>433</v>
      </c>
      <c r="I516" s="4">
        <v>1032</v>
      </c>
      <c r="J516" s="4">
        <v>60.372</v>
      </c>
    </row>
    <row r="517" spans="1:10" x14ac:dyDescent="0.35">
      <c r="A517">
        <v>3151272217</v>
      </c>
      <c r="B517" t="s">
        <v>727</v>
      </c>
      <c r="C517" t="s">
        <v>734</v>
      </c>
      <c r="D517" t="s">
        <v>473</v>
      </c>
      <c r="E517" t="s">
        <v>729</v>
      </c>
      <c r="F517" t="s">
        <v>735</v>
      </c>
      <c r="G517">
        <v>804478</v>
      </c>
      <c r="H517" t="s">
        <v>433</v>
      </c>
      <c r="I517" s="4">
        <v>288</v>
      </c>
      <c r="J517" s="4">
        <v>16.847999999999999</v>
      </c>
    </row>
    <row r="518" spans="1:10" x14ac:dyDescent="0.35">
      <c r="A518">
        <v>3151272160</v>
      </c>
      <c r="B518" t="s">
        <v>727</v>
      </c>
      <c r="C518" t="s">
        <v>734</v>
      </c>
      <c r="D518" t="s">
        <v>473</v>
      </c>
      <c r="E518" t="s">
        <v>729</v>
      </c>
      <c r="F518" t="s">
        <v>735</v>
      </c>
      <c r="G518">
        <v>804478</v>
      </c>
      <c r="H518" t="s">
        <v>433</v>
      </c>
      <c r="I518" s="4">
        <v>1032</v>
      </c>
      <c r="J518" s="4">
        <v>60.372</v>
      </c>
    </row>
    <row r="519" spans="1:10" x14ac:dyDescent="0.35">
      <c r="A519">
        <v>3151271703</v>
      </c>
      <c r="B519" t="s">
        <v>727</v>
      </c>
      <c r="C519" t="s">
        <v>734</v>
      </c>
      <c r="D519" t="s">
        <v>534</v>
      </c>
      <c r="E519" t="s">
        <v>731</v>
      </c>
      <c r="F519" t="s">
        <v>735</v>
      </c>
      <c r="G519">
        <v>804477</v>
      </c>
      <c r="H519" t="s">
        <v>412</v>
      </c>
      <c r="I519" s="4">
        <v>2280</v>
      </c>
      <c r="J519" s="4">
        <v>364.34399999999999</v>
      </c>
    </row>
    <row r="520" spans="1:10" x14ac:dyDescent="0.35">
      <c r="A520">
        <v>3151272151</v>
      </c>
      <c r="B520" t="s">
        <v>727</v>
      </c>
      <c r="C520" t="s">
        <v>734</v>
      </c>
      <c r="D520" t="s">
        <v>534</v>
      </c>
      <c r="E520" t="s">
        <v>731</v>
      </c>
      <c r="F520" t="s">
        <v>735</v>
      </c>
      <c r="G520">
        <v>804477</v>
      </c>
      <c r="H520" t="s">
        <v>412</v>
      </c>
      <c r="I520" s="4">
        <v>2004</v>
      </c>
      <c r="J520" s="4">
        <v>320.23920000000004</v>
      </c>
    </row>
    <row r="521" spans="1:10" x14ac:dyDescent="0.35">
      <c r="A521">
        <v>3151272217</v>
      </c>
      <c r="B521" t="s">
        <v>727</v>
      </c>
      <c r="C521" t="s">
        <v>734</v>
      </c>
      <c r="D521" t="s">
        <v>534</v>
      </c>
      <c r="E521" t="s">
        <v>731</v>
      </c>
      <c r="F521" t="s">
        <v>735</v>
      </c>
      <c r="G521">
        <v>804477</v>
      </c>
      <c r="H521" t="s">
        <v>412</v>
      </c>
      <c r="I521" s="4">
        <v>336</v>
      </c>
      <c r="J521" s="4">
        <v>53.692800000000005</v>
      </c>
    </row>
    <row r="522" spans="1:10" x14ac:dyDescent="0.35">
      <c r="A522">
        <v>3151272160</v>
      </c>
      <c r="B522" t="s">
        <v>727</v>
      </c>
      <c r="C522" t="s">
        <v>734</v>
      </c>
      <c r="D522" t="s">
        <v>534</v>
      </c>
      <c r="E522" t="s">
        <v>731</v>
      </c>
      <c r="F522" t="s">
        <v>735</v>
      </c>
      <c r="G522">
        <v>804477</v>
      </c>
      <c r="H522" t="s">
        <v>412</v>
      </c>
      <c r="I522" s="4">
        <v>2004</v>
      </c>
      <c r="J522" s="4">
        <v>320.23920000000004</v>
      </c>
    </row>
    <row r="523" spans="1:10" x14ac:dyDescent="0.35">
      <c r="A523">
        <v>3151271703</v>
      </c>
      <c r="B523" t="s">
        <v>727</v>
      </c>
      <c r="C523" t="s">
        <v>734</v>
      </c>
      <c r="D523" t="s">
        <v>732</v>
      </c>
      <c r="E523" t="s">
        <v>733</v>
      </c>
      <c r="F523" t="s">
        <v>735</v>
      </c>
      <c r="G523">
        <v>804476</v>
      </c>
      <c r="H523" t="s">
        <v>415</v>
      </c>
      <c r="I523" s="4">
        <v>3300</v>
      </c>
      <c r="J523" s="4">
        <v>1683.33</v>
      </c>
    </row>
    <row r="524" spans="1:10" x14ac:dyDescent="0.35">
      <c r="A524">
        <v>3151272151</v>
      </c>
      <c r="B524" t="s">
        <v>727</v>
      </c>
      <c r="C524" t="s">
        <v>734</v>
      </c>
      <c r="D524" t="s">
        <v>732</v>
      </c>
      <c r="E524" t="s">
        <v>733</v>
      </c>
      <c r="F524" t="s">
        <v>735</v>
      </c>
      <c r="G524">
        <v>804476</v>
      </c>
      <c r="H524" t="s">
        <v>415</v>
      </c>
      <c r="I524" s="4">
        <v>3996</v>
      </c>
      <c r="J524" s="4">
        <v>2038.3596000000002</v>
      </c>
    </row>
    <row r="525" spans="1:10" x14ac:dyDescent="0.35">
      <c r="A525">
        <v>3151272217</v>
      </c>
      <c r="B525" t="s">
        <v>727</v>
      </c>
      <c r="C525" t="s">
        <v>734</v>
      </c>
      <c r="D525" t="s">
        <v>732</v>
      </c>
      <c r="E525" t="s">
        <v>733</v>
      </c>
      <c r="F525" t="s">
        <v>735</v>
      </c>
      <c r="G525">
        <v>804476</v>
      </c>
      <c r="H525" t="s">
        <v>415</v>
      </c>
      <c r="I525" s="4">
        <v>696</v>
      </c>
      <c r="J525" s="4">
        <v>355.02960000000002</v>
      </c>
    </row>
    <row r="526" spans="1:10" x14ac:dyDescent="0.35">
      <c r="A526">
        <v>3151272160</v>
      </c>
      <c r="B526" t="s">
        <v>727</v>
      </c>
      <c r="C526" t="s">
        <v>734</v>
      </c>
      <c r="D526" t="s">
        <v>732</v>
      </c>
      <c r="E526" t="s">
        <v>733</v>
      </c>
      <c r="F526" t="s">
        <v>735</v>
      </c>
      <c r="G526">
        <v>804476</v>
      </c>
      <c r="H526" t="s">
        <v>415</v>
      </c>
      <c r="I526" s="4">
        <v>3996</v>
      </c>
      <c r="J526" s="4">
        <v>2038.3596000000002</v>
      </c>
    </row>
    <row r="527" spans="1:10" x14ac:dyDescent="0.35">
      <c r="A527">
        <v>3151272151</v>
      </c>
      <c r="B527" t="s">
        <v>727</v>
      </c>
      <c r="C527" t="s">
        <v>736</v>
      </c>
      <c r="D527" t="s">
        <v>473</v>
      </c>
      <c r="E527" t="s">
        <v>729</v>
      </c>
      <c r="F527" t="s">
        <v>737</v>
      </c>
      <c r="G527">
        <v>804655</v>
      </c>
      <c r="H527" t="s">
        <v>433</v>
      </c>
      <c r="I527" s="4">
        <v>216</v>
      </c>
      <c r="J527" s="4">
        <v>12.636000000000001</v>
      </c>
    </row>
    <row r="528" spans="1:10" x14ac:dyDescent="0.35">
      <c r="A528">
        <v>3151272217</v>
      </c>
      <c r="B528" t="s">
        <v>727</v>
      </c>
      <c r="C528" t="s">
        <v>736</v>
      </c>
      <c r="D528" t="s">
        <v>473</v>
      </c>
      <c r="E528" t="s">
        <v>729</v>
      </c>
      <c r="F528" t="s">
        <v>737</v>
      </c>
      <c r="G528">
        <v>804655</v>
      </c>
      <c r="H528" t="s">
        <v>433</v>
      </c>
      <c r="I528" s="4">
        <v>48</v>
      </c>
      <c r="J528" s="4">
        <v>2.8080000000000003</v>
      </c>
    </row>
    <row r="529" spans="1:10" x14ac:dyDescent="0.35">
      <c r="A529">
        <v>3151272213</v>
      </c>
      <c r="B529" t="s">
        <v>727</v>
      </c>
      <c r="C529" t="s">
        <v>736</v>
      </c>
      <c r="D529" t="s">
        <v>473</v>
      </c>
      <c r="E529" t="s">
        <v>729</v>
      </c>
      <c r="F529" t="s">
        <v>737</v>
      </c>
      <c r="G529">
        <v>804655</v>
      </c>
      <c r="H529" t="s">
        <v>433</v>
      </c>
      <c r="I529" s="4">
        <v>50</v>
      </c>
      <c r="J529" s="4">
        <v>2.9250000000000003</v>
      </c>
    </row>
    <row r="530" spans="1:10" x14ac:dyDescent="0.35">
      <c r="A530">
        <v>3151272160</v>
      </c>
      <c r="B530" t="s">
        <v>727</v>
      </c>
      <c r="C530" t="s">
        <v>736</v>
      </c>
      <c r="D530" t="s">
        <v>473</v>
      </c>
      <c r="E530" t="s">
        <v>729</v>
      </c>
      <c r="F530" t="s">
        <v>737</v>
      </c>
      <c r="G530">
        <v>804655</v>
      </c>
      <c r="H530" t="s">
        <v>433</v>
      </c>
      <c r="I530" s="4">
        <v>216</v>
      </c>
      <c r="J530" s="4">
        <v>12.636000000000001</v>
      </c>
    </row>
    <row r="531" spans="1:10" x14ac:dyDescent="0.35">
      <c r="A531">
        <v>3151272151</v>
      </c>
      <c r="B531" t="s">
        <v>727</v>
      </c>
      <c r="C531" t="s">
        <v>736</v>
      </c>
      <c r="D531" t="s">
        <v>534</v>
      </c>
      <c r="E531" t="s">
        <v>731</v>
      </c>
      <c r="F531" t="s">
        <v>737</v>
      </c>
      <c r="G531">
        <v>804654</v>
      </c>
      <c r="H531" t="s">
        <v>412</v>
      </c>
      <c r="I531" s="4">
        <v>240</v>
      </c>
      <c r="J531" s="4">
        <v>38.352000000000004</v>
      </c>
    </row>
    <row r="532" spans="1:10" x14ac:dyDescent="0.35">
      <c r="A532">
        <v>3151272217</v>
      </c>
      <c r="B532" t="s">
        <v>727</v>
      </c>
      <c r="C532" t="s">
        <v>736</v>
      </c>
      <c r="D532" t="s">
        <v>534</v>
      </c>
      <c r="E532" t="s">
        <v>731</v>
      </c>
      <c r="F532" t="s">
        <v>737</v>
      </c>
      <c r="G532">
        <v>804654</v>
      </c>
      <c r="H532" t="s">
        <v>412</v>
      </c>
      <c r="I532" s="4">
        <v>96</v>
      </c>
      <c r="J532" s="4">
        <v>15.340800000000002</v>
      </c>
    </row>
    <row r="533" spans="1:10" x14ac:dyDescent="0.35">
      <c r="A533">
        <v>3151272213</v>
      </c>
      <c r="B533" t="s">
        <v>727</v>
      </c>
      <c r="C533" t="s">
        <v>736</v>
      </c>
      <c r="D533" t="s">
        <v>534</v>
      </c>
      <c r="E533" t="s">
        <v>731</v>
      </c>
      <c r="F533" t="s">
        <v>737</v>
      </c>
      <c r="G533">
        <v>804654</v>
      </c>
      <c r="H533" t="s">
        <v>412</v>
      </c>
      <c r="I533" s="4">
        <v>50</v>
      </c>
      <c r="J533" s="4">
        <v>7.9900000000000011</v>
      </c>
    </row>
    <row r="534" spans="1:10" x14ac:dyDescent="0.35">
      <c r="A534">
        <v>3151272160</v>
      </c>
      <c r="B534" t="s">
        <v>727</v>
      </c>
      <c r="C534" t="s">
        <v>736</v>
      </c>
      <c r="D534" t="s">
        <v>534</v>
      </c>
      <c r="E534" t="s">
        <v>731</v>
      </c>
      <c r="F534" t="s">
        <v>737</v>
      </c>
      <c r="G534">
        <v>804654</v>
      </c>
      <c r="H534" t="s">
        <v>412</v>
      </c>
      <c r="I534" s="4">
        <v>240</v>
      </c>
      <c r="J534" s="4">
        <v>38.352000000000004</v>
      </c>
    </row>
    <row r="535" spans="1:10" x14ac:dyDescent="0.35">
      <c r="A535">
        <v>3151272151</v>
      </c>
      <c r="B535" t="s">
        <v>727</v>
      </c>
      <c r="C535" t="s">
        <v>736</v>
      </c>
      <c r="D535" t="s">
        <v>732</v>
      </c>
      <c r="E535" t="s">
        <v>733</v>
      </c>
      <c r="F535" t="s">
        <v>737</v>
      </c>
      <c r="G535">
        <v>804653</v>
      </c>
      <c r="H535" t="s">
        <v>415</v>
      </c>
      <c r="I535" s="4">
        <v>540</v>
      </c>
      <c r="J535" s="4">
        <v>275.45400000000001</v>
      </c>
    </row>
    <row r="536" spans="1:10" x14ac:dyDescent="0.35">
      <c r="A536">
        <v>3151272217</v>
      </c>
      <c r="B536" t="s">
        <v>727</v>
      </c>
      <c r="C536" t="s">
        <v>736</v>
      </c>
      <c r="D536" t="s">
        <v>732</v>
      </c>
      <c r="E536" t="s">
        <v>733</v>
      </c>
      <c r="F536" t="s">
        <v>737</v>
      </c>
      <c r="G536">
        <v>804653</v>
      </c>
      <c r="H536" t="s">
        <v>415</v>
      </c>
      <c r="I536" s="4">
        <v>216</v>
      </c>
      <c r="J536" s="4">
        <v>110.1816</v>
      </c>
    </row>
    <row r="537" spans="1:10" x14ac:dyDescent="0.35">
      <c r="A537">
        <v>3151272213</v>
      </c>
      <c r="B537" t="s">
        <v>727</v>
      </c>
      <c r="C537" t="s">
        <v>736</v>
      </c>
      <c r="D537" t="s">
        <v>732</v>
      </c>
      <c r="E537" t="s">
        <v>733</v>
      </c>
      <c r="F537" t="s">
        <v>737</v>
      </c>
      <c r="G537">
        <v>804653</v>
      </c>
      <c r="H537" t="s">
        <v>415</v>
      </c>
      <c r="I537" s="4">
        <v>50</v>
      </c>
      <c r="J537" s="4">
        <v>25.504999999999999</v>
      </c>
    </row>
    <row r="538" spans="1:10" x14ac:dyDescent="0.35">
      <c r="A538">
        <v>3151272160</v>
      </c>
      <c r="B538" t="s">
        <v>727</v>
      </c>
      <c r="C538" t="s">
        <v>736</v>
      </c>
      <c r="D538" t="s">
        <v>732</v>
      </c>
      <c r="E538" t="s">
        <v>733</v>
      </c>
      <c r="F538" t="s">
        <v>737</v>
      </c>
      <c r="G538">
        <v>804653</v>
      </c>
      <c r="H538" t="s">
        <v>415</v>
      </c>
      <c r="I538" s="4">
        <v>540</v>
      </c>
      <c r="J538" s="4">
        <v>275.45400000000001</v>
      </c>
    </row>
    <row r="539" spans="1:10" x14ac:dyDescent="0.35">
      <c r="A539">
        <v>3151271812</v>
      </c>
      <c r="B539" t="s">
        <v>727</v>
      </c>
      <c r="C539" t="s">
        <v>738</v>
      </c>
      <c r="D539" t="s">
        <v>739</v>
      </c>
      <c r="E539" t="s">
        <v>740</v>
      </c>
      <c r="F539" t="s">
        <v>420</v>
      </c>
      <c r="G539">
        <v>942977</v>
      </c>
      <c r="H539" t="s">
        <v>517</v>
      </c>
      <c r="I539" s="4">
        <v>312</v>
      </c>
      <c r="J539" s="4">
        <v>209.91359999999997</v>
      </c>
    </row>
    <row r="540" spans="1:10" x14ac:dyDescent="0.35">
      <c r="A540">
        <v>3151271812</v>
      </c>
      <c r="B540" t="s">
        <v>727</v>
      </c>
      <c r="C540" t="s">
        <v>741</v>
      </c>
      <c r="D540" t="s">
        <v>739</v>
      </c>
      <c r="E540" t="s">
        <v>740</v>
      </c>
      <c r="F540" t="s">
        <v>440</v>
      </c>
      <c r="G540">
        <v>942978</v>
      </c>
      <c r="H540" t="s">
        <v>517</v>
      </c>
      <c r="I540" s="4">
        <v>312</v>
      </c>
      <c r="J540" s="4">
        <v>209.91359999999997</v>
      </c>
    </row>
    <row r="541" spans="1:10" x14ac:dyDescent="0.35">
      <c r="A541">
        <v>3151271811</v>
      </c>
      <c r="B541" t="s">
        <v>727</v>
      </c>
      <c r="C541" t="s">
        <v>742</v>
      </c>
      <c r="D541" t="s">
        <v>739</v>
      </c>
      <c r="E541" t="s">
        <v>743</v>
      </c>
      <c r="F541" t="s">
        <v>420</v>
      </c>
      <c r="G541">
        <v>942976</v>
      </c>
      <c r="H541" t="s">
        <v>517</v>
      </c>
      <c r="I541" s="4">
        <v>8928</v>
      </c>
      <c r="J541" s="4">
        <v>6006.7583999999997</v>
      </c>
    </row>
    <row r="542" spans="1:10" x14ac:dyDescent="0.35">
      <c r="A542">
        <v>3151271812</v>
      </c>
      <c r="B542" t="s">
        <v>727</v>
      </c>
      <c r="C542" t="s">
        <v>742</v>
      </c>
      <c r="D542" t="s">
        <v>739</v>
      </c>
      <c r="E542" t="s">
        <v>743</v>
      </c>
      <c r="F542" t="s">
        <v>420</v>
      </c>
      <c r="G542">
        <v>942976</v>
      </c>
      <c r="H542" t="s">
        <v>517</v>
      </c>
      <c r="I542" s="4">
        <v>552</v>
      </c>
      <c r="J542" s="4">
        <v>371.38560000000001</v>
      </c>
    </row>
    <row r="543" spans="1:10" x14ac:dyDescent="0.35">
      <c r="A543">
        <v>3151271811</v>
      </c>
      <c r="B543" t="s">
        <v>727</v>
      </c>
      <c r="C543" t="s">
        <v>744</v>
      </c>
      <c r="D543" t="s">
        <v>739</v>
      </c>
      <c r="E543" t="s">
        <v>745</v>
      </c>
      <c r="F543" t="s">
        <v>420</v>
      </c>
      <c r="G543">
        <v>942980</v>
      </c>
      <c r="H543" t="s">
        <v>517</v>
      </c>
      <c r="I543" s="4">
        <v>7992</v>
      </c>
      <c r="J543" s="4">
        <v>5377.0176000000001</v>
      </c>
    </row>
    <row r="544" spans="1:10" x14ac:dyDescent="0.35">
      <c r="A544">
        <v>3151271812</v>
      </c>
      <c r="B544" t="s">
        <v>727</v>
      </c>
      <c r="C544" t="s">
        <v>744</v>
      </c>
      <c r="D544" t="s">
        <v>739</v>
      </c>
      <c r="E544" t="s">
        <v>745</v>
      </c>
      <c r="F544" t="s">
        <v>420</v>
      </c>
      <c r="G544">
        <v>942980</v>
      </c>
      <c r="H544" t="s">
        <v>517</v>
      </c>
      <c r="I544" s="4">
        <v>504</v>
      </c>
      <c r="J544" s="4">
        <v>339.09119999999996</v>
      </c>
    </row>
    <row r="545" spans="1:10" x14ac:dyDescent="0.35">
      <c r="A545">
        <v>3151271811</v>
      </c>
      <c r="B545" t="s">
        <v>727</v>
      </c>
      <c r="C545" t="s">
        <v>746</v>
      </c>
      <c r="D545" t="s">
        <v>739</v>
      </c>
      <c r="E545" t="s">
        <v>747</v>
      </c>
      <c r="F545" t="s">
        <v>420</v>
      </c>
      <c r="G545">
        <v>942564</v>
      </c>
      <c r="H545" t="s">
        <v>517</v>
      </c>
      <c r="I545" s="4">
        <v>7992</v>
      </c>
      <c r="J545" s="4">
        <v>5377.0176000000001</v>
      </c>
    </row>
    <row r="546" spans="1:10" x14ac:dyDescent="0.35">
      <c r="A546">
        <v>3151271812</v>
      </c>
      <c r="B546" t="s">
        <v>727</v>
      </c>
      <c r="C546" t="s">
        <v>746</v>
      </c>
      <c r="D546" t="s">
        <v>739</v>
      </c>
      <c r="E546" t="s">
        <v>747</v>
      </c>
      <c r="F546" t="s">
        <v>420</v>
      </c>
      <c r="G546">
        <v>942564</v>
      </c>
      <c r="H546" t="s">
        <v>517</v>
      </c>
      <c r="I546" s="4">
        <v>504</v>
      </c>
      <c r="J546" s="4">
        <v>339.09119999999996</v>
      </c>
    </row>
    <row r="547" spans="1:10" x14ac:dyDescent="0.35">
      <c r="A547">
        <v>3151271811</v>
      </c>
      <c r="B547" t="s">
        <v>727</v>
      </c>
      <c r="C547" t="s">
        <v>748</v>
      </c>
      <c r="D547" t="s">
        <v>739</v>
      </c>
      <c r="E547" t="s">
        <v>749</v>
      </c>
      <c r="F547" t="s">
        <v>420</v>
      </c>
      <c r="G547">
        <v>942562</v>
      </c>
      <c r="H547" t="s">
        <v>517</v>
      </c>
      <c r="I547" s="4">
        <v>15912</v>
      </c>
      <c r="J547" s="4">
        <v>10705.5936</v>
      </c>
    </row>
    <row r="548" spans="1:10" x14ac:dyDescent="0.35">
      <c r="A548">
        <v>3151271812</v>
      </c>
      <c r="B548" t="s">
        <v>727</v>
      </c>
      <c r="C548" t="s">
        <v>748</v>
      </c>
      <c r="D548" t="s">
        <v>739</v>
      </c>
      <c r="E548" t="s">
        <v>749</v>
      </c>
      <c r="F548" t="s">
        <v>420</v>
      </c>
      <c r="G548">
        <v>942562</v>
      </c>
      <c r="H548" t="s">
        <v>517</v>
      </c>
      <c r="I548" s="4">
        <v>936</v>
      </c>
      <c r="J548" s="4">
        <v>629.74079999999992</v>
      </c>
    </row>
    <row r="549" spans="1:10" x14ac:dyDescent="0.35">
      <c r="A549">
        <v>3151271811</v>
      </c>
      <c r="B549" t="s">
        <v>727</v>
      </c>
      <c r="C549" t="s">
        <v>750</v>
      </c>
      <c r="D549" t="s">
        <v>739</v>
      </c>
      <c r="E549" t="s">
        <v>751</v>
      </c>
      <c r="F549" t="s">
        <v>420</v>
      </c>
      <c r="G549">
        <v>942590</v>
      </c>
      <c r="H549" t="s">
        <v>517</v>
      </c>
      <c r="I549" s="4">
        <v>7992</v>
      </c>
      <c r="J549" s="4">
        <v>5377.0176000000001</v>
      </c>
    </row>
    <row r="550" spans="1:10" x14ac:dyDescent="0.35">
      <c r="A550">
        <v>3151271812</v>
      </c>
      <c r="B550" t="s">
        <v>727</v>
      </c>
      <c r="C550" t="s">
        <v>750</v>
      </c>
      <c r="D550" t="s">
        <v>739</v>
      </c>
      <c r="E550" t="s">
        <v>751</v>
      </c>
      <c r="F550" t="s">
        <v>420</v>
      </c>
      <c r="G550">
        <v>942590</v>
      </c>
      <c r="H550" t="s">
        <v>517</v>
      </c>
      <c r="I550" s="4">
        <v>504</v>
      </c>
      <c r="J550" s="4">
        <v>339.09119999999996</v>
      </c>
    </row>
    <row r="551" spans="1:10" x14ac:dyDescent="0.35">
      <c r="A551">
        <v>3151271811</v>
      </c>
      <c r="B551" t="s">
        <v>727</v>
      </c>
      <c r="C551" t="s">
        <v>752</v>
      </c>
      <c r="D551" t="s">
        <v>739</v>
      </c>
      <c r="E551" t="s">
        <v>753</v>
      </c>
      <c r="F551" t="s">
        <v>420</v>
      </c>
      <c r="G551">
        <v>942596</v>
      </c>
      <c r="H551" t="s">
        <v>517</v>
      </c>
      <c r="I551" s="4">
        <v>3528</v>
      </c>
      <c r="J551" s="4">
        <v>2373.6383999999998</v>
      </c>
    </row>
    <row r="552" spans="1:10" x14ac:dyDescent="0.35">
      <c r="A552">
        <v>3151271812</v>
      </c>
      <c r="B552" t="s">
        <v>727</v>
      </c>
      <c r="C552" t="s">
        <v>752</v>
      </c>
      <c r="D552" t="s">
        <v>739</v>
      </c>
      <c r="E552" t="s">
        <v>753</v>
      </c>
      <c r="F552" t="s">
        <v>420</v>
      </c>
      <c r="G552">
        <v>942596</v>
      </c>
      <c r="H552" t="s">
        <v>517</v>
      </c>
      <c r="I552" s="4">
        <v>240</v>
      </c>
      <c r="J552" s="4">
        <v>161.47200000000001</v>
      </c>
    </row>
    <row r="553" spans="1:10" x14ac:dyDescent="0.35">
      <c r="A553">
        <v>3151271811</v>
      </c>
      <c r="B553" t="s">
        <v>727</v>
      </c>
      <c r="C553" t="s">
        <v>754</v>
      </c>
      <c r="D553" t="s">
        <v>739</v>
      </c>
      <c r="E553" t="s">
        <v>755</v>
      </c>
      <c r="F553" t="s">
        <v>420</v>
      </c>
      <c r="G553">
        <v>942979</v>
      </c>
      <c r="H553" t="s">
        <v>517</v>
      </c>
      <c r="I553" s="4">
        <v>1680</v>
      </c>
      <c r="J553" s="4">
        <v>1130.3040000000001</v>
      </c>
    </row>
    <row r="554" spans="1:10" x14ac:dyDescent="0.35">
      <c r="A554">
        <v>3151271812</v>
      </c>
      <c r="B554" t="s">
        <v>727</v>
      </c>
      <c r="C554" t="s">
        <v>754</v>
      </c>
      <c r="D554" t="s">
        <v>739</v>
      </c>
      <c r="E554" t="s">
        <v>755</v>
      </c>
      <c r="F554" t="s">
        <v>420</v>
      </c>
      <c r="G554">
        <v>942979</v>
      </c>
      <c r="H554" t="s">
        <v>517</v>
      </c>
      <c r="I554" s="4">
        <v>120</v>
      </c>
      <c r="J554" s="4">
        <v>80.736000000000004</v>
      </c>
    </row>
    <row r="555" spans="1:10" x14ac:dyDescent="0.35">
      <c r="A555">
        <v>3151271811</v>
      </c>
      <c r="B555" t="s">
        <v>727</v>
      </c>
      <c r="C555" t="s">
        <v>756</v>
      </c>
      <c r="D555" t="s">
        <v>739</v>
      </c>
      <c r="E555" t="s">
        <v>757</v>
      </c>
      <c r="F555" t="s">
        <v>420</v>
      </c>
      <c r="G555">
        <v>942750</v>
      </c>
      <c r="H555" t="s">
        <v>517</v>
      </c>
      <c r="I555" s="4">
        <v>3528</v>
      </c>
      <c r="J555" s="4">
        <v>2643.8831999999998</v>
      </c>
    </row>
    <row r="556" spans="1:10" x14ac:dyDescent="0.35">
      <c r="A556">
        <v>3151271812</v>
      </c>
      <c r="B556" t="s">
        <v>727</v>
      </c>
      <c r="C556" t="s">
        <v>756</v>
      </c>
      <c r="D556" t="s">
        <v>739</v>
      </c>
      <c r="E556" t="s">
        <v>757</v>
      </c>
      <c r="F556" t="s">
        <v>420</v>
      </c>
      <c r="G556">
        <v>942750</v>
      </c>
      <c r="H556" t="s">
        <v>517</v>
      </c>
      <c r="I556" s="4">
        <v>240</v>
      </c>
      <c r="J556" s="4">
        <v>179.85599999999999</v>
      </c>
    </row>
    <row r="557" spans="1:10" x14ac:dyDescent="0.35">
      <c r="A557">
        <v>3151271812</v>
      </c>
      <c r="B557" t="s">
        <v>727</v>
      </c>
      <c r="C557" t="s">
        <v>758</v>
      </c>
      <c r="D557" t="s">
        <v>759</v>
      </c>
      <c r="E557" t="s">
        <v>760</v>
      </c>
      <c r="F557" t="s">
        <v>420</v>
      </c>
      <c r="G557">
        <v>944233</v>
      </c>
      <c r="H557" t="s">
        <v>517</v>
      </c>
      <c r="I557" s="4">
        <v>312</v>
      </c>
      <c r="J557" s="4">
        <v>209.91359999999997</v>
      </c>
    </row>
    <row r="558" spans="1:10" x14ac:dyDescent="0.35">
      <c r="A558">
        <v>3151271811</v>
      </c>
      <c r="B558" t="s">
        <v>727</v>
      </c>
      <c r="C558" t="s">
        <v>761</v>
      </c>
      <c r="D558" t="s">
        <v>739</v>
      </c>
      <c r="E558" t="s">
        <v>762</v>
      </c>
      <c r="F558" t="s">
        <v>420</v>
      </c>
      <c r="G558">
        <v>942592</v>
      </c>
      <c r="H558" t="s">
        <v>517</v>
      </c>
      <c r="I558" s="4">
        <v>3528</v>
      </c>
      <c r="J558" s="4">
        <v>2373.6383999999998</v>
      </c>
    </row>
    <row r="559" spans="1:10" x14ac:dyDescent="0.35">
      <c r="A559">
        <v>3151271812</v>
      </c>
      <c r="B559" t="s">
        <v>727</v>
      </c>
      <c r="C559" t="s">
        <v>761</v>
      </c>
      <c r="D559" t="s">
        <v>739</v>
      </c>
      <c r="E559" t="s">
        <v>762</v>
      </c>
      <c r="F559" t="s">
        <v>420</v>
      </c>
      <c r="G559">
        <v>942592</v>
      </c>
      <c r="H559" t="s">
        <v>517</v>
      </c>
      <c r="I559" s="4">
        <v>240</v>
      </c>
      <c r="J559" s="4">
        <v>161.47200000000001</v>
      </c>
    </row>
    <row r="560" spans="1:10" x14ac:dyDescent="0.35">
      <c r="A560">
        <v>3151271811</v>
      </c>
      <c r="B560" t="s">
        <v>727</v>
      </c>
      <c r="C560" t="s">
        <v>763</v>
      </c>
      <c r="D560" t="s">
        <v>739</v>
      </c>
      <c r="E560" t="s">
        <v>764</v>
      </c>
      <c r="F560" t="s">
        <v>420</v>
      </c>
      <c r="G560">
        <v>943101</v>
      </c>
      <c r="H560" t="s">
        <v>517</v>
      </c>
      <c r="I560" s="4">
        <v>9864</v>
      </c>
      <c r="J560" s="4">
        <v>6636.4991999999993</v>
      </c>
    </row>
    <row r="561" spans="1:10" x14ac:dyDescent="0.35">
      <c r="A561">
        <v>3151271812</v>
      </c>
      <c r="B561" t="s">
        <v>727</v>
      </c>
      <c r="C561" t="s">
        <v>763</v>
      </c>
      <c r="D561" t="s">
        <v>739</v>
      </c>
      <c r="E561" t="s">
        <v>764</v>
      </c>
      <c r="F561" t="s">
        <v>420</v>
      </c>
      <c r="G561">
        <v>943101</v>
      </c>
      <c r="H561" t="s">
        <v>517</v>
      </c>
      <c r="I561" s="4">
        <v>600</v>
      </c>
      <c r="J561" s="4">
        <v>403.68</v>
      </c>
    </row>
    <row r="562" spans="1:10" x14ac:dyDescent="0.35">
      <c r="A562">
        <v>3151271811</v>
      </c>
      <c r="B562" t="s">
        <v>765</v>
      </c>
      <c r="C562" t="s">
        <v>766</v>
      </c>
      <c r="D562" t="s">
        <v>767</v>
      </c>
      <c r="E562" t="s">
        <v>768</v>
      </c>
      <c r="F562" t="s">
        <v>420</v>
      </c>
      <c r="G562">
        <v>943104</v>
      </c>
      <c r="H562" t="s">
        <v>517</v>
      </c>
      <c r="I562" s="4">
        <v>10344</v>
      </c>
      <c r="J562" s="4">
        <v>6959.4431999999997</v>
      </c>
    </row>
    <row r="563" spans="1:10" x14ac:dyDescent="0.35">
      <c r="A563">
        <v>3151271812</v>
      </c>
      <c r="B563" t="s">
        <v>765</v>
      </c>
      <c r="C563" t="s">
        <v>766</v>
      </c>
      <c r="D563" t="s">
        <v>767</v>
      </c>
      <c r="E563" t="s">
        <v>768</v>
      </c>
      <c r="F563" t="s">
        <v>420</v>
      </c>
      <c r="G563">
        <v>943104</v>
      </c>
      <c r="H563" t="s">
        <v>517</v>
      </c>
      <c r="I563" s="4">
        <v>624</v>
      </c>
      <c r="J563" s="4">
        <v>419.82719999999995</v>
      </c>
    </row>
    <row r="564" spans="1:10" x14ac:dyDescent="0.35">
      <c r="A564">
        <v>3151271812</v>
      </c>
      <c r="B564" t="s">
        <v>727</v>
      </c>
      <c r="C564" t="s">
        <v>769</v>
      </c>
      <c r="D564" t="s">
        <v>739</v>
      </c>
      <c r="E564" t="s">
        <v>770</v>
      </c>
      <c r="F564" t="s">
        <v>420</v>
      </c>
      <c r="G564">
        <v>942597</v>
      </c>
      <c r="H564" t="s">
        <v>517</v>
      </c>
      <c r="I564" s="4">
        <v>312</v>
      </c>
      <c r="J564" s="4">
        <v>209.91359999999997</v>
      </c>
    </row>
    <row r="565" spans="1:10" x14ac:dyDescent="0.35">
      <c r="A565">
        <v>3151271811</v>
      </c>
      <c r="B565" t="s">
        <v>727</v>
      </c>
      <c r="C565" t="s">
        <v>771</v>
      </c>
      <c r="D565" t="s">
        <v>739</v>
      </c>
      <c r="E565" t="s">
        <v>772</v>
      </c>
      <c r="F565" t="s">
        <v>420</v>
      </c>
      <c r="G565">
        <v>942974</v>
      </c>
      <c r="H565" t="s">
        <v>517</v>
      </c>
      <c r="I565" s="4">
        <v>10824</v>
      </c>
      <c r="J565" s="4">
        <v>7282.3871999999992</v>
      </c>
    </row>
    <row r="566" spans="1:10" x14ac:dyDescent="0.35">
      <c r="A566">
        <v>3151271812</v>
      </c>
      <c r="B566" t="s">
        <v>727</v>
      </c>
      <c r="C566" t="s">
        <v>771</v>
      </c>
      <c r="D566" t="s">
        <v>739</v>
      </c>
      <c r="E566" t="s">
        <v>772</v>
      </c>
      <c r="F566" t="s">
        <v>420</v>
      </c>
      <c r="G566">
        <v>942974</v>
      </c>
      <c r="H566" t="s">
        <v>517</v>
      </c>
      <c r="I566" s="4">
        <v>648</v>
      </c>
      <c r="J566" s="4">
        <v>435.97439999999995</v>
      </c>
    </row>
    <row r="567" spans="1:10" x14ac:dyDescent="0.35">
      <c r="A567">
        <v>3151272150</v>
      </c>
      <c r="B567" t="s">
        <v>727</v>
      </c>
      <c r="C567" t="s">
        <v>773</v>
      </c>
      <c r="D567" t="s">
        <v>473</v>
      </c>
      <c r="E567" t="s">
        <v>774</v>
      </c>
      <c r="F567" t="s">
        <v>442</v>
      </c>
      <c r="G567">
        <v>804696</v>
      </c>
      <c r="H567" t="s">
        <v>433</v>
      </c>
      <c r="I567" s="4">
        <v>648</v>
      </c>
      <c r="J567" s="4">
        <v>37.908000000000001</v>
      </c>
    </row>
    <row r="568" spans="1:10" x14ac:dyDescent="0.35">
      <c r="A568">
        <v>3151272214</v>
      </c>
      <c r="B568" t="s">
        <v>727</v>
      </c>
      <c r="C568" t="s">
        <v>773</v>
      </c>
      <c r="D568" t="s">
        <v>473</v>
      </c>
      <c r="E568" t="s">
        <v>774</v>
      </c>
      <c r="F568" t="s">
        <v>442</v>
      </c>
      <c r="G568">
        <v>804696</v>
      </c>
      <c r="H568" t="s">
        <v>433</v>
      </c>
      <c r="I568" s="4">
        <v>48</v>
      </c>
      <c r="J568" s="4">
        <v>2.8080000000000003</v>
      </c>
    </row>
    <row r="569" spans="1:10" x14ac:dyDescent="0.35">
      <c r="A569">
        <v>3151272215</v>
      </c>
      <c r="B569" t="s">
        <v>727</v>
      </c>
      <c r="C569" t="s">
        <v>773</v>
      </c>
      <c r="D569" t="s">
        <v>473</v>
      </c>
      <c r="E569" t="s">
        <v>774</v>
      </c>
      <c r="F569" t="s">
        <v>442</v>
      </c>
      <c r="G569">
        <v>804696</v>
      </c>
      <c r="H569" t="s">
        <v>433</v>
      </c>
      <c r="I569" s="4">
        <v>50</v>
      </c>
      <c r="J569" s="4">
        <v>2.9250000000000003</v>
      </c>
    </row>
    <row r="570" spans="1:10" x14ac:dyDescent="0.35">
      <c r="A570">
        <v>3151272158</v>
      </c>
      <c r="B570" t="s">
        <v>727</v>
      </c>
      <c r="C570" t="s">
        <v>773</v>
      </c>
      <c r="D570" t="s">
        <v>473</v>
      </c>
      <c r="E570" t="s">
        <v>774</v>
      </c>
      <c r="F570" t="s">
        <v>442</v>
      </c>
      <c r="G570">
        <v>804696</v>
      </c>
      <c r="H570" t="s">
        <v>433</v>
      </c>
      <c r="I570" s="4">
        <v>648</v>
      </c>
      <c r="J570" s="4">
        <v>37.908000000000001</v>
      </c>
    </row>
    <row r="571" spans="1:10" x14ac:dyDescent="0.35">
      <c r="A571">
        <v>3151272150</v>
      </c>
      <c r="B571" t="s">
        <v>727</v>
      </c>
      <c r="C571" t="s">
        <v>773</v>
      </c>
      <c r="D571" t="s">
        <v>534</v>
      </c>
      <c r="E571" t="s">
        <v>775</v>
      </c>
      <c r="F571" t="s">
        <v>442</v>
      </c>
      <c r="G571">
        <v>804695</v>
      </c>
      <c r="H571" t="s">
        <v>412</v>
      </c>
      <c r="I571" s="4">
        <v>336</v>
      </c>
      <c r="J571" s="4">
        <v>53.692800000000005</v>
      </c>
    </row>
    <row r="572" spans="1:10" x14ac:dyDescent="0.35">
      <c r="A572">
        <v>3151272214</v>
      </c>
      <c r="B572" t="s">
        <v>727</v>
      </c>
      <c r="C572" t="s">
        <v>773</v>
      </c>
      <c r="D572" t="s">
        <v>534</v>
      </c>
      <c r="E572" t="s">
        <v>775</v>
      </c>
      <c r="F572" t="s">
        <v>442</v>
      </c>
      <c r="G572">
        <v>804695</v>
      </c>
      <c r="H572" t="s">
        <v>412</v>
      </c>
      <c r="I572" s="4">
        <v>432</v>
      </c>
      <c r="J572" s="4">
        <v>69.033600000000007</v>
      </c>
    </row>
    <row r="573" spans="1:10" x14ac:dyDescent="0.35">
      <c r="A573">
        <v>3151272215</v>
      </c>
      <c r="B573" t="s">
        <v>727</v>
      </c>
      <c r="C573" t="s">
        <v>773</v>
      </c>
      <c r="D573" t="s">
        <v>534</v>
      </c>
      <c r="E573" t="s">
        <v>775</v>
      </c>
      <c r="F573" t="s">
        <v>442</v>
      </c>
      <c r="G573">
        <v>804695</v>
      </c>
      <c r="H573" t="s">
        <v>412</v>
      </c>
      <c r="I573" s="4">
        <v>50</v>
      </c>
      <c r="J573" s="4">
        <v>7.9900000000000011</v>
      </c>
    </row>
    <row r="574" spans="1:10" x14ac:dyDescent="0.35">
      <c r="A574">
        <v>3151272158</v>
      </c>
      <c r="B574" t="s">
        <v>727</v>
      </c>
      <c r="C574" t="s">
        <v>773</v>
      </c>
      <c r="D574" t="s">
        <v>534</v>
      </c>
      <c r="E574" t="s">
        <v>775</v>
      </c>
      <c r="F574" t="s">
        <v>442</v>
      </c>
      <c r="G574">
        <v>804695</v>
      </c>
      <c r="H574" t="s">
        <v>412</v>
      </c>
      <c r="I574" s="4">
        <v>336</v>
      </c>
      <c r="J574" s="4">
        <v>53.692800000000005</v>
      </c>
    </row>
    <row r="575" spans="1:10" x14ac:dyDescent="0.35">
      <c r="A575">
        <v>3151272150</v>
      </c>
      <c r="B575" t="s">
        <v>727</v>
      </c>
      <c r="C575" t="s">
        <v>773</v>
      </c>
      <c r="D575" t="s">
        <v>732</v>
      </c>
      <c r="E575" t="s">
        <v>776</v>
      </c>
      <c r="F575" t="s">
        <v>442</v>
      </c>
      <c r="G575">
        <v>804694</v>
      </c>
      <c r="H575" t="s">
        <v>415</v>
      </c>
      <c r="I575" s="4">
        <v>456</v>
      </c>
      <c r="J575" s="4">
        <v>232.60560000000001</v>
      </c>
    </row>
    <row r="576" spans="1:10" x14ac:dyDescent="0.35">
      <c r="A576">
        <v>3151272214</v>
      </c>
      <c r="B576" t="s">
        <v>727</v>
      </c>
      <c r="C576" t="s">
        <v>773</v>
      </c>
      <c r="D576" t="s">
        <v>732</v>
      </c>
      <c r="E576" t="s">
        <v>776</v>
      </c>
      <c r="F576" t="s">
        <v>442</v>
      </c>
      <c r="G576">
        <v>804694</v>
      </c>
      <c r="H576" t="s">
        <v>415</v>
      </c>
      <c r="I576" s="4">
        <v>456</v>
      </c>
      <c r="J576" s="4">
        <v>232.60560000000001</v>
      </c>
    </row>
    <row r="577" spans="1:10" x14ac:dyDescent="0.35">
      <c r="A577">
        <v>3151272215</v>
      </c>
      <c r="B577" t="s">
        <v>727</v>
      </c>
      <c r="C577" t="s">
        <v>773</v>
      </c>
      <c r="D577" t="s">
        <v>732</v>
      </c>
      <c r="E577" t="s">
        <v>776</v>
      </c>
      <c r="F577" t="s">
        <v>442</v>
      </c>
      <c r="G577">
        <v>804694</v>
      </c>
      <c r="H577" t="s">
        <v>415</v>
      </c>
      <c r="I577" s="4">
        <v>50</v>
      </c>
      <c r="J577" s="4">
        <v>25.504999999999999</v>
      </c>
    </row>
    <row r="578" spans="1:10" x14ac:dyDescent="0.35">
      <c r="A578">
        <v>3151272158</v>
      </c>
      <c r="B578" t="s">
        <v>727</v>
      </c>
      <c r="C578" t="s">
        <v>773</v>
      </c>
      <c r="D578" t="s">
        <v>732</v>
      </c>
      <c r="E578" t="s">
        <v>776</v>
      </c>
      <c r="F578" t="s">
        <v>442</v>
      </c>
      <c r="G578">
        <v>804694</v>
      </c>
      <c r="H578" t="s">
        <v>415</v>
      </c>
      <c r="I578" s="4">
        <v>456</v>
      </c>
      <c r="J578" s="4">
        <v>232.60560000000001</v>
      </c>
    </row>
    <row r="579" spans="1:10" x14ac:dyDescent="0.35">
      <c r="A579">
        <v>3151272150</v>
      </c>
      <c r="B579" t="s">
        <v>727</v>
      </c>
      <c r="C579" t="s">
        <v>777</v>
      </c>
      <c r="D579" t="s">
        <v>473</v>
      </c>
      <c r="E579" t="s">
        <v>774</v>
      </c>
      <c r="F579" t="s">
        <v>778</v>
      </c>
      <c r="G579">
        <v>804693</v>
      </c>
      <c r="H579" t="s">
        <v>433</v>
      </c>
      <c r="I579" s="4">
        <v>240</v>
      </c>
      <c r="J579" s="4">
        <v>14.040000000000001</v>
      </c>
    </row>
    <row r="580" spans="1:10" x14ac:dyDescent="0.35">
      <c r="A580">
        <v>3151272214</v>
      </c>
      <c r="B580" t="s">
        <v>727</v>
      </c>
      <c r="C580" t="s">
        <v>777</v>
      </c>
      <c r="D580" t="s">
        <v>473</v>
      </c>
      <c r="E580" t="s">
        <v>774</v>
      </c>
      <c r="F580" t="s">
        <v>778</v>
      </c>
      <c r="G580">
        <v>804693</v>
      </c>
      <c r="H580" t="s">
        <v>433</v>
      </c>
      <c r="I580" s="4">
        <v>144</v>
      </c>
      <c r="J580" s="4">
        <v>8.4239999999999995</v>
      </c>
    </row>
    <row r="581" spans="1:10" x14ac:dyDescent="0.35">
      <c r="A581">
        <v>3151272215</v>
      </c>
      <c r="B581" t="s">
        <v>727</v>
      </c>
      <c r="C581" t="s">
        <v>777</v>
      </c>
      <c r="D581" t="s">
        <v>473</v>
      </c>
      <c r="E581" t="s">
        <v>774</v>
      </c>
      <c r="F581" t="s">
        <v>778</v>
      </c>
      <c r="G581">
        <v>804693</v>
      </c>
      <c r="H581" t="s">
        <v>433</v>
      </c>
      <c r="I581" s="4">
        <v>50</v>
      </c>
      <c r="J581" s="4">
        <v>2.9250000000000003</v>
      </c>
    </row>
    <row r="582" spans="1:10" x14ac:dyDescent="0.35">
      <c r="A582">
        <v>3151272158</v>
      </c>
      <c r="B582" t="s">
        <v>727</v>
      </c>
      <c r="C582" t="s">
        <v>777</v>
      </c>
      <c r="D582" t="s">
        <v>473</v>
      </c>
      <c r="E582" t="s">
        <v>774</v>
      </c>
      <c r="F582" t="s">
        <v>778</v>
      </c>
      <c r="G582">
        <v>804693</v>
      </c>
      <c r="H582" t="s">
        <v>433</v>
      </c>
      <c r="I582" s="4">
        <v>240</v>
      </c>
      <c r="J582" s="4">
        <v>14.040000000000001</v>
      </c>
    </row>
    <row r="583" spans="1:10" x14ac:dyDescent="0.35">
      <c r="A583">
        <v>3151272150</v>
      </c>
      <c r="B583" t="s">
        <v>727</v>
      </c>
      <c r="C583" t="s">
        <v>777</v>
      </c>
      <c r="D583" t="s">
        <v>534</v>
      </c>
      <c r="E583" t="s">
        <v>775</v>
      </c>
      <c r="F583" t="s">
        <v>778</v>
      </c>
      <c r="G583">
        <v>804692</v>
      </c>
      <c r="H583" t="s">
        <v>412</v>
      </c>
      <c r="I583" s="4">
        <v>360</v>
      </c>
      <c r="J583" s="4">
        <v>57.528000000000006</v>
      </c>
    </row>
    <row r="584" spans="1:10" x14ac:dyDescent="0.35">
      <c r="A584">
        <v>3151272214</v>
      </c>
      <c r="B584" t="s">
        <v>727</v>
      </c>
      <c r="C584" t="s">
        <v>777</v>
      </c>
      <c r="D584" t="s">
        <v>534</v>
      </c>
      <c r="E584" t="s">
        <v>775</v>
      </c>
      <c r="F584" t="s">
        <v>778</v>
      </c>
      <c r="G584">
        <v>804692</v>
      </c>
      <c r="H584" t="s">
        <v>412</v>
      </c>
      <c r="I584" s="4">
        <v>336</v>
      </c>
      <c r="J584" s="4">
        <v>53.692800000000005</v>
      </c>
    </row>
    <row r="585" spans="1:10" x14ac:dyDescent="0.35">
      <c r="A585">
        <v>3151272215</v>
      </c>
      <c r="B585" t="s">
        <v>727</v>
      </c>
      <c r="C585" t="s">
        <v>777</v>
      </c>
      <c r="D585" t="s">
        <v>534</v>
      </c>
      <c r="E585" t="s">
        <v>775</v>
      </c>
      <c r="F585" t="s">
        <v>778</v>
      </c>
      <c r="G585">
        <v>804692</v>
      </c>
      <c r="H585" t="s">
        <v>412</v>
      </c>
      <c r="I585" s="4">
        <v>50</v>
      </c>
      <c r="J585" s="4">
        <v>7.9900000000000011</v>
      </c>
    </row>
    <row r="586" spans="1:10" x14ac:dyDescent="0.35">
      <c r="A586">
        <v>3151272158</v>
      </c>
      <c r="B586" t="s">
        <v>727</v>
      </c>
      <c r="C586" t="s">
        <v>777</v>
      </c>
      <c r="D586" t="s">
        <v>534</v>
      </c>
      <c r="E586" t="s">
        <v>775</v>
      </c>
      <c r="F586" t="s">
        <v>778</v>
      </c>
      <c r="G586">
        <v>804692</v>
      </c>
      <c r="H586" t="s">
        <v>412</v>
      </c>
      <c r="I586" s="4">
        <v>360</v>
      </c>
      <c r="J586" s="4">
        <v>57.528000000000006</v>
      </c>
    </row>
    <row r="587" spans="1:10" x14ac:dyDescent="0.35">
      <c r="A587">
        <v>3151272150</v>
      </c>
      <c r="B587" t="s">
        <v>727</v>
      </c>
      <c r="C587" t="s">
        <v>777</v>
      </c>
      <c r="D587" t="s">
        <v>732</v>
      </c>
      <c r="E587" t="s">
        <v>776</v>
      </c>
      <c r="F587" t="s">
        <v>778</v>
      </c>
      <c r="G587">
        <v>804697</v>
      </c>
      <c r="H587" t="s">
        <v>415</v>
      </c>
      <c r="I587" s="4">
        <v>300</v>
      </c>
      <c r="J587" s="4">
        <v>153.03</v>
      </c>
    </row>
    <row r="588" spans="1:10" x14ac:dyDescent="0.35">
      <c r="A588">
        <v>3151272214</v>
      </c>
      <c r="B588" t="s">
        <v>727</v>
      </c>
      <c r="C588" t="s">
        <v>777</v>
      </c>
      <c r="D588" t="s">
        <v>732</v>
      </c>
      <c r="E588" t="s">
        <v>776</v>
      </c>
      <c r="F588" t="s">
        <v>778</v>
      </c>
      <c r="G588">
        <v>804697</v>
      </c>
      <c r="H588" t="s">
        <v>415</v>
      </c>
      <c r="I588" s="4">
        <v>144</v>
      </c>
      <c r="J588" s="4">
        <v>73.454400000000007</v>
      </c>
    </row>
    <row r="589" spans="1:10" x14ac:dyDescent="0.35">
      <c r="A589">
        <v>3151272215</v>
      </c>
      <c r="B589" t="s">
        <v>727</v>
      </c>
      <c r="C589" t="s">
        <v>777</v>
      </c>
      <c r="D589" t="s">
        <v>732</v>
      </c>
      <c r="E589" t="s">
        <v>776</v>
      </c>
      <c r="F589" t="s">
        <v>778</v>
      </c>
      <c r="G589">
        <v>804697</v>
      </c>
      <c r="H589" t="s">
        <v>415</v>
      </c>
      <c r="I589" s="4">
        <v>50</v>
      </c>
      <c r="J589" s="4">
        <v>25.504999999999999</v>
      </c>
    </row>
    <row r="590" spans="1:10" x14ac:dyDescent="0.35">
      <c r="A590">
        <v>3151272158</v>
      </c>
      <c r="B590" t="s">
        <v>727</v>
      </c>
      <c r="C590" t="s">
        <v>777</v>
      </c>
      <c r="D590" t="s">
        <v>732</v>
      </c>
      <c r="E590" t="s">
        <v>776</v>
      </c>
      <c r="F590" t="s">
        <v>778</v>
      </c>
      <c r="G590">
        <v>804697</v>
      </c>
      <c r="H590" t="s">
        <v>415</v>
      </c>
      <c r="I590" s="4">
        <v>300</v>
      </c>
      <c r="J590" s="4">
        <v>153.03</v>
      </c>
    </row>
    <row r="591" spans="1:10" x14ac:dyDescent="0.35">
      <c r="A591">
        <v>3151272150</v>
      </c>
      <c r="B591" t="s">
        <v>727</v>
      </c>
      <c r="C591" t="s">
        <v>779</v>
      </c>
      <c r="D591" t="s">
        <v>473</v>
      </c>
      <c r="E591" t="s">
        <v>774</v>
      </c>
      <c r="F591" t="s">
        <v>780</v>
      </c>
      <c r="G591">
        <v>804712</v>
      </c>
      <c r="H591" t="s">
        <v>433</v>
      </c>
      <c r="I591" s="4">
        <v>360</v>
      </c>
      <c r="J591" s="4">
        <v>21.06</v>
      </c>
    </row>
    <row r="592" spans="1:10" x14ac:dyDescent="0.35">
      <c r="A592">
        <v>3151272214</v>
      </c>
      <c r="B592" t="s">
        <v>727</v>
      </c>
      <c r="C592" t="s">
        <v>779</v>
      </c>
      <c r="D592" t="s">
        <v>473</v>
      </c>
      <c r="E592" t="s">
        <v>774</v>
      </c>
      <c r="F592" t="s">
        <v>780</v>
      </c>
      <c r="G592">
        <v>804712</v>
      </c>
      <c r="H592" t="s">
        <v>433</v>
      </c>
      <c r="I592" s="4">
        <v>96</v>
      </c>
      <c r="J592" s="4">
        <v>5.6160000000000005</v>
      </c>
    </row>
    <row r="593" spans="1:10" x14ac:dyDescent="0.35">
      <c r="A593">
        <v>3151272215</v>
      </c>
      <c r="B593" t="s">
        <v>727</v>
      </c>
      <c r="C593" t="s">
        <v>779</v>
      </c>
      <c r="D593" t="s">
        <v>473</v>
      </c>
      <c r="E593" t="s">
        <v>774</v>
      </c>
      <c r="F593" t="s">
        <v>780</v>
      </c>
      <c r="G593">
        <v>804712</v>
      </c>
      <c r="H593" t="s">
        <v>433</v>
      </c>
      <c r="I593" s="4">
        <v>50</v>
      </c>
      <c r="J593" s="4">
        <v>2.9250000000000003</v>
      </c>
    </row>
    <row r="594" spans="1:10" x14ac:dyDescent="0.35">
      <c r="A594">
        <v>3151272158</v>
      </c>
      <c r="B594" t="s">
        <v>727</v>
      </c>
      <c r="C594" t="s">
        <v>779</v>
      </c>
      <c r="D594" t="s">
        <v>473</v>
      </c>
      <c r="E594" t="s">
        <v>774</v>
      </c>
      <c r="F594" t="s">
        <v>780</v>
      </c>
      <c r="G594">
        <v>804712</v>
      </c>
      <c r="H594" t="s">
        <v>433</v>
      </c>
      <c r="I594" s="4">
        <v>360</v>
      </c>
      <c r="J594" s="4">
        <v>21.06</v>
      </c>
    </row>
    <row r="595" spans="1:10" x14ac:dyDescent="0.35">
      <c r="A595">
        <v>3151272150</v>
      </c>
      <c r="B595" t="s">
        <v>727</v>
      </c>
      <c r="C595" t="s">
        <v>779</v>
      </c>
      <c r="D595" t="s">
        <v>534</v>
      </c>
      <c r="E595" t="s">
        <v>775</v>
      </c>
      <c r="F595" t="s">
        <v>780</v>
      </c>
      <c r="G595">
        <v>804711</v>
      </c>
      <c r="H595" t="s">
        <v>412</v>
      </c>
      <c r="I595" s="4">
        <v>300</v>
      </c>
      <c r="J595" s="4">
        <v>47.94</v>
      </c>
    </row>
    <row r="596" spans="1:10" x14ac:dyDescent="0.35">
      <c r="A596">
        <v>3151272214</v>
      </c>
      <c r="B596" t="s">
        <v>727</v>
      </c>
      <c r="C596" t="s">
        <v>779</v>
      </c>
      <c r="D596" t="s">
        <v>534</v>
      </c>
      <c r="E596" t="s">
        <v>775</v>
      </c>
      <c r="F596" t="s">
        <v>780</v>
      </c>
      <c r="G596">
        <v>804711</v>
      </c>
      <c r="H596" t="s">
        <v>412</v>
      </c>
      <c r="I596" s="4">
        <v>336</v>
      </c>
      <c r="J596" s="4">
        <v>53.692800000000005</v>
      </c>
    </row>
    <row r="597" spans="1:10" x14ac:dyDescent="0.35">
      <c r="A597">
        <v>3151272215</v>
      </c>
      <c r="B597" t="s">
        <v>727</v>
      </c>
      <c r="C597" t="s">
        <v>779</v>
      </c>
      <c r="D597" t="s">
        <v>534</v>
      </c>
      <c r="E597" t="s">
        <v>775</v>
      </c>
      <c r="F597" t="s">
        <v>780</v>
      </c>
      <c r="G597">
        <v>804711</v>
      </c>
      <c r="H597" t="s">
        <v>412</v>
      </c>
      <c r="I597" s="4">
        <v>50</v>
      </c>
      <c r="J597" s="4">
        <v>7.9900000000000011</v>
      </c>
    </row>
    <row r="598" spans="1:10" x14ac:dyDescent="0.35">
      <c r="A598">
        <v>3151272158</v>
      </c>
      <c r="B598" t="s">
        <v>727</v>
      </c>
      <c r="C598" t="s">
        <v>779</v>
      </c>
      <c r="D598" t="s">
        <v>534</v>
      </c>
      <c r="E598" t="s">
        <v>775</v>
      </c>
      <c r="F598" t="s">
        <v>780</v>
      </c>
      <c r="G598">
        <v>804711</v>
      </c>
      <c r="H598" t="s">
        <v>412</v>
      </c>
      <c r="I598" s="4">
        <v>300</v>
      </c>
      <c r="J598" s="4">
        <v>47.94</v>
      </c>
    </row>
    <row r="599" spans="1:10" x14ac:dyDescent="0.35">
      <c r="A599">
        <v>3151272150</v>
      </c>
      <c r="B599" t="s">
        <v>727</v>
      </c>
      <c r="C599" t="s">
        <v>779</v>
      </c>
      <c r="D599" t="s">
        <v>732</v>
      </c>
      <c r="E599" t="s">
        <v>776</v>
      </c>
      <c r="F599" t="s">
        <v>780</v>
      </c>
      <c r="G599">
        <v>804710</v>
      </c>
      <c r="H599" t="s">
        <v>415</v>
      </c>
      <c r="I599" s="4">
        <v>924</v>
      </c>
      <c r="J599" s="4">
        <v>471.33240000000001</v>
      </c>
    </row>
    <row r="600" spans="1:10" x14ac:dyDescent="0.35">
      <c r="A600">
        <v>3151272214</v>
      </c>
      <c r="B600" t="s">
        <v>727</v>
      </c>
      <c r="C600" t="s">
        <v>779</v>
      </c>
      <c r="D600" t="s">
        <v>732</v>
      </c>
      <c r="E600" t="s">
        <v>776</v>
      </c>
      <c r="F600" t="s">
        <v>780</v>
      </c>
      <c r="G600">
        <v>804710</v>
      </c>
      <c r="H600" t="s">
        <v>415</v>
      </c>
      <c r="I600" s="4">
        <v>240</v>
      </c>
      <c r="J600" s="4">
        <v>122.42400000000001</v>
      </c>
    </row>
    <row r="601" spans="1:10" x14ac:dyDescent="0.35">
      <c r="A601">
        <v>3151272215</v>
      </c>
      <c r="B601" t="s">
        <v>727</v>
      </c>
      <c r="C601" t="s">
        <v>779</v>
      </c>
      <c r="D601" t="s">
        <v>732</v>
      </c>
      <c r="E601" t="s">
        <v>776</v>
      </c>
      <c r="F601" t="s">
        <v>780</v>
      </c>
      <c r="G601">
        <v>804710</v>
      </c>
      <c r="H601" t="s">
        <v>415</v>
      </c>
      <c r="I601" s="4">
        <v>50</v>
      </c>
      <c r="J601" s="4">
        <v>25.504999999999999</v>
      </c>
    </row>
    <row r="602" spans="1:10" x14ac:dyDescent="0.35">
      <c r="A602">
        <v>3151272158</v>
      </c>
      <c r="B602" t="s">
        <v>727</v>
      </c>
      <c r="C602" t="s">
        <v>779</v>
      </c>
      <c r="D602" t="s">
        <v>732</v>
      </c>
      <c r="E602" t="s">
        <v>776</v>
      </c>
      <c r="F602" t="s">
        <v>780</v>
      </c>
      <c r="G602">
        <v>804710</v>
      </c>
      <c r="H602" t="s">
        <v>415</v>
      </c>
      <c r="I602" s="4">
        <v>924</v>
      </c>
      <c r="J602" s="4">
        <v>471.33240000000001</v>
      </c>
    </row>
    <row r="603" spans="1:10" x14ac:dyDescent="0.35">
      <c r="A603">
        <v>3151271519</v>
      </c>
      <c r="B603" t="s">
        <v>727</v>
      </c>
      <c r="C603" t="s">
        <v>781</v>
      </c>
      <c r="D603" t="s">
        <v>473</v>
      </c>
      <c r="E603" t="s">
        <v>782</v>
      </c>
      <c r="F603" t="s">
        <v>201</v>
      </c>
      <c r="G603">
        <v>945790</v>
      </c>
      <c r="H603" t="s">
        <v>433</v>
      </c>
      <c r="I603" s="4">
        <v>28224</v>
      </c>
      <c r="J603" s="4">
        <v>1490.2272</v>
      </c>
    </row>
    <row r="604" spans="1:10" x14ac:dyDescent="0.35">
      <c r="A604">
        <v>3151271974</v>
      </c>
      <c r="B604" t="s">
        <v>727</v>
      </c>
      <c r="C604" t="s">
        <v>781</v>
      </c>
      <c r="D604" t="s">
        <v>473</v>
      </c>
      <c r="E604" t="s">
        <v>782</v>
      </c>
      <c r="F604" t="s">
        <v>201</v>
      </c>
      <c r="G604">
        <v>947932</v>
      </c>
      <c r="H604" t="s">
        <v>433</v>
      </c>
      <c r="I604" s="4">
        <v>15000</v>
      </c>
      <c r="J604" s="4">
        <v>792</v>
      </c>
    </row>
    <row r="605" spans="1:10" x14ac:dyDescent="0.35">
      <c r="A605">
        <v>3151271991</v>
      </c>
      <c r="B605" t="s">
        <v>727</v>
      </c>
      <c r="C605" t="s">
        <v>781</v>
      </c>
      <c r="D605" t="s">
        <v>473</v>
      </c>
      <c r="E605" t="s">
        <v>782</v>
      </c>
      <c r="G605">
        <v>947932</v>
      </c>
      <c r="H605" t="s">
        <v>433</v>
      </c>
      <c r="I605" s="4">
        <v>5628</v>
      </c>
      <c r="J605" s="4">
        <v>297.15839999999997</v>
      </c>
    </row>
    <row r="606" spans="1:10" x14ac:dyDescent="0.35">
      <c r="A606">
        <v>3151271992</v>
      </c>
      <c r="B606" t="s">
        <v>727</v>
      </c>
      <c r="C606" t="s">
        <v>781</v>
      </c>
      <c r="D606" t="s">
        <v>473</v>
      </c>
      <c r="E606" t="s">
        <v>782</v>
      </c>
      <c r="F606" t="s">
        <v>201</v>
      </c>
      <c r="G606">
        <v>947933</v>
      </c>
      <c r="H606" t="s">
        <v>433</v>
      </c>
      <c r="I606" s="4">
        <v>4320</v>
      </c>
      <c r="J606" s="4">
        <v>228.096</v>
      </c>
    </row>
    <row r="607" spans="1:10" x14ac:dyDescent="0.35">
      <c r="A607">
        <v>3151272705</v>
      </c>
      <c r="B607" t="s">
        <v>765</v>
      </c>
      <c r="C607" t="s">
        <v>781</v>
      </c>
      <c r="D607" t="s">
        <v>473</v>
      </c>
      <c r="E607" t="s">
        <v>783</v>
      </c>
      <c r="F607" t="s">
        <v>201</v>
      </c>
      <c r="G607">
        <v>947084</v>
      </c>
      <c r="H607" t="s">
        <v>433</v>
      </c>
      <c r="I607" s="4">
        <v>4320</v>
      </c>
      <c r="J607" s="4">
        <v>228.16944000000001</v>
      </c>
    </row>
    <row r="608" spans="1:10" x14ac:dyDescent="0.35">
      <c r="A608">
        <v>3151271975</v>
      </c>
      <c r="B608" t="s">
        <v>727</v>
      </c>
      <c r="C608" t="s">
        <v>781</v>
      </c>
      <c r="D608" t="s">
        <v>473</v>
      </c>
      <c r="E608" t="s">
        <v>782</v>
      </c>
      <c r="F608" t="s">
        <v>201</v>
      </c>
      <c r="G608">
        <v>947932</v>
      </c>
      <c r="H608" t="s">
        <v>433</v>
      </c>
      <c r="I608" s="4">
        <v>15000</v>
      </c>
      <c r="J608" s="4">
        <v>792</v>
      </c>
    </row>
    <row r="609" spans="1:10" x14ac:dyDescent="0.35">
      <c r="A609">
        <v>3151271519</v>
      </c>
      <c r="B609" t="s">
        <v>727</v>
      </c>
      <c r="C609" t="s">
        <v>781</v>
      </c>
      <c r="D609" t="s">
        <v>534</v>
      </c>
      <c r="E609" t="s">
        <v>784</v>
      </c>
      <c r="F609" t="s">
        <v>201</v>
      </c>
      <c r="G609">
        <v>945788</v>
      </c>
      <c r="H609" t="s">
        <v>412</v>
      </c>
      <c r="I609" s="4">
        <v>27240</v>
      </c>
      <c r="J609" s="4">
        <v>3734.6040000000003</v>
      </c>
    </row>
    <row r="610" spans="1:10" x14ac:dyDescent="0.35">
      <c r="A610">
        <v>3151271974</v>
      </c>
      <c r="B610" t="s">
        <v>727</v>
      </c>
      <c r="C610" t="s">
        <v>781</v>
      </c>
      <c r="D610" t="s">
        <v>534</v>
      </c>
      <c r="E610" t="s">
        <v>784</v>
      </c>
      <c r="F610" t="s">
        <v>201</v>
      </c>
      <c r="G610">
        <v>947927</v>
      </c>
      <c r="H610" t="s">
        <v>412</v>
      </c>
      <c r="I610" s="4">
        <v>14928</v>
      </c>
      <c r="J610" s="4">
        <v>2046.6288</v>
      </c>
    </row>
    <row r="611" spans="1:10" x14ac:dyDescent="0.35">
      <c r="A611">
        <v>3151271991</v>
      </c>
      <c r="B611" t="s">
        <v>727</v>
      </c>
      <c r="C611" t="s">
        <v>781</v>
      </c>
      <c r="D611" t="s">
        <v>534</v>
      </c>
      <c r="E611" t="s">
        <v>784</v>
      </c>
      <c r="G611">
        <v>947927</v>
      </c>
      <c r="H611" t="s">
        <v>412</v>
      </c>
      <c r="I611" s="4">
        <v>5628</v>
      </c>
      <c r="J611" s="4">
        <v>771.59879999999998</v>
      </c>
    </row>
    <row r="612" spans="1:10" x14ac:dyDescent="0.35">
      <c r="A612">
        <v>3151271992</v>
      </c>
      <c r="B612" t="s">
        <v>727</v>
      </c>
      <c r="C612" t="s">
        <v>781</v>
      </c>
      <c r="D612" t="s">
        <v>534</v>
      </c>
      <c r="E612" t="s">
        <v>784</v>
      </c>
      <c r="F612" t="s">
        <v>201</v>
      </c>
      <c r="G612">
        <v>947929</v>
      </c>
      <c r="H612" t="s">
        <v>412</v>
      </c>
      <c r="I612" s="4">
        <v>9744</v>
      </c>
      <c r="J612" s="4">
        <v>1335.9023999999999</v>
      </c>
    </row>
    <row r="613" spans="1:10" x14ac:dyDescent="0.35">
      <c r="A613">
        <v>3151272705</v>
      </c>
      <c r="B613" t="s">
        <v>765</v>
      </c>
      <c r="C613" t="s">
        <v>781</v>
      </c>
      <c r="D613" t="s">
        <v>534</v>
      </c>
      <c r="E613" t="s">
        <v>785</v>
      </c>
      <c r="F613" t="s">
        <v>201</v>
      </c>
      <c r="G613">
        <v>947082</v>
      </c>
      <c r="H613" t="s">
        <v>412</v>
      </c>
      <c r="I613" s="4">
        <v>9744</v>
      </c>
      <c r="J613" s="4">
        <v>1335.980352</v>
      </c>
    </row>
    <row r="614" spans="1:10" x14ac:dyDescent="0.35">
      <c r="A614">
        <v>3151271975</v>
      </c>
      <c r="B614" t="s">
        <v>727</v>
      </c>
      <c r="C614" t="s">
        <v>781</v>
      </c>
      <c r="D614" t="s">
        <v>534</v>
      </c>
      <c r="E614" t="s">
        <v>784</v>
      </c>
      <c r="F614" t="s">
        <v>201</v>
      </c>
      <c r="G614">
        <v>947927</v>
      </c>
      <c r="H614" t="s">
        <v>412</v>
      </c>
      <c r="I614" s="4">
        <v>14928</v>
      </c>
      <c r="J614" s="4">
        <v>2046.6288</v>
      </c>
    </row>
    <row r="615" spans="1:10" x14ac:dyDescent="0.35">
      <c r="A615">
        <v>3151271519</v>
      </c>
      <c r="B615" t="s">
        <v>727</v>
      </c>
      <c r="C615" t="s">
        <v>781</v>
      </c>
      <c r="D615" t="s">
        <v>434</v>
      </c>
      <c r="E615" t="s">
        <v>786</v>
      </c>
      <c r="F615" t="s">
        <v>201</v>
      </c>
      <c r="G615">
        <v>945848</v>
      </c>
      <c r="H615" t="s">
        <v>415</v>
      </c>
      <c r="I615" s="4">
        <v>44928</v>
      </c>
      <c r="J615" s="4">
        <v>22922.265599999999</v>
      </c>
    </row>
    <row r="616" spans="1:10" x14ac:dyDescent="0.35">
      <c r="A616">
        <v>3151271974</v>
      </c>
      <c r="B616" t="s">
        <v>727</v>
      </c>
      <c r="C616" t="s">
        <v>781</v>
      </c>
      <c r="D616" t="s">
        <v>434</v>
      </c>
      <c r="E616" t="s">
        <v>786</v>
      </c>
      <c r="F616" t="s">
        <v>201</v>
      </c>
      <c r="G616">
        <v>947924</v>
      </c>
      <c r="H616" t="s">
        <v>415</v>
      </c>
      <c r="I616" s="4">
        <v>34296</v>
      </c>
      <c r="J616" s="4">
        <v>17497.819199999998</v>
      </c>
    </row>
    <row r="617" spans="1:10" x14ac:dyDescent="0.35">
      <c r="A617">
        <v>3151271991</v>
      </c>
      <c r="B617" t="s">
        <v>727</v>
      </c>
      <c r="C617" t="s">
        <v>781</v>
      </c>
      <c r="D617" t="s">
        <v>434</v>
      </c>
      <c r="E617" t="s">
        <v>786</v>
      </c>
      <c r="G617">
        <v>947924</v>
      </c>
      <c r="H617" t="s">
        <v>415</v>
      </c>
      <c r="I617" s="4">
        <v>5628</v>
      </c>
      <c r="J617" s="4">
        <v>2871.4056</v>
      </c>
    </row>
    <row r="618" spans="1:10" x14ac:dyDescent="0.35">
      <c r="A618">
        <v>3151271992</v>
      </c>
      <c r="B618" t="s">
        <v>727</v>
      </c>
      <c r="C618" t="s">
        <v>781</v>
      </c>
      <c r="D618" t="s">
        <v>434</v>
      </c>
      <c r="E618" t="s">
        <v>786</v>
      </c>
      <c r="F618" t="s">
        <v>201</v>
      </c>
      <c r="G618">
        <v>947925</v>
      </c>
      <c r="H618" t="s">
        <v>415</v>
      </c>
      <c r="I618" s="4">
        <v>7080</v>
      </c>
      <c r="J618" s="4">
        <v>3612.2159999999999</v>
      </c>
    </row>
    <row r="619" spans="1:10" x14ac:dyDescent="0.35">
      <c r="A619">
        <v>3151272705</v>
      </c>
      <c r="B619" t="s">
        <v>765</v>
      </c>
      <c r="C619" t="s">
        <v>781</v>
      </c>
      <c r="D619" t="s">
        <v>434</v>
      </c>
      <c r="E619" t="s">
        <v>787</v>
      </c>
      <c r="F619" t="s">
        <v>201</v>
      </c>
      <c r="G619">
        <v>947081</v>
      </c>
      <c r="H619" t="s">
        <v>415</v>
      </c>
      <c r="I619" s="4">
        <v>7080</v>
      </c>
      <c r="J619" s="4">
        <v>3617.4056400000004</v>
      </c>
    </row>
    <row r="620" spans="1:10" x14ac:dyDescent="0.35">
      <c r="A620">
        <v>3151271975</v>
      </c>
      <c r="B620" t="s">
        <v>727</v>
      </c>
      <c r="C620" t="s">
        <v>781</v>
      </c>
      <c r="D620" t="s">
        <v>434</v>
      </c>
      <c r="E620" t="s">
        <v>786</v>
      </c>
      <c r="F620" t="s">
        <v>201</v>
      </c>
      <c r="G620">
        <v>947924</v>
      </c>
      <c r="H620" t="s">
        <v>415</v>
      </c>
      <c r="I620" s="4">
        <v>34296</v>
      </c>
      <c r="J620" s="4">
        <v>17497.819199999998</v>
      </c>
    </row>
    <row r="621" spans="1:10" x14ac:dyDescent="0.35">
      <c r="A621">
        <v>3151271519</v>
      </c>
      <c r="B621" t="s">
        <v>727</v>
      </c>
      <c r="C621" t="s">
        <v>781</v>
      </c>
      <c r="D621" t="s">
        <v>788</v>
      </c>
      <c r="E621" t="s">
        <v>789</v>
      </c>
      <c r="F621" t="s">
        <v>201</v>
      </c>
      <c r="G621">
        <v>945849</v>
      </c>
      <c r="H621" t="s">
        <v>421</v>
      </c>
      <c r="I621" s="4">
        <v>9996</v>
      </c>
      <c r="J621" s="4">
        <v>6650.3387999999995</v>
      </c>
    </row>
    <row r="622" spans="1:10" x14ac:dyDescent="0.35">
      <c r="A622">
        <v>3151271974</v>
      </c>
      <c r="B622" t="s">
        <v>727</v>
      </c>
      <c r="C622" t="s">
        <v>781</v>
      </c>
      <c r="D622" t="s">
        <v>788</v>
      </c>
      <c r="E622" t="s">
        <v>789</v>
      </c>
      <c r="F622" t="s">
        <v>201</v>
      </c>
      <c r="G622">
        <v>947930</v>
      </c>
      <c r="H622" t="s">
        <v>421</v>
      </c>
      <c r="I622" s="4">
        <v>8064</v>
      </c>
      <c r="J622" s="4">
        <v>5364.9791999999998</v>
      </c>
    </row>
    <row r="623" spans="1:10" x14ac:dyDescent="0.35">
      <c r="A623">
        <v>3151271992</v>
      </c>
      <c r="B623" t="s">
        <v>727</v>
      </c>
      <c r="C623" t="s">
        <v>781</v>
      </c>
      <c r="D623" t="s">
        <v>788</v>
      </c>
      <c r="E623" t="s">
        <v>789</v>
      </c>
      <c r="F623" t="s">
        <v>201</v>
      </c>
      <c r="G623">
        <v>948069</v>
      </c>
      <c r="H623" t="s">
        <v>421</v>
      </c>
      <c r="I623" s="4">
        <v>4704</v>
      </c>
      <c r="J623" s="4">
        <v>3129.5711999999999</v>
      </c>
    </row>
    <row r="624" spans="1:10" x14ac:dyDescent="0.35">
      <c r="A624">
        <v>3151272705</v>
      </c>
      <c r="B624" t="s">
        <v>765</v>
      </c>
      <c r="C624" t="s">
        <v>781</v>
      </c>
      <c r="D624" t="s">
        <v>788</v>
      </c>
      <c r="E624" t="s">
        <v>790</v>
      </c>
      <c r="F624" t="s">
        <v>201</v>
      </c>
      <c r="G624">
        <v>947083</v>
      </c>
      <c r="H624" t="s">
        <v>421</v>
      </c>
      <c r="I624" s="4">
        <v>4704</v>
      </c>
      <c r="J624" s="4">
        <v>3133.2685440000005</v>
      </c>
    </row>
    <row r="625" spans="1:10" x14ac:dyDescent="0.35">
      <c r="A625">
        <v>3151271975</v>
      </c>
      <c r="B625" t="s">
        <v>727</v>
      </c>
      <c r="C625" t="s">
        <v>781</v>
      </c>
      <c r="D625" t="s">
        <v>788</v>
      </c>
      <c r="E625" t="s">
        <v>789</v>
      </c>
      <c r="F625" t="s">
        <v>201</v>
      </c>
      <c r="G625">
        <v>947930</v>
      </c>
      <c r="H625" t="s">
        <v>421</v>
      </c>
      <c r="I625" s="4">
        <v>8064</v>
      </c>
      <c r="J625" s="4">
        <v>5364.9791999999998</v>
      </c>
    </row>
    <row r="626" spans="1:10" x14ac:dyDescent="0.35">
      <c r="A626">
        <v>3151271706</v>
      </c>
      <c r="B626" t="s">
        <v>727</v>
      </c>
      <c r="C626" t="s">
        <v>791</v>
      </c>
      <c r="D626" t="s">
        <v>473</v>
      </c>
      <c r="E626" t="s">
        <v>792</v>
      </c>
      <c r="F626" t="s">
        <v>793</v>
      </c>
      <c r="G626">
        <v>804487</v>
      </c>
      <c r="H626" t="s">
        <v>433</v>
      </c>
      <c r="I626" s="4">
        <v>2232</v>
      </c>
      <c r="J626" s="4">
        <v>130.572</v>
      </c>
    </row>
    <row r="627" spans="1:10" x14ac:dyDescent="0.35">
      <c r="A627">
        <v>3151272152</v>
      </c>
      <c r="B627" t="s">
        <v>727</v>
      </c>
      <c r="C627" t="s">
        <v>791</v>
      </c>
      <c r="D627" t="s">
        <v>473</v>
      </c>
      <c r="E627" t="s">
        <v>792</v>
      </c>
      <c r="F627" t="s">
        <v>793</v>
      </c>
      <c r="G627">
        <v>804487</v>
      </c>
      <c r="H627" t="s">
        <v>433</v>
      </c>
      <c r="I627" s="4">
        <v>1992</v>
      </c>
      <c r="J627" s="4">
        <v>116.532</v>
      </c>
    </row>
    <row r="628" spans="1:10" x14ac:dyDescent="0.35">
      <c r="A628">
        <v>3151272216</v>
      </c>
      <c r="B628" t="s">
        <v>727</v>
      </c>
      <c r="C628" t="s">
        <v>791</v>
      </c>
      <c r="D628" t="s">
        <v>473</v>
      </c>
      <c r="E628" t="s">
        <v>792</v>
      </c>
      <c r="F628" t="s">
        <v>793</v>
      </c>
      <c r="G628">
        <v>804487</v>
      </c>
      <c r="H628" t="s">
        <v>433</v>
      </c>
      <c r="I628" s="4">
        <v>288</v>
      </c>
      <c r="J628" s="4">
        <v>16.847999999999999</v>
      </c>
    </row>
    <row r="629" spans="1:10" x14ac:dyDescent="0.35">
      <c r="A629">
        <v>3151272161</v>
      </c>
      <c r="B629" t="s">
        <v>727</v>
      </c>
      <c r="C629" t="s">
        <v>791</v>
      </c>
      <c r="D629" t="s">
        <v>473</v>
      </c>
      <c r="E629" t="s">
        <v>792</v>
      </c>
      <c r="F629" t="s">
        <v>793</v>
      </c>
      <c r="G629">
        <v>804487</v>
      </c>
      <c r="H629" t="s">
        <v>433</v>
      </c>
      <c r="I629" s="4">
        <v>1992</v>
      </c>
      <c r="J629" s="4">
        <v>116.532</v>
      </c>
    </row>
    <row r="630" spans="1:10" x14ac:dyDescent="0.35">
      <c r="A630">
        <v>3151271706</v>
      </c>
      <c r="B630" t="s">
        <v>727</v>
      </c>
      <c r="C630" t="s">
        <v>791</v>
      </c>
      <c r="D630" t="s">
        <v>534</v>
      </c>
      <c r="E630" t="s">
        <v>794</v>
      </c>
      <c r="F630" t="s">
        <v>793</v>
      </c>
      <c r="G630">
        <v>804486</v>
      </c>
      <c r="H630" t="s">
        <v>412</v>
      </c>
      <c r="I630" s="4">
        <v>3408</v>
      </c>
      <c r="J630" s="4">
        <v>544.59840000000008</v>
      </c>
    </row>
    <row r="631" spans="1:10" x14ac:dyDescent="0.35">
      <c r="A631">
        <v>3151272216</v>
      </c>
      <c r="B631" t="s">
        <v>727</v>
      </c>
      <c r="C631" t="s">
        <v>791</v>
      </c>
      <c r="D631" t="s">
        <v>534</v>
      </c>
      <c r="E631" t="s">
        <v>794</v>
      </c>
      <c r="F631" t="s">
        <v>793</v>
      </c>
      <c r="G631">
        <v>804486</v>
      </c>
      <c r="H631" t="s">
        <v>412</v>
      </c>
      <c r="I631" s="4">
        <v>864</v>
      </c>
      <c r="J631" s="4">
        <v>138.06720000000001</v>
      </c>
    </row>
    <row r="632" spans="1:10" x14ac:dyDescent="0.35">
      <c r="A632">
        <v>3151271706</v>
      </c>
      <c r="B632" t="s">
        <v>727</v>
      </c>
      <c r="C632" t="s">
        <v>791</v>
      </c>
      <c r="D632" t="s">
        <v>732</v>
      </c>
      <c r="E632" t="s">
        <v>795</v>
      </c>
      <c r="F632" t="s">
        <v>793</v>
      </c>
      <c r="G632">
        <v>804485</v>
      </c>
      <c r="H632" t="s">
        <v>415</v>
      </c>
      <c r="I632" s="4">
        <v>4224</v>
      </c>
      <c r="J632" s="4">
        <v>2154.6624000000002</v>
      </c>
    </row>
    <row r="633" spans="1:10" x14ac:dyDescent="0.35">
      <c r="A633">
        <v>3151272152</v>
      </c>
      <c r="B633" t="s">
        <v>727</v>
      </c>
      <c r="C633" t="s">
        <v>791</v>
      </c>
      <c r="D633" t="s">
        <v>732</v>
      </c>
      <c r="E633" t="s">
        <v>795</v>
      </c>
      <c r="F633" t="s">
        <v>793</v>
      </c>
      <c r="G633">
        <v>804485</v>
      </c>
      <c r="H633" t="s">
        <v>415</v>
      </c>
      <c r="I633" s="4">
        <v>3996</v>
      </c>
      <c r="J633" s="4">
        <v>2038.3596000000002</v>
      </c>
    </row>
    <row r="634" spans="1:10" x14ac:dyDescent="0.35">
      <c r="A634">
        <v>3151272216</v>
      </c>
      <c r="B634" t="s">
        <v>727</v>
      </c>
      <c r="C634" t="s">
        <v>791</v>
      </c>
      <c r="D634" t="s">
        <v>732</v>
      </c>
      <c r="E634" t="s">
        <v>795</v>
      </c>
      <c r="F634" t="s">
        <v>793</v>
      </c>
      <c r="G634">
        <v>804485</v>
      </c>
      <c r="H634" t="s">
        <v>415</v>
      </c>
      <c r="I634" s="4">
        <v>1536</v>
      </c>
      <c r="J634" s="4">
        <v>783.51360000000011</v>
      </c>
    </row>
    <row r="635" spans="1:10" x14ac:dyDescent="0.35">
      <c r="A635">
        <v>3151272161</v>
      </c>
      <c r="B635" t="s">
        <v>727</v>
      </c>
      <c r="C635" t="s">
        <v>791</v>
      </c>
      <c r="D635" t="s">
        <v>732</v>
      </c>
      <c r="E635" t="s">
        <v>795</v>
      </c>
      <c r="F635" t="s">
        <v>793</v>
      </c>
      <c r="G635">
        <v>804485</v>
      </c>
      <c r="H635" t="s">
        <v>415</v>
      </c>
      <c r="I635" s="4">
        <v>3996</v>
      </c>
      <c r="J635" s="4">
        <v>2038.3596000000002</v>
      </c>
    </row>
    <row r="636" spans="1:10" x14ac:dyDescent="0.35">
      <c r="A636">
        <v>3151272152</v>
      </c>
      <c r="B636" t="s">
        <v>727</v>
      </c>
      <c r="C636" t="s">
        <v>796</v>
      </c>
      <c r="D636" t="s">
        <v>473</v>
      </c>
      <c r="E636" t="s">
        <v>792</v>
      </c>
      <c r="F636" t="s">
        <v>797</v>
      </c>
      <c r="G636">
        <v>804481</v>
      </c>
      <c r="H636" t="s">
        <v>433</v>
      </c>
      <c r="I636" s="4">
        <v>1200</v>
      </c>
      <c r="J636" s="4">
        <v>70.2</v>
      </c>
    </row>
    <row r="637" spans="1:10" x14ac:dyDescent="0.35">
      <c r="A637">
        <v>3151272216</v>
      </c>
      <c r="B637" t="s">
        <v>727</v>
      </c>
      <c r="C637" t="s">
        <v>796</v>
      </c>
      <c r="D637" t="s">
        <v>473</v>
      </c>
      <c r="E637" t="s">
        <v>792</v>
      </c>
      <c r="F637" t="s">
        <v>797</v>
      </c>
      <c r="G637">
        <v>804481</v>
      </c>
      <c r="H637" t="s">
        <v>433</v>
      </c>
      <c r="I637" s="4">
        <v>384</v>
      </c>
      <c r="J637" s="4">
        <v>22.464000000000002</v>
      </c>
    </row>
    <row r="638" spans="1:10" x14ac:dyDescent="0.35">
      <c r="A638">
        <v>3151272279</v>
      </c>
      <c r="B638" t="s">
        <v>727</v>
      </c>
      <c r="C638" t="s">
        <v>796</v>
      </c>
      <c r="D638" t="s">
        <v>473</v>
      </c>
      <c r="E638" t="s">
        <v>792</v>
      </c>
      <c r="F638" t="s">
        <v>797</v>
      </c>
      <c r="G638">
        <v>804481</v>
      </c>
      <c r="H638" t="s">
        <v>433</v>
      </c>
      <c r="I638" s="4">
        <v>70</v>
      </c>
      <c r="J638" s="4">
        <v>4.0949999999999998</v>
      </c>
    </row>
    <row r="639" spans="1:10" x14ac:dyDescent="0.35">
      <c r="A639">
        <v>3151272161</v>
      </c>
      <c r="B639" t="s">
        <v>727</v>
      </c>
      <c r="C639" t="s">
        <v>796</v>
      </c>
      <c r="D639" t="s">
        <v>473</v>
      </c>
      <c r="E639" t="s">
        <v>792</v>
      </c>
      <c r="F639" t="s">
        <v>797</v>
      </c>
      <c r="G639">
        <v>804481</v>
      </c>
      <c r="H639" t="s">
        <v>433</v>
      </c>
      <c r="I639" s="4">
        <v>1200</v>
      </c>
      <c r="J639" s="4">
        <v>70.2</v>
      </c>
    </row>
    <row r="640" spans="1:10" x14ac:dyDescent="0.35">
      <c r="A640">
        <v>3151271706</v>
      </c>
      <c r="B640" t="s">
        <v>727</v>
      </c>
      <c r="C640" t="s">
        <v>796</v>
      </c>
      <c r="D640" t="s">
        <v>534</v>
      </c>
      <c r="E640" t="s">
        <v>794</v>
      </c>
      <c r="F640" t="s">
        <v>797</v>
      </c>
      <c r="G640">
        <v>804480</v>
      </c>
      <c r="H640" t="s">
        <v>412</v>
      </c>
      <c r="I640" s="4">
        <v>192</v>
      </c>
      <c r="J640" s="4">
        <v>30.681600000000003</v>
      </c>
    </row>
    <row r="641" spans="1:10" x14ac:dyDescent="0.35">
      <c r="A641">
        <v>3151272152</v>
      </c>
      <c r="B641" t="s">
        <v>727</v>
      </c>
      <c r="C641" t="s">
        <v>796</v>
      </c>
      <c r="D641" t="s">
        <v>534</v>
      </c>
      <c r="E641" t="s">
        <v>794</v>
      </c>
      <c r="F641" t="s">
        <v>797</v>
      </c>
      <c r="G641">
        <v>804480</v>
      </c>
      <c r="H641" t="s">
        <v>412</v>
      </c>
      <c r="I641" s="4">
        <v>2004</v>
      </c>
      <c r="J641" s="4">
        <v>320.23920000000004</v>
      </c>
    </row>
    <row r="642" spans="1:10" x14ac:dyDescent="0.35">
      <c r="A642">
        <v>3151272216</v>
      </c>
      <c r="B642" t="s">
        <v>727</v>
      </c>
      <c r="C642" t="s">
        <v>796</v>
      </c>
      <c r="D642" t="s">
        <v>534</v>
      </c>
      <c r="E642" t="s">
        <v>794</v>
      </c>
      <c r="F642" t="s">
        <v>797</v>
      </c>
      <c r="G642">
        <v>804480</v>
      </c>
      <c r="H642" t="s">
        <v>412</v>
      </c>
      <c r="I642" s="4">
        <v>336</v>
      </c>
      <c r="J642" s="4">
        <v>53.692800000000005</v>
      </c>
    </row>
    <row r="643" spans="1:10" x14ac:dyDescent="0.35">
      <c r="A643">
        <v>3151272279</v>
      </c>
      <c r="B643" t="s">
        <v>727</v>
      </c>
      <c r="C643" t="s">
        <v>796</v>
      </c>
      <c r="D643" t="s">
        <v>534</v>
      </c>
      <c r="E643" t="s">
        <v>794</v>
      </c>
      <c r="F643" t="s">
        <v>797</v>
      </c>
      <c r="G643">
        <v>804480</v>
      </c>
      <c r="H643" t="s">
        <v>412</v>
      </c>
      <c r="I643" s="4">
        <v>70</v>
      </c>
      <c r="J643" s="4">
        <v>11.186</v>
      </c>
    </row>
    <row r="644" spans="1:10" x14ac:dyDescent="0.35">
      <c r="A644">
        <v>3151272161</v>
      </c>
      <c r="B644" t="s">
        <v>727</v>
      </c>
      <c r="C644" t="s">
        <v>796</v>
      </c>
      <c r="D644" t="s">
        <v>534</v>
      </c>
      <c r="E644" t="s">
        <v>794</v>
      </c>
      <c r="F644" t="s">
        <v>797</v>
      </c>
      <c r="G644">
        <v>804480</v>
      </c>
      <c r="H644" t="s">
        <v>412</v>
      </c>
      <c r="I644" s="4">
        <v>2004</v>
      </c>
      <c r="J644" s="4">
        <v>320.23920000000004</v>
      </c>
    </row>
    <row r="645" spans="1:10" x14ac:dyDescent="0.35">
      <c r="A645">
        <v>3151272152</v>
      </c>
      <c r="B645" t="s">
        <v>727</v>
      </c>
      <c r="C645" t="s">
        <v>796</v>
      </c>
      <c r="D645" t="s">
        <v>732</v>
      </c>
      <c r="E645" t="s">
        <v>795</v>
      </c>
      <c r="F645" t="s">
        <v>797</v>
      </c>
      <c r="G645">
        <v>804479</v>
      </c>
      <c r="H645" t="s">
        <v>415</v>
      </c>
      <c r="I645" s="4">
        <v>4092</v>
      </c>
      <c r="J645" s="4">
        <v>2087.3292000000001</v>
      </c>
    </row>
    <row r="646" spans="1:10" x14ac:dyDescent="0.35">
      <c r="A646">
        <v>3151272279</v>
      </c>
      <c r="B646" t="s">
        <v>727</v>
      </c>
      <c r="C646" t="s">
        <v>796</v>
      </c>
      <c r="D646" t="s">
        <v>732</v>
      </c>
      <c r="E646" t="s">
        <v>795</v>
      </c>
      <c r="F646" t="s">
        <v>797</v>
      </c>
      <c r="G646">
        <v>804479</v>
      </c>
      <c r="H646" t="s">
        <v>415</v>
      </c>
      <c r="I646" s="4">
        <v>70</v>
      </c>
      <c r="J646" s="4">
        <v>35.707000000000001</v>
      </c>
    </row>
    <row r="647" spans="1:10" x14ac:dyDescent="0.35">
      <c r="A647">
        <v>3151272161</v>
      </c>
      <c r="B647" t="s">
        <v>727</v>
      </c>
      <c r="C647" t="s">
        <v>796</v>
      </c>
      <c r="D647" t="s">
        <v>732</v>
      </c>
      <c r="E647" t="s">
        <v>795</v>
      </c>
      <c r="F647" t="s">
        <v>797</v>
      </c>
      <c r="G647">
        <v>804479</v>
      </c>
      <c r="H647" t="s">
        <v>415</v>
      </c>
      <c r="I647" s="4">
        <v>4092</v>
      </c>
      <c r="J647" s="4">
        <v>2087.3292000000001</v>
      </c>
    </row>
    <row r="648" spans="1:10" x14ac:dyDescent="0.35">
      <c r="A648">
        <v>3151271811</v>
      </c>
      <c r="B648" t="s">
        <v>765</v>
      </c>
      <c r="C648" t="s">
        <v>798</v>
      </c>
      <c r="D648" t="s">
        <v>739</v>
      </c>
      <c r="E648" t="s">
        <v>799</v>
      </c>
      <c r="F648" t="s">
        <v>420</v>
      </c>
      <c r="G648">
        <v>930748</v>
      </c>
      <c r="H648" t="s">
        <v>517</v>
      </c>
      <c r="I648" s="4">
        <v>25392</v>
      </c>
      <c r="J648" s="4">
        <v>17083.255151999998</v>
      </c>
    </row>
    <row r="649" spans="1:10" x14ac:dyDescent="0.35">
      <c r="A649">
        <v>3151271812</v>
      </c>
      <c r="B649" t="s">
        <v>765</v>
      </c>
      <c r="C649" t="s">
        <v>798</v>
      </c>
      <c r="D649" t="s">
        <v>739</v>
      </c>
      <c r="E649" t="s">
        <v>799</v>
      </c>
      <c r="F649" t="s">
        <v>420</v>
      </c>
      <c r="G649">
        <v>930748</v>
      </c>
      <c r="H649" t="s">
        <v>517</v>
      </c>
      <c r="I649" s="4">
        <v>1416</v>
      </c>
      <c r="J649" s="4">
        <v>952.65789599999994</v>
      </c>
    </row>
    <row r="650" spans="1:10" x14ac:dyDescent="0.35">
      <c r="A650">
        <v>3151271811</v>
      </c>
      <c r="B650" t="s">
        <v>727</v>
      </c>
      <c r="C650" t="s">
        <v>800</v>
      </c>
      <c r="D650" t="s">
        <v>739</v>
      </c>
      <c r="E650" t="s">
        <v>801</v>
      </c>
      <c r="F650" t="s">
        <v>420</v>
      </c>
      <c r="G650">
        <v>943693</v>
      </c>
      <c r="H650" t="s">
        <v>517</v>
      </c>
      <c r="I650" s="4">
        <v>19776</v>
      </c>
      <c r="J650" s="4">
        <v>13305.292799999999</v>
      </c>
    </row>
    <row r="651" spans="1:10" x14ac:dyDescent="0.35">
      <c r="A651">
        <v>3151271812</v>
      </c>
      <c r="B651" t="s">
        <v>727</v>
      </c>
      <c r="C651" t="s">
        <v>800</v>
      </c>
      <c r="D651" t="s">
        <v>739</v>
      </c>
      <c r="E651" t="s">
        <v>801</v>
      </c>
      <c r="F651" t="s">
        <v>420</v>
      </c>
      <c r="G651">
        <v>943693</v>
      </c>
      <c r="H651" t="s">
        <v>517</v>
      </c>
      <c r="I651" s="4">
        <v>1152</v>
      </c>
      <c r="J651" s="4">
        <v>775.06560000000002</v>
      </c>
    </row>
    <row r="652" spans="1:10" x14ac:dyDescent="0.35">
      <c r="A652">
        <v>3151271920</v>
      </c>
      <c r="B652" t="s">
        <v>802</v>
      </c>
      <c r="C652" t="s">
        <v>803</v>
      </c>
      <c r="D652" t="s">
        <v>473</v>
      </c>
      <c r="E652" t="s">
        <v>804</v>
      </c>
      <c r="G652">
        <v>933108</v>
      </c>
      <c r="H652" t="s">
        <v>433</v>
      </c>
      <c r="I652" s="4">
        <v>6720</v>
      </c>
      <c r="J652" s="4">
        <v>355.488</v>
      </c>
    </row>
    <row r="653" spans="1:10" x14ac:dyDescent="0.35">
      <c r="A653">
        <v>3151269942</v>
      </c>
      <c r="B653" t="s">
        <v>802</v>
      </c>
      <c r="C653" t="s">
        <v>803</v>
      </c>
      <c r="D653" t="s">
        <v>473</v>
      </c>
      <c r="E653" t="s">
        <v>804</v>
      </c>
      <c r="G653">
        <v>933108</v>
      </c>
      <c r="H653" t="s">
        <v>433</v>
      </c>
      <c r="I653" s="4">
        <v>28800</v>
      </c>
      <c r="J653" s="4">
        <v>1523.52</v>
      </c>
    </row>
    <row r="654" spans="1:10" x14ac:dyDescent="0.35">
      <c r="A654">
        <v>3151271920</v>
      </c>
      <c r="B654" t="s">
        <v>802</v>
      </c>
      <c r="C654" t="s">
        <v>803</v>
      </c>
      <c r="D654" t="s">
        <v>534</v>
      </c>
      <c r="E654" t="s">
        <v>805</v>
      </c>
      <c r="G654">
        <v>933110</v>
      </c>
      <c r="H654" t="s">
        <v>412</v>
      </c>
      <c r="I654" s="4">
        <v>2880</v>
      </c>
      <c r="J654" s="4">
        <v>416.67840000000001</v>
      </c>
    </row>
    <row r="655" spans="1:10" x14ac:dyDescent="0.35">
      <c r="A655">
        <v>3151269942</v>
      </c>
      <c r="B655" t="s">
        <v>802</v>
      </c>
      <c r="C655" t="s">
        <v>803</v>
      </c>
      <c r="D655" t="s">
        <v>534</v>
      </c>
      <c r="E655" t="s">
        <v>805</v>
      </c>
      <c r="G655">
        <v>933110</v>
      </c>
      <c r="H655" t="s">
        <v>412</v>
      </c>
      <c r="I655" s="4">
        <v>28800</v>
      </c>
      <c r="J655" s="4">
        <v>4166.7839999999997</v>
      </c>
    </row>
    <row r="656" spans="1:10" x14ac:dyDescent="0.35">
      <c r="A656">
        <v>3151271916</v>
      </c>
      <c r="B656" t="s">
        <v>802</v>
      </c>
      <c r="C656" t="s">
        <v>803</v>
      </c>
      <c r="D656" t="s">
        <v>434</v>
      </c>
      <c r="E656" t="s">
        <v>806</v>
      </c>
      <c r="G656">
        <v>933109</v>
      </c>
      <c r="H656" t="s">
        <v>415</v>
      </c>
      <c r="I656" s="4">
        <v>11520</v>
      </c>
      <c r="J656" s="4">
        <v>6297.1776</v>
      </c>
    </row>
    <row r="657" spans="1:10" x14ac:dyDescent="0.35">
      <c r="A657">
        <v>3151271920</v>
      </c>
      <c r="B657" t="s">
        <v>802</v>
      </c>
      <c r="C657" t="s">
        <v>803</v>
      </c>
      <c r="D657" t="s">
        <v>434</v>
      </c>
      <c r="E657" t="s">
        <v>806</v>
      </c>
      <c r="G657">
        <v>933109</v>
      </c>
      <c r="H657" t="s">
        <v>415</v>
      </c>
      <c r="I657" s="4">
        <v>5160</v>
      </c>
      <c r="J657" s="4">
        <v>2820.6107999999999</v>
      </c>
    </row>
    <row r="658" spans="1:10" x14ac:dyDescent="0.35">
      <c r="A658">
        <v>3151269942</v>
      </c>
      <c r="B658" t="s">
        <v>802</v>
      </c>
      <c r="C658" t="s">
        <v>803</v>
      </c>
      <c r="D658" t="s">
        <v>434</v>
      </c>
      <c r="E658" t="s">
        <v>806</v>
      </c>
      <c r="G658">
        <v>933109</v>
      </c>
      <c r="H658" t="s">
        <v>415</v>
      </c>
      <c r="I658" s="4">
        <v>28800</v>
      </c>
      <c r="J658" s="4">
        <v>15742.944</v>
      </c>
    </row>
    <row r="659" spans="1:10" x14ac:dyDescent="0.35">
      <c r="A659">
        <v>3151271919</v>
      </c>
      <c r="B659" t="s">
        <v>802</v>
      </c>
      <c r="C659" t="s">
        <v>807</v>
      </c>
      <c r="D659" t="s">
        <v>445</v>
      </c>
      <c r="E659" t="s">
        <v>808</v>
      </c>
      <c r="G659">
        <v>904684</v>
      </c>
      <c r="H659" t="s">
        <v>433</v>
      </c>
      <c r="I659" s="4">
        <v>57600</v>
      </c>
      <c r="J659" s="4">
        <v>2828.16</v>
      </c>
    </row>
    <row r="660" spans="1:10" x14ac:dyDescent="0.35">
      <c r="A660">
        <v>3151271917</v>
      </c>
      <c r="B660" t="s">
        <v>802</v>
      </c>
      <c r="C660" t="s">
        <v>807</v>
      </c>
      <c r="D660" t="s">
        <v>809</v>
      </c>
      <c r="E660" t="s">
        <v>810</v>
      </c>
      <c r="G660">
        <v>904682</v>
      </c>
      <c r="H660" t="s">
        <v>415</v>
      </c>
      <c r="I660" s="4">
        <v>17400</v>
      </c>
      <c r="J660" s="4">
        <v>7241.88</v>
      </c>
    </row>
    <row r="661" spans="1:10" x14ac:dyDescent="0.35">
      <c r="A661">
        <v>3151271921</v>
      </c>
      <c r="B661" t="s">
        <v>802</v>
      </c>
      <c r="C661" t="s">
        <v>807</v>
      </c>
      <c r="D661" t="s">
        <v>809</v>
      </c>
      <c r="E661" t="s">
        <v>810</v>
      </c>
      <c r="G661">
        <v>904682</v>
      </c>
      <c r="H661" t="s">
        <v>415</v>
      </c>
      <c r="I661" s="4">
        <v>17400</v>
      </c>
      <c r="J661" s="4">
        <v>7241.88</v>
      </c>
    </row>
    <row r="662" spans="1:10" x14ac:dyDescent="0.35">
      <c r="A662">
        <v>3151271918</v>
      </c>
      <c r="B662" t="s">
        <v>802</v>
      </c>
      <c r="C662" t="s">
        <v>807</v>
      </c>
      <c r="D662" t="s">
        <v>809</v>
      </c>
      <c r="E662" t="s">
        <v>810</v>
      </c>
      <c r="G662">
        <v>904682</v>
      </c>
      <c r="H662" t="s">
        <v>415</v>
      </c>
      <c r="I662" s="4">
        <v>17400</v>
      </c>
      <c r="J662" s="4">
        <v>7241.88</v>
      </c>
    </row>
    <row r="663" spans="1:10" x14ac:dyDescent="0.35">
      <c r="A663">
        <v>3151271922</v>
      </c>
      <c r="B663" t="s">
        <v>802</v>
      </c>
      <c r="C663" t="s">
        <v>807</v>
      </c>
      <c r="D663" t="s">
        <v>809</v>
      </c>
      <c r="E663" t="s">
        <v>810</v>
      </c>
      <c r="G663">
        <v>904682</v>
      </c>
      <c r="H663" t="s">
        <v>415</v>
      </c>
      <c r="I663" s="4">
        <v>17400</v>
      </c>
      <c r="J663" s="4">
        <v>7241.88</v>
      </c>
    </row>
    <row r="664" spans="1:10" x14ac:dyDescent="0.35">
      <c r="A664">
        <v>3151271915</v>
      </c>
      <c r="B664" t="s">
        <v>802</v>
      </c>
      <c r="C664" t="s">
        <v>807</v>
      </c>
      <c r="D664" t="s">
        <v>809</v>
      </c>
      <c r="E664" t="s">
        <v>810</v>
      </c>
      <c r="G664">
        <v>904682</v>
      </c>
      <c r="H664" t="s">
        <v>415</v>
      </c>
      <c r="I664" s="4">
        <v>16800</v>
      </c>
      <c r="J664" s="4">
        <v>6992.16</v>
      </c>
    </row>
    <row r="665" spans="1:10" x14ac:dyDescent="0.35">
      <c r="A665">
        <v>3151270791</v>
      </c>
      <c r="B665" t="s">
        <v>811</v>
      </c>
      <c r="C665" t="s">
        <v>812</v>
      </c>
      <c r="D665" t="s">
        <v>445</v>
      </c>
      <c r="E665" t="s">
        <v>813</v>
      </c>
      <c r="F665" t="s">
        <v>201</v>
      </c>
      <c r="G665">
        <v>804427</v>
      </c>
      <c r="H665" t="s">
        <v>433</v>
      </c>
      <c r="I665" s="4">
        <v>9600</v>
      </c>
      <c r="J665" s="4">
        <v>367.2</v>
      </c>
    </row>
    <row r="666" spans="1:10" x14ac:dyDescent="0.35">
      <c r="A666">
        <v>3151270791</v>
      </c>
      <c r="B666" t="s">
        <v>811</v>
      </c>
      <c r="C666" t="s">
        <v>812</v>
      </c>
      <c r="D666" t="s">
        <v>814</v>
      </c>
      <c r="E666" t="s">
        <v>815</v>
      </c>
      <c r="F666" t="s">
        <v>201</v>
      </c>
      <c r="G666">
        <v>804426</v>
      </c>
      <c r="H666" t="s">
        <v>412</v>
      </c>
      <c r="I666" s="4">
        <v>9600</v>
      </c>
      <c r="J666" s="4">
        <v>1104.048</v>
      </c>
    </row>
    <row r="667" spans="1:10" x14ac:dyDescent="0.35">
      <c r="A667">
        <v>3151270791</v>
      </c>
      <c r="B667" t="s">
        <v>811</v>
      </c>
      <c r="C667" t="s">
        <v>812</v>
      </c>
      <c r="D667" t="s">
        <v>816</v>
      </c>
      <c r="E667" t="s">
        <v>817</v>
      </c>
      <c r="F667" t="s">
        <v>201</v>
      </c>
      <c r="G667">
        <v>804428</v>
      </c>
      <c r="H667" t="s">
        <v>415</v>
      </c>
      <c r="I667" s="4">
        <v>9600</v>
      </c>
      <c r="J667" s="4">
        <v>3856.8287999999998</v>
      </c>
    </row>
    <row r="668" spans="1:10" x14ac:dyDescent="0.35">
      <c r="A668">
        <v>3151272596</v>
      </c>
      <c r="B668" t="s">
        <v>811</v>
      </c>
      <c r="C668" t="s">
        <v>818</v>
      </c>
      <c r="D668" t="s">
        <v>473</v>
      </c>
      <c r="E668" t="s">
        <v>819</v>
      </c>
      <c r="G668">
        <v>949645</v>
      </c>
      <c r="H668" t="s">
        <v>433</v>
      </c>
      <c r="I668" s="4">
        <v>11680</v>
      </c>
      <c r="J668" s="4">
        <v>496.40000000000003</v>
      </c>
    </row>
    <row r="669" spans="1:10" x14ac:dyDescent="0.35">
      <c r="A669">
        <v>3151272598</v>
      </c>
      <c r="B669" t="s">
        <v>811</v>
      </c>
      <c r="C669" t="s">
        <v>818</v>
      </c>
      <c r="D669" t="s">
        <v>473</v>
      </c>
      <c r="E669" t="s">
        <v>819</v>
      </c>
      <c r="G669">
        <v>949645</v>
      </c>
      <c r="H669" t="s">
        <v>433</v>
      </c>
      <c r="I669" s="4">
        <v>16960</v>
      </c>
      <c r="J669" s="4">
        <v>720.80000000000007</v>
      </c>
    </row>
    <row r="670" spans="1:10" x14ac:dyDescent="0.35">
      <c r="A670">
        <v>3151272596</v>
      </c>
      <c r="B670" t="s">
        <v>811</v>
      </c>
      <c r="C670" t="s">
        <v>818</v>
      </c>
      <c r="D670" t="s">
        <v>534</v>
      </c>
      <c r="E670" t="s">
        <v>820</v>
      </c>
      <c r="F670" t="s">
        <v>201</v>
      </c>
      <c r="G670">
        <v>949644</v>
      </c>
      <c r="H670" t="s">
        <v>412</v>
      </c>
      <c r="I670" s="4">
        <v>1560</v>
      </c>
      <c r="J670" s="4">
        <v>164.892</v>
      </c>
    </row>
    <row r="671" spans="1:10" x14ac:dyDescent="0.35">
      <c r="A671">
        <v>3151272598</v>
      </c>
      <c r="B671" t="s">
        <v>811</v>
      </c>
      <c r="C671" t="s">
        <v>818</v>
      </c>
      <c r="D671" t="s">
        <v>534</v>
      </c>
      <c r="E671" t="s">
        <v>820</v>
      </c>
      <c r="F671" t="s">
        <v>201</v>
      </c>
      <c r="G671">
        <v>949644</v>
      </c>
      <c r="H671" t="s">
        <v>412</v>
      </c>
      <c r="I671" s="4">
        <v>2320</v>
      </c>
      <c r="J671" s="4">
        <v>245.22400000000002</v>
      </c>
    </row>
    <row r="672" spans="1:10" x14ac:dyDescent="0.35">
      <c r="A672">
        <v>3151272596</v>
      </c>
      <c r="B672" t="s">
        <v>811</v>
      </c>
      <c r="C672" t="s">
        <v>818</v>
      </c>
      <c r="D672" t="s">
        <v>434</v>
      </c>
      <c r="E672" t="s">
        <v>821</v>
      </c>
      <c r="F672" t="s">
        <v>201</v>
      </c>
      <c r="G672">
        <v>949643</v>
      </c>
      <c r="H672" t="s">
        <v>415</v>
      </c>
      <c r="I672" s="4">
        <v>1888</v>
      </c>
      <c r="J672" s="4">
        <v>713.66399999999999</v>
      </c>
    </row>
    <row r="673" spans="1:10" x14ac:dyDescent="0.35">
      <c r="A673">
        <v>3151272598</v>
      </c>
      <c r="B673" t="s">
        <v>811</v>
      </c>
      <c r="C673" t="s">
        <v>818</v>
      </c>
      <c r="D673" t="s">
        <v>434</v>
      </c>
      <c r="E673" t="s">
        <v>821</v>
      </c>
      <c r="F673" t="s">
        <v>201</v>
      </c>
      <c r="G673">
        <v>949643</v>
      </c>
      <c r="H673" t="s">
        <v>415</v>
      </c>
      <c r="I673" s="4">
        <v>2720</v>
      </c>
      <c r="J673" s="4">
        <v>1028.1600000000001</v>
      </c>
    </row>
    <row r="674" spans="1:10" x14ac:dyDescent="0.35">
      <c r="A674">
        <v>3151272595</v>
      </c>
      <c r="B674" t="s">
        <v>811</v>
      </c>
      <c r="C674" t="s">
        <v>822</v>
      </c>
      <c r="D674" t="s">
        <v>431</v>
      </c>
      <c r="E674" t="s">
        <v>823</v>
      </c>
      <c r="F674" t="s">
        <v>440</v>
      </c>
      <c r="G674">
        <v>949639</v>
      </c>
      <c r="H674" t="s">
        <v>433</v>
      </c>
      <c r="I674" s="4">
        <v>5840</v>
      </c>
      <c r="J674" s="4">
        <v>252.28800000000004</v>
      </c>
    </row>
    <row r="675" spans="1:10" x14ac:dyDescent="0.35">
      <c r="A675">
        <v>3151272597</v>
      </c>
      <c r="B675" t="s">
        <v>811</v>
      </c>
      <c r="C675" t="s">
        <v>822</v>
      </c>
      <c r="D675" t="s">
        <v>431</v>
      </c>
      <c r="E675" t="s">
        <v>823</v>
      </c>
      <c r="F675" t="s">
        <v>440</v>
      </c>
      <c r="G675">
        <v>949639</v>
      </c>
      <c r="H675" t="s">
        <v>433</v>
      </c>
      <c r="I675" s="4">
        <v>8480</v>
      </c>
      <c r="J675" s="4">
        <v>366.33600000000001</v>
      </c>
    </row>
    <row r="676" spans="1:10" x14ac:dyDescent="0.35">
      <c r="A676">
        <v>3151272595</v>
      </c>
      <c r="B676" t="s">
        <v>811</v>
      </c>
      <c r="C676" t="s">
        <v>822</v>
      </c>
      <c r="D676" t="s">
        <v>534</v>
      </c>
      <c r="E676" t="s">
        <v>824</v>
      </c>
      <c r="F676" t="s">
        <v>440</v>
      </c>
      <c r="G676">
        <v>949638</v>
      </c>
      <c r="H676" t="s">
        <v>412</v>
      </c>
      <c r="I676" s="4">
        <v>780</v>
      </c>
      <c r="J676" s="4">
        <v>82.445999999999998</v>
      </c>
    </row>
    <row r="677" spans="1:10" x14ac:dyDescent="0.35">
      <c r="A677">
        <v>3151272597</v>
      </c>
      <c r="B677" t="s">
        <v>811</v>
      </c>
      <c r="C677" t="s">
        <v>822</v>
      </c>
      <c r="D677" t="s">
        <v>534</v>
      </c>
      <c r="E677" t="s">
        <v>824</v>
      </c>
      <c r="F677" t="s">
        <v>440</v>
      </c>
      <c r="G677">
        <v>949638</v>
      </c>
      <c r="H677" t="s">
        <v>412</v>
      </c>
      <c r="I677" s="4">
        <v>1160</v>
      </c>
      <c r="J677" s="4">
        <v>122.61200000000001</v>
      </c>
    </row>
    <row r="678" spans="1:10" x14ac:dyDescent="0.35">
      <c r="A678">
        <v>3151272595</v>
      </c>
      <c r="B678" t="s">
        <v>811</v>
      </c>
      <c r="C678" t="s">
        <v>822</v>
      </c>
      <c r="D678" t="s">
        <v>434</v>
      </c>
      <c r="E678" t="s">
        <v>825</v>
      </c>
      <c r="F678" t="s">
        <v>440</v>
      </c>
      <c r="G678">
        <v>949637</v>
      </c>
      <c r="H678" t="s">
        <v>415</v>
      </c>
      <c r="I678" s="4">
        <v>848</v>
      </c>
      <c r="J678" s="4">
        <v>320.54399999999998</v>
      </c>
    </row>
    <row r="679" spans="1:10" x14ac:dyDescent="0.35">
      <c r="A679">
        <v>3151272597</v>
      </c>
      <c r="B679" t="s">
        <v>811</v>
      </c>
      <c r="C679" t="s">
        <v>822</v>
      </c>
      <c r="D679" t="s">
        <v>434</v>
      </c>
      <c r="E679" t="s">
        <v>825</v>
      </c>
      <c r="F679" t="s">
        <v>440</v>
      </c>
      <c r="G679">
        <v>949637</v>
      </c>
      <c r="H679" t="s">
        <v>415</v>
      </c>
      <c r="I679" s="4">
        <v>1200</v>
      </c>
      <c r="J679" s="4">
        <v>453.6</v>
      </c>
    </row>
    <row r="680" spans="1:10" x14ac:dyDescent="0.35">
      <c r="A680">
        <v>3151272595</v>
      </c>
      <c r="B680" t="s">
        <v>811</v>
      </c>
      <c r="C680" t="s">
        <v>826</v>
      </c>
      <c r="D680" t="s">
        <v>431</v>
      </c>
      <c r="E680" t="s">
        <v>823</v>
      </c>
      <c r="F680" t="s">
        <v>442</v>
      </c>
      <c r="G680">
        <v>949653</v>
      </c>
      <c r="H680" t="s">
        <v>433</v>
      </c>
      <c r="I680" s="4">
        <v>5840</v>
      </c>
      <c r="J680" s="4">
        <v>252.28800000000004</v>
      </c>
    </row>
    <row r="681" spans="1:10" x14ac:dyDescent="0.35">
      <c r="A681">
        <v>3151272597</v>
      </c>
      <c r="B681" t="s">
        <v>811</v>
      </c>
      <c r="C681" t="s">
        <v>826</v>
      </c>
      <c r="D681" t="s">
        <v>431</v>
      </c>
      <c r="E681" t="s">
        <v>823</v>
      </c>
      <c r="F681" t="s">
        <v>442</v>
      </c>
      <c r="G681">
        <v>949653</v>
      </c>
      <c r="H681" t="s">
        <v>433</v>
      </c>
      <c r="I681" s="4">
        <v>8480</v>
      </c>
      <c r="J681" s="4">
        <v>366.33600000000001</v>
      </c>
    </row>
    <row r="682" spans="1:10" x14ac:dyDescent="0.35">
      <c r="A682">
        <v>3151272595</v>
      </c>
      <c r="B682" t="s">
        <v>811</v>
      </c>
      <c r="C682" t="s">
        <v>826</v>
      </c>
      <c r="D682" t="s">
        <v>534</v>
      </c>
      <c r="E682" t="s">
        <v>824</v>
      </c>
      <c r="F682" t="s">
        <v>442</v>
      </c>
      <c r="G682">
        <v>949652</v>
      </c>
      <c r="H682" t="s">
        <v>412</v>
      </c>
      <c r="I682" s="4">
        <v>780</v>
      </c>
      <c r="J682" s="4">
        <v>82.445999999999998</v>
      </c>
    </row>
    <row r="683" spans="1:10" x14ac:dyDescent="0.35">
      <c r="A683">
        <v>3151272597</v>
      </c>
      <c r="B683" t="s">
        <v>811</v>
      </c>
      <c r="C683" t="s">
        <v>826</v>
      </c>
      <c r="D683" t="s">
        <v>534</v>
      </c>
      <c r="E683" t="s">
        <v>824</v>
      </c>
      <c r="F683" t="s">
        <v>442</v>
      </c>
      <c r="G683">
        <v>949652</v>
      </c>
      <c r="H683" t="s">
        <v>412</v>
      </c>
      <c r="I683" s="4">
        <v>1160</v>
      </c>
      <c r="J683" s="4">
        <v>122.61200000000001</v>
      </c>
    </row>
    <row r="684" spans="1:10" x14ac:dyDescent="0.35">
      <c r="A684">
        <v>3151272595</v>
      </c>
      <c r="B684" t="s">
        <v>811</v>
      </c>
      <c r="C684" t="s">
        <v>826</v>
      </c>
      <c r="D684" t="s">
        <v>434</v>
      </c>
      <c r="E684" t="s">
        <v>825</v>
      </c>
      <c r="F684" t="s">
        <v>442</v>
      </c>
      <c r="G684">
        <v>949651</v>
      </c>
      <c r="H684" t="s">
        <v>415</v>
      </c>
      <c r="I684" s="4">
        <v>928</v>
      </c>
      <c r="J684" s="4">
        <v>350.78399999999999</v>
      </c>
    </row>
    <row r="685" spans="1:10" x14ac:dyDescent="0.35">
      <c r="A685">
        <v>3151272597</v>
      </c>
      <c r="B685" t="s">
        <v>811</v>
      </c>
      <c r="C685" t="s">
        <v>826</v>
      </c>
      <c r="D685" t="s">
        <v>434</v>
      </c>
      <c r="E685" t="s">
        <v>825</v>
      </c>
      <c r="F685" t="s">
        <v>442</v>
      </c>
      <c r="G685">
        <v>949651</v>
      </c>
      <c r="H685" t="s">
        <v>415</v>
      </c>
      <c r="I685" s="4">
        <v>1328</v>
      </c>
      <c r="J685" s="4">
        <v>501.98400000000004</v>
      </c>
    </row>
    <row r="686" spans="1:10" x14ac:dyDescent="0.35">
      <c r="A686">
        <v>3151272595</v>
      </c>
      <c r="B686" t="s">
        <v>811</v>
      </c>
      <c r="C686" t="s">
        <v>827</v>
      </c>
      <c r="D686" t="s">
        <v>431</v>
      </c>
      <c r="E686" t="s">
        <v>823</v>
      </c>
      <c r="F686" t="s">
        <v>828</v>
      </c>
      <c r="G686">
        <v>949657</v>
      </c>
      <c r="H686" t="s">
        <v>433</v>
      </c>
      <c r="I686" s="4">
        <v>5840</v>
      </c>
      <c r="J686" s="4">
        <v>252.28800000000004</v>
      </c>
    </row>
    <row r="687" spans="1:10" x14ac:dyDescent="0.35">
      <c r="A687">
        <v>3151272597</v>
      </c>
      <c r="B687" t="s">
        <v>811</v>
      </c>
      <c r="C687" t="s">
        <v>827</v>
      </c>
      <c r="D687" t="s">
        <v>431</v>
      </c>
      <c r="E687" t="s">
        <v>823</v>
      </c>
      <c r="F687" t="s">
        <v>828</v>
      </c>
      <c r="G687">
        <v>949657</v>
      </c>
      <c r="H687" t="s">
        <v>433</v>
      </c>
      <c r="I687" s="4">
        <v>8480</v>
      </c>
      <c r="J687" s="4">
        <v>366.33600000000001</v>
      </c>
    </row>
    <row r="688" spans="1:10" x14ac:dyDescent="0.35">
      <c r="A688">
        <v>3151272595</v>
      </c>
      <c r="B688" t="s">
        <v>811</v>
      </c>
      <c r="C688" t="s">
        <v>827</v>
      </c>
      <c r="D688" t="s">
        <v>534</v>
      </c>
      <c r="E688" t="s">
        <v>824</v>
      </c>
      <c r="F688" t="s">
        <v>828</v>
      </c>
      <c r="G688">
        <v>949655</v>
      </c>
      <c r="H688" t="s">
        <v>412</v>
      </c>
      <c r="I688" s="4">
        <v>780</v>
      </c>
      <c r="J688" s="4">
        <v>82.445999999999998</v>
      </c>
    </row>
    <row r="689" spans="1:10" x14ac:dyDescent="0.35">
      <c r="A689">
        <v>3151272597</v>
      </c>
      <c r="B689" t="s">
        <v>811</v>
      </c>
      <c r="C689" t="s">
        <v>827</v>
      </c>
      <c r="D689" t="s">
        <v>534</v>
      </c>
      <c r="E689" t="s">
        <v>824</v>
      </c>
      <c r="F689" t="s">
        <v>828</v>
      </c>
      <c r="G689">
        <v>949655</v>
      </c>
      <c r="H689" t="s">
        <v>412</v>
      </c>
      <c r="I689" s="4">
        <v>1160</v>
      </c>
      <c r="J689" s="4">
        <v>122.61200000000001</v>
      </c>
    </row>
    <row r="690" spans="1:10" x14ac:dyDescent="0.35">
      <c r="A690">
        <v>3151272595</v>
      </c>
      <c r="B690" t="s">
        <v>811</v>
      </c>
      <c r="C690" t="s">
        <v>827</v>
      </c>
      <c r="D690" t="s">
        <v>434</v>
      </c>
      <c r="E690" t="s">
        <v>825</v>
      </c>
      <c r="F690" t="s">
        <v>828</v>
      </c>
      <c r="G690">
        <v>949654</v>
      </c>
      <c r="H690" t="s">
        <v>415</v>
      </c>
      <c r="I690" s="4">
        <v>848</v>
      </c>
      <c r="J690" s="4">
        <v>320.54399999999998</v>
      </c>
    </row>
    <row r="691" spans="1:10" x14ac:dyDescent="0.35">
      <c r="A691">
        <v>3151272597</v>
      </c>
      <c r="B691" t="s">
        <v>811</v>
      </c>
      <c r="C691" t="s">
        <v>827</v>
      </c>
      <c r="D691" t="s">
        <v>434</v>
      </c>
      <c r="E691" t="s">
        <v>825</v>
      </c>
      <c r="F691" t="s">
        <v>828</v>
      </c>
      <c r="G691">
        <v>949654</v>
      </c>
      <c r="H691" t="s">
        <v>415</v>
      </c>
      <c r="I691" s="4">
        <v>1200</v>
      </c>
      <c r="J691" s="4">
        <v>453.6</v>
      </c>
    </row>
    <row r="692" spans="1:10" x14ac:dyDescent="0.35">
      <c r="A692">
        <v>3151271931</v>
      </c>
      <c r="B692" t="s">
        <v>829</v>
      </c>
      <c r="C692" t="s">
        <v>830</v>
      </c>
      <c r="D692" t="s">
        <v>427</v>
      </c>
      <c r="E692" t="s">
        <v>831</v>
      </c>
      <c r="F692" t="s">
        <v>201</v>
      </c>
      <c r="G692">
        <v>948559</v>
      </c>
      <c r="H692" t="s">
        <v>415</v>
      </c>
      <c r="I692" s="4">
        <v>4800</v>
      </c>
      <c r="J692" s="4">
        <v>2620.8000000000002</v>
      </c>
    </row>
    <row r="693" spans="1:10" x14ac:dyDescent="0.35">
      <c r="A693">
        <v>3151272375</v>
      </c>
      <c r="B693" t="s">
        <v>832</v>
      </c>
      <c r="C693" t="s">
        <v>833</v>
      </c>
      <c r="D693" t="s">
        <v>834</v>
      </c>
      <c r="E693" t="s">
        <v>835</v>
      </c>
      <c r="F693" t="s">
        <v>201</v>
      </c>
      <c r="G693">
        <v>929823</v>
      </c>
      <c r="H693" t="s">
        <v>412</v>
      </c>
      <c r="I693" s="4">
        <v>960</v>
      </c>
      <c r="J693" s="4">
        <v>164.98944</v>
      </c>
    </row>
    <row r="694" spans="1:10" x14ac:dyDescent="0.35">
      <c r="A694">
        <v>3151272376</v>
      </c>
      <c r="B694" t="s">
        <v>832</v>
      </c>
      <c r="C694" t="s">
        <v>833</v>
      </c>
      <c r="D694" t="s">
        <v>834</v>
      </c>
      <c r="E694" t="s">
        <v>835</v>
      </c>
      <c r="F694" t="s">
        <v>201</v>
      </c>
      <c r="G694">
        <v>929823</v>
      </c>
      <c r="H694" t="s">
        <v>412</v>
      </c>
      <c r="I694" s="4">
        <v>768</v>
      </c>
      <c r="J694" s="4">
        <v>131.99155200000001</v>
      </c>
    </row>
    <row r="695" spans="1:10" x14ac:dyDescent="0.35">
      <c r="A695">
        <v>3151272377</v>
      </c>
      <c r="B695" t="s">
        <v>832</v>
      </c>
      <c r="C695" t="s">
        <v>833</v>
      </c>
      <c r="D695" t="s">
        <v>834</v>
      </c>
      <c r="E695" t="s">
        <v>835</v>
      </c>
      <c r="F695" t="s">
        <v>201</v>
      </c>
      <c r="G695">
        <v>929823</v>
      </c>
      <c r="H695" t="s">
        <v>412</v>
      </c>
      <c r="I695" s="4">
        <v>7056</v>
      </c>
      <c r="J695" s="4">
        <v>1212.6723840000002</v>
      </c>
    </row>
    <row r="696" spans="1:10" x14ac:dyDescent="0.35">
      <c r="A696">
        <v>3151272378</v>
      </c>
      <c r="B696" t="s">
        <v>832</v>
      </c>
      <c r="C696" t="s">
        <v>833</v>
      </c>
      <c r="D696" t="s">
        <v>834</v>
      </c>
      <c r="E696" t="s">
        <v>835</v>
      </c>
      <c r="F696" t="s">
        <v>201</v>
      </c>
      <c r="G696">
        <v>929823</v>
      </c>
      <c r="H696" t="s">
        <v>412</v>
      </c>
      <c r="I696" s="4">
        <v>3504</v>
      </c>
      <c r="J696" s="4">
        <v>602.211456</v>
      </c>
    </row>
    <row r="697" spans="1:10" x14ac:dyDescent="0.35">
      <c r="A697">
        <v>3151272379</v>
      </c>
      <c r="B697" t="s">
        <v>832</v>
      </c>
      <c r="C697" t="s">
        <v>833</v>
      </c>
      <c r="D697" t="s">
        <v>834</v>
      </c>
      <c r="E697" t="s">
        <v>835</v>
      </c>
      <c r="F697" t="s">
        <v>201</v>
      </c>
      <c r="G697">
        <v>929823</v>
      </c>
      <c r="H697" t="s">
        <v>412</v>
      </c>
      <c r="I697" s="4">
        <v>3312</v>
      </c>
      <c r="J697" s="4">
        <v>569.21356800000001</v>
      </c>
    </row>
    <row r="698" spans="1:10" x14ac:dyDescent="0.35">
      <c r="A698">
        <v>3151272380</v>
      </c>
      <c r="B698" t="s">
        <v>832</v>
      </c>
      <c r="C698" t="s">
        <v>833</v>
      </c>
      <c r="D698" t="s">
        <v>834</v>
      </c>
      <c r="E698" t="s">
        <v>835</v>
      </c>
      <c r="F698" t="s">
        <v>201</v>
      </c>
      <c r="G698">
        <v>929823</v>
      </c>
      <c r="H698" t="s">
        <v>412</v>
      </c>
      <c r="I698" s="4">
        <v>864</v>
      </c>
      <c r="J698" s="4">
        <v>148.49049600000001</v>
      </c>
    </row>
    <row r="699" spans="1:10" x14ac:dyDescent="0.35">
      <c r="A699">
        <v>3151272763</v>
      </c>
      <c r="B699" t="s">
        <v>832</v>
      </c>
      <c r="C699" t="s">
        <v>833</v>
      </c>
      <c r="D699" t="s">
        <v>834</v>
      </c>
      <c r="E699" t="s">
        <v>835</v>
      </c>
      <c r="F699" t="s">
        <v>201</v>
      </c>
      <c r="G699">
        <v>929823</v>
      </c>
      <c r="H699" t="s">
        <v>412</v>
      </c>
      <c r="I699" s="4">
        <v>1776</v>
      </c>
      <c r="J699" s="4">
        <v>305.23046400000004</v>
      </c>
    </row>
    <row r="700" spans="1:10" x14ac:dyDescent="0.35">
      <c r="A700">
        <v>3151272764</v>
      </c>
      <c r="B700" t="s">
        <v>832</v>
      </c>
      <c r="C700" t="s">
        <v>833</v>
      </c>
      <c r="D700" t="s">
        <v>834</v>
      </c>
      <c r="E700" t="s">
        <v>835</v>
      </c>
      <c r="F700" t="s">
        <v>201</v>
      </c>
      <c r="G700">
        <v>929823</v>
      </c>
      <c r="H700" t="s">
        <v>412</v>
      </c>
      <c r="I700" s="4">
        <v>1824</v>
      </c>
      <c r="J700" s="4">
        <v>313.47993600000001</v>
      </c>
    </row>
    <row r="701" spans="1:10" x14ac:dyDescent="0.35">
      <c r="A701">
        <v>3151272765</v>
      </c>
      <c r="B701" t="s">
        <v>832</v>
      </c>
      <c r="C701" t="s">
        <v>833</v>
      </c>
      <c r="D701" t="s">
        <v>834</v>
      </c>
      <c r="E701" t="s">
        <v>835</v>
      </c>
      <c r="F701" t="s">
        <v>201</v>
      </c>
      <c r="G701">
        <v>929823</v>
      </c>
      <c r="H701" t="s">
        <v>412</v>
      </c>
      <c r="I701" s="4">
        <v>10320</v>
      </c>
      <c r="J701" s="4">
        <v>1773.6364800000001</v>
      </c>
    </row>
    <row r="702" spans="1:10" x14ac:dyDescent="0.35">
      <c r="A702">
        <v>3151272766</v>
      </c>
      <c r="B702" t="s">
        <v>832</v>
      </c>
      <c r="C702" t="s">
        <v>833</v>
      </c>
      <c r="D702" t="s">
        <v>834</v>
      </c>
      <c r="E702" t="s">
        <v>835</v>
      </c>
      <c r="F702" t="s">
        <v>201</v>
      </c>
      <c r="G702">
        <v>929823</v>
      </c>
      <c r="H702" t="s">
        <v>412</v>
      </c>
      <c r="I702" s="4">
        <v>2880</v>
      </c>
      <c r="J702" s="4">
        <v>494.96832000000001</v>
      </c>
    </row>
    <row r="703" spans="1:10" x14ac:dyDescent="0.35">
      <c r="A703">
        <v>3151272767</v>
      </c>
      <c r="B703" t="s">
        <v>832</v>
      </c>
      <c r="C703" t="s">
        <v>833</v>
      </c>
      <c r="D703" t="s">
        <v>834</v>
      </c>
      <c r="E703" t="s">
        <v>835</v>
      </c>
      <c r="F703" t="s">
        <v>201</v>
      </c>
      <c r="G703">
        <v>929823</v>
      </c>
      <c r="H703" t="s">
        <v>412</v>
      </c>
      <c r="I703" s="4">
        <v>4320</v>
      </c>
      <c r="J703" s="4">
        <v>742.45248000000004</v>
      </c>
    </row>
    <row r="704" spans="1:10" x14ac:dyDescent="0.35">
      <c r="A704">
        <v>3151272768</v>
      </c>
      <c r="B704" t="s">
        <v>832</v>
      </c>
      <c r="C704" t="s">
        <v>833</v>
      </c>
      <c r="D704" t="s">
        <v>834</v>
      </c>
      <c r="E704" t="s">
        <v>835</v>
      </c>
      <c r="F704" t="s">
        <v>201</v>
      </c>
      <c r="G704">
        <v>929823</v>
      </c>
      <c r="H704" t="s">
        <v>412</v>
      </c>
      <c r="I704" s="4">
        <v>6480</v>
      </c>
      <c r="J704" s="4">
        <v>1113.6787199999999</v>
      </c>
    </row>
    <row r="705" spans="1:10" x14ac:dyDescent="0.35">
      <c r="A705">
        <v>3151272375</v>
      </c>
      <c r="B705" t="s">
        <v>832</v>
      </c>
      <c r="C705" t="s">
        <v>833</v>
      </c>
      <c r="D705" t="s">
        <v>836</v>
      </c>
      <c r="E705" t="s">
        <v>837</v>
      </c>
      <c r="F705" t="s">
        <v>201</v>
      </c>
      <c r="G705">
        <v>929825</v>
      </c>
      <c r="H705" t="s">
        <v>433</v>
      </c>
      <c r="I705" s="4">
        <v>700</v>
      </c>
      <c r="J705" s="4">
        <v>35.088900000000002</v>
      </c>
    </row>
    <row r="706" spans="1:10" x14ac:dyDescent="0.35">
      <c r="A706">
        <v>3151272376</v>
      </c>
      <c r="B706" t="s">
        <v>832</v>
      </c>
      <c r="C706" t="s">
        <v>833</v>
      </c>
      <c r="D706" t="s">
        <v>836</v>
      </c>
      <c r="E706" t="s">
        <v>837</v>
      </c>
      <c r="F706" t="s">
        <v>201</v>
      </c>
      <c r="G706">
        <v>929825</v>
      </c>
      <c r="H706" t="s">
        <v>433</v>
      </c>
      <c r="I706" s="4">
        <v>700</v>
      </c>
      <c r="J706" s="4">
        <v>35.088900000000002</v>
      </c>
    </row>
    <row r="707" spans="1:10" x14ac:dyDescent="0.35">
      <c r="A707">
        <v>3151272377</v>
      </c>
      <c r="B707" t="s">
        <v>832</v>
      </c>
      <c r="C707" t="s">
        <v>833</v>
      </c>
      <c r="D707" t="s">
        <v>836</v>
      </c>
      <c r="E707" t="s">
        <v>837</v>
      </c>
      <c r="F707" t="s">
        <v>201</v>
      </c>
      <c r="G707">
        <v>929825</v>
      </c>
      <c r="H707" t="s">
        <v>433</v>
      </c>
      <c r="I707" s="4">
        <v>5880</v>
      </c>
      <c r="J707" s="4">
        <v>294.74675999999999</v>
      </c>
    </row>
    <row r="708" spans="1:10" x14ac:dyDescent="0.35">
      <c r="A708">
        <v>3151272378</v>
      </c>
      <c r="B708" t="s">
        <v>832</v>
      </c>
      <c r="C708" t="s">
        <v>833</v>
      </c>
      <c r="D708" t="s">
        <v>836</v>
      </c>
      <c r="E708" t="s">
        <v>837</v>
      </c>
      <c r="F708" t="s">
        <v>201</v>
      </c>
      <c r="G708">
        <v>929825</v>
      </c>
      <c r="H708" t="s">
        <v>433</v>
      </c>
      <c r="I708" s="4">
        <v>2800</v>
      </c>
      <c r="J708" s="4">
        <v>140.35560000000001</v>
      </c>
    </row>
    <row r="709" spans="1:10" x14ac:dyDescent="0.35">
      <c r="A709">
        <v>3151272379</v>
      </c>
      <c r="B709" t="s">
        <v>832</v>
      </c>
      <c r="C709" t="s">
        <v>833</v>
      </c>
      <c r="D709" t="s">
        <v>836</v>
      </c>
      <c r="E709" t="s">
        <v>837</v>
      </c>
      <c r="F709" t="s">
        <v>201</v>
      </c>
      <c r="G709">
        <v>929825</v>
      </c>
      <c r="H709" t="s">
        <v>433</v>
      </c>
      <c r="I709" s="4">
        <v>280</v>
      </c>
      <c r="J709" s="4">
        <v>14.035560000000002</v>
      </c>
    </row>
    <row r="710" spans="1:10" x14ac:dyDescent="0.35">
      <c r="A710">
        <v>3151272380</v>
      </c>
      <c r="B710" t="s">
        <v>832</v>
      </c>
      <c r="C710" t="s">
        <v>833</v>
      </c>
      <c r="D710" t="s">
        <v>836</v>
      </c>
      <c r="E710" t="s">
        <v>837</v>
      </c>
      <c r="F710" t="s">
        <v>201</v>
      </c>
      <c r="G710">
        <v>929825</v>
      </c>
      <c r="H710" t="s">
        <v>433</v>
      </c>
      <c r="I710" s="4">
        <v>980</v>
      </c>
      <c r="J710" s="4">
        <v>49.124459999999999</v>
      </c>
    </row>
    <row r="711" spans="1:10" x14ac:dyDescent="0.35">
      <c r="A711">
        <v>3151272763</v>
      </c>
      <c r="B711" t="s">
        <v>832</v>
      </c>
      <c r="C711" t="s">
        <v>833</v>
      </c>
      <c r="D711" t="s">
        <v>836</v>
      </c>
      <c r="E711" t="s">
        <v>837</v>
      </c>
      <c r="F711" t="s">
        <v>201</v>
      </c>
      <c r="G711">
        <v>929825</v>
      </c>
      <c r="H711" t="s">
        <v>433</v>
      </c>
      <c r="I711" s="4">
        <v>1540</v>
      </c>
      <c r="J711" s="4">
        <v>77.195580000000007</v>
      </c>
    </row>
    <row r="712" spans="1:10" x14ac:dyDescent="0.35">
      <c r="A712">
        <v>3151272764</v>
      </c>
      <c r="B712" t="s">
        <v>832</v>
      </c>
      <c r="C712" t="s">
        <v>833</v>
      </c>
      <c r="D712" t="s">
        <v>836</v>
      </c>
      <c r="E712" t="s">
        <v>837</v>
      </c>
      <c r="F712" t="s">
        <v>201</v>
      </c>
      <c r="G712">
        <v>929825</v>
      </c>
      <c r="H712" t="s">
        <v>433</v>
      </c>
      <c r="I712" s="4">
        <v>3220</v>
      </c>
      <c r="J712" s="4">
        <v>161.40894</v>
      </c>
    </row>
    <row r="713" spans="1:10" x14ac:dyDescent="0.35">
      <c r="A713">
        <v>3151272765</v>
      </c>
      <c r="B713" t="s">
        <v>832</v>
      </c>
      <c r="C713" t="s">
        <v>833</v>
      </c>
      <c r="D713" t="s">
        <v>836</v>
      </c>
      <c r="E713" t="s">
        <v>837</v>
      </c>
      <c r="F713" t="s">
        <v>201</v>
      </c>
      <c r="G713">
        <v>929825</v>
      </c>
      <c r="H713" t="s">
        <v>433</v>
      </c>
      <c r="I713" s="4">
        <v>12460</v>
      </c>
      <c r="J713" s="4">
        <v>624.58242000000007</v>
      </c>
    </row>
    <row r="714" spans="1:10" x14ac:dyDescent="0.35">
      <c r="A714">
        <v>3151272766</v>
      </c>
      <c r="B714" t="s">
        <v>832</v>
      </c>
      <c r="C714" t="s">
        <v>833</v>
      </c>
      <c r="D714" t="s">
        <v>836</v>
      </c>
      <c r="E714" t="s">
        <v>837</v>
      </c>
      <c r="F714" t="s">
        <v>201</v>
      </c>
      <c r="G714">
        <v>929825</v>
      </c>
      <c r="H714" t="s">
        <v>433</v>
      </c>
      <c r="I714" s="4">
        <v>840</v>
      </c>
      <c r="J714" s="4">
        <v>42.106680000000004</v>
      </c>
    </row>
    <row r="715" spans="1:10" x14ac:dyDescent="0.35">
      <c r="A715">
        <v>3151272767</v>
      </c>
      <c r="B715" t="s">
        <v>832</v>
      </c>
      <c r="C715" t="s">
        <v>833</v>
      </c>
      <c r="D715" t="s">
        <v>836</v>
      </c>
      <c r="E715" t="s">
        <v>837</v>
      </c>
      <c r="F715" t="s">
        <v>201</v>
      </c>
      <c r="G715">
        <v>929825</v>
      </c>
      <c r="H715" t="s">
        <v>433</v>
      </c>
      <c r="I715" s="4">
        <v>1960</v>
      </c>
      <c r="J715" s="4">
        <v>98.248919999999998</v>
      </c>
    </row>
    <row r="716" spans="1:10" x14ac:dyDescent="0.35">
      <c r="A716">
        <v>3151272768</v>
      </c>
      <c r="B716" t="s">
        <v>832</v>
      </c>
      <c r="C716" t="s">
        <v>833</v>
      </c>
      <c r="D716" t="s">
        <v>836</v>
      </c>
      <c r="E716" t="s">
        <v>837</v>
      </c>
      <c r="F716" t="s">
        <v>201</v>
      </c>
      <c r="G716">
        <v>929825</v>
      </c>
      <c r="H716" t="s">
        <v>433</v>
      </c>
      <c r="I716" s="4">
        <v>3080</v>
      </c>
      <c r="J716" s="4">
        <v>154.39116000000001</v>
      </c>
    </row>
    <row r="717" spans="1:10" x14ac:dyDescent="0.35">
      <c r="A717">
        <v>3251165701</v>
      </c>
      <c r="B717" t="s">
        <v>832</v>
      </c>
      <c r="C717" t="s">
        <v>833</v>
      </c>
      <c r="D717" t="s">
        <v>836</v>
      </c>
      <c r="E717" t="s">
        <v>837</v>
      </c>
      <c r="F717" t="s">
        <v>201</v>
      </c>
      <c r="G717">
        <v>929825</v>
      </c>
      <c r="H717" t="s">
        <v>433</v>
      </c>
      <c r="I717" s="4">
        <v>280</v>
      </c>
      <c r="J717" s="4">
        <v>14.035560000000002</v>
      </c>
    </row>
    <row r="718" spans="1:10" x14ac:dyDescent="0.35">
      <c r="A718">
        <v>3151272375</v>
      </c>
      <c r="B718" t="s">
        <v>832</v>
      </c>
      <c r="C718" t="s">
        <v>833</v>
      </c>
      <c r="D718" t="s">
        <v>838</v>
      </c>
      <c r="E718" t="s">
        <v>839</v>
      </c>
      <c r="F718" t="s">
        <v>201</v>
      </c>
      <c r="G718">
        <v>929824</v>
      </c>
      <c r="H718" t="s">
        <v>412</v>
      </c>
      <c r="I718" s="4">
        <v>2100</v>
      </c>
      <c r="J718" s="4">
        <v>240.60959999999997</v>
      </c>
    </row>
    <row r="719" spans="1:10" x14ac:dyDescent="0.35">
      <c r="A719">
        <v>3151272376</v>
      </c>
      <c r="B719" t="s">
        <v>832</v>
      </c>
      <c r="C719" t="s">
        <v>833</v>
      </c>
      <c r="D719" t="s">
        <v>838</v>
      </c>
      <c r="E719" t="s">
        <v>839</v>
      </c>
      <c r="F719" t="s">
        <v>201</v>
      </c>
      <c r="G719">
        <v>929824</v>
      </c>
      <c r="H719" t="s">
        <v>412</v>
      </c>
      <c r="I719" s="4">
        <v>1260</v>
      </c>
      <c r="J719" s="4">
        <v>144.36575999999999</v>
      </c>
    </row>
    <row r="720" spans="1:10" x14ac:dyDescent="0.35">
      <c r="A720">
        <v>3151272377</v>
      </c>
      <c r="B720" t="s">
        <v>832</v>
      </c>
      <c r="C720" t="s">
        <v>833</v>
      </c>
      <c r="D720" t="s">
        <v>838</v>
      </c>
      <c r="E720" t="s">
        <v>839</v>
      </c>
      <c r="F720" t="s">
        <v>201</v>
      </c>
      <c r="G720">
        <v>929824</v>
      </c>
      <c r="H720" t="s">
        <v>412</v>
      </c>
      <c r="I720" s="4">
        <v>14980</v>
      </c>
      <c r="J720" s="4">
        <v>1716.3484800000001</v>
      </c>
    </row>
    <row r="721" spans="1:10" x14ac:dyDescent="0.35">
      <c r="A721">
        <v>3151272378</v>
      </c>
      <c r="B721" t="s">
        <v>832</v>
      </c>
      <c r="C721" t="s">
        <v>833</v>
      </c>
      <c r="D721" t="s">
        <v>838</v>
      </c>
      <c r="E721" t="s">
        <v>839</v>
      </c>
      <c r="F721" t="s">
        <v>201</v>
      </c>
      <c r="G721">
        <v>929824</v>
      </c>
      <c r="H721" t="s">
        <v>412</v>
      </c>
      <c r="I721" s="4">
        <v>6650</v>
      </c>
      <c r="J721" s="4">
        <v>761.93039999999996</v>
      </c>
    </row>
    <row r="722" spans="1:10" x14ac:dyDescent="0.35">
      <c r="A722">
        <v>3151272380</v>
      </c>
      <c r="B722" t="s">
        <v>832</v>
      </c>
      <c r="C722" t="s">
        <v>833</v>
      </c>
      <c r="D722" t="s">
        <v>838</v>
      </c>
      <c r="E722" t="s">
        <v>839</v>
      </c>
      <c r="F722" t="s">
        <v>201</v>
      </c>
      <c r="G722">
        <v>929824</v>
      </c>
      <c r="H722" t="s">
        <v>412</v>
      </c>
      <c r="I722" s="4">
        <v>3850</v>
      </c>
      <c r="J722" s="4">
        <v>441.11759999999998</v>
      </c>
    </row>
    <row r="723" spans="1:10" x14ac:dyDescent="0.35">
      <c r="A723">
        <v>3151272763</v>
      </c>
      <c r="B723" t="s">
        <v>832</v>
      </c>
      <c r="C723" t="s">
        <v>833</v>
      </c>
      <c r="D723" t="s">
        <v>838</v>
      </c>
      <c r="E723" t="s">
        <v>839</v>
      </c>
      <c r="F723" t="s">
        <v>201</v>
      </c>
      <c r="G723">
        <v>929824</v>
      </c>
      <c r="H723" t="s">
        <v>412</v>
      </c>
      <c r="I723" s="4">
        <v>2660</v>
      </c>
      <c r="J723" s="4">
        <v>304.77215999999999</v>
      </c>
    </row>
    <row r="724" spans="1:10" x14ac:dyDescent="0.35">
      <c r="A724">
        <v>3151272764</v>
      </c>
      <c r="B724" t="s">
        <v>832</v>
      </c>
      <c r="C724" t="s">
        <v>833</v>
      </c>
      <c r="D724" t="s">
        <v>838</v>
      </c>
      <c r="E724" t="s">
        <v>839</v>
      </c>
      <c r="F724" t="s">
        <v>201</v>
      </c>
      <c r="G724">
        <v>929824</v>
      </c>
      <c r="H724" t="s">
        <v>412</v>
      </c>
      <c r="I724" s="4">
        <v>3990</v>
      </c>
      <c r="J724" s="4">
        <v>457.15823999999998</v>
      </c>
    </row>
    <row r="725" spans="1:10" x14ac:dyDescent="0.35">
      <c r="A725">
        <v>3151272765</v>
      </c>
      <c r="B725" t="s">
        <v>832</v>
      </c>
      <c r="C725" t="s">
        <v>833</v>
      </c>
      <c r="D725" t="s">
        <v>838</v>
      </c>
      <c r="E725" t="s">
        <v>839</v>
      </c>
      <c r="F725" t="s">
        <v>201</v>
      </c>
      <c r="G725">
        <v>929824</v>
      </c>
      <c r="H725" t="s">
        <v>412</v>
      </c>
      <c r="I725" s="4">
        <v>22890</v>
      </c>
      <c r="J725" s="4">
        <v>2622.6446399999995</v>
      </c>
    </row>
    <row r="726" spans="1:10" x14ac:dyDescent="0.35">
      <c r="A726">
        <v>3151272766</v>
      </c>
      <c r="B726" t="s">
        <v>832</v>
      </c>
      <c r="C726" t="s">
        <v>833</v>
      </c>
      <c r="D726" t="s">
        <v>838</v>
      </c>
      <c r="E726" t="s">
        <v>839</v>
      </c>
      <c r="F726" t="s">
        <v>201</v>
      </c>
      <c r="G726">
        <v>929824</v>
      </c>
      <c r="H726" t="s">
        <v>412</v>
      </c>
      <c r="I726" s="4">
        <v>4830</v>
      </c>
      <c r="J726" s="4">
        <v>553.40207999999996</v>
      </c>
    </row>
    <row r="727" spans="1:10" x14ac:dyDescent="0.35">
      <c r="A727">
        <v>3151272767</v>
      </c>
      <c r="B727" t="s">
        <v>832</v>
      </c>
      <c r="C727" t="s">
        <v>833</v>
      </c>
      <c r="D727" t="s">
        <v>838</v>
      </c>
      <c r="E727" t="s">
        <v>839</v>
      </c>
      <c r="F727" t="s">
        <v>201</v>
      </c>
      <c r="G727">
        <v>929824</v>
      </c>
      <c r="H727" t="s">
        <v>412</v>
      </c>
      <c r="I727" s="4">
        <v>5950</v>
      </c>
      <c r="J727" s="4">
        <v>681.72719999999993</v>
      </c>
    </row>
    <row r="728" spans="1:10" x14ac:dyDescent="0.35">
      <c r="A728">
        <v>3151272768</v>
      </c>
      <c r="B728" t="s">
        <v>832</v>
      </c>
      <c r="C728" t="s">
        <v>833</v>
      </c>
      <c r="D728" t="s">
        <v>838</v>
      </c>
      <c r="E728" t="s">
        <v>839</v>
      </c>
      <c r="F728" t="s">
        <v>201</v>
      </c>
      <c r="G728">
        <v>929824</v>
      </c>
      <c r="H728" t="s">
        <v>412</v>
      </c>
      <c r="I728" s="4">
        <v>10850</v>
      </c>
      <c r="J728" s="4">
        <v>1243.1496</v>
      </c>
    </row>
    <row r="729" spans="1:10" x14ac:dyDescent="0.35">
      <c r="A729">
        <v>3151272375</v>
      </c>
      <c r="B729" t="s">
        <v>832</v>
      </c>
      <c r="C729" t="s">
        <v>833</v>
      </c>
      <c r="D729" t="s">
        <v>840</v>
      </c>
      <c r="E729" t="s">
        <v>841</v>
      </c>
      <c r="F729" t="s">
        <v>201</v>
      </c>
      <c r="G729">
        <v>929819</v>
      </c>
      <c r="H729" t="s">
        <v>415</v>
      </c>
      <c r="I729" s="4">
        <v>1320</v>
      </c>
      <c r="J729" s="4">
        <v>412.47360000000003</v>
      </c>
    </row>
    <row r="730" spans="1:10" x14ac:dyDescent="0.35">
      <c r="A730">
        <v>3151272376</v>
      </c>
      <c r="B730" t="s">
        <v>832</v>
      </c>
      <c r="C730" t="s">
        <v>833</v>
      </c>
      <c r="D730" t="s">
        <v>840</v>
      </c>
      <c r="E730" t="s">
        <v>841</v>
      </c>
      <c r="F730" t="s">
        <v>201</v>
      </c>
      <c r="G730">
        <v>929819</v>
      </c>
      <c r="H730" t="s">
        <v>415</v>
      </c>
      <c r="I730" s="4">
        <v>1392</v>
      </c>
      <c r="J730" s="4">
        <v>434.97216000000003</v>
      </c>
    </row>
    <row r="731" spans="1:10" x14ac:dyDescent="0.35">
      <c r="A731">
        <v>3151272377</v>
      </c>
      <c r="B731" t="s">
        <v>832</v>
      </c>
      <c r="C731" t="s">
        <v>833</v>
      </c>
      <c r="D731" t="s">
        <v>840</v>
      </c>
      <c r="E731" t="s">
        <v>841</v>
      </c>
      <c r="F731" t="s">
        <v>201</v>
      </c>
      <c r="G731">
        <v>929819</v>
      </c>
      <c r="H731" t="s">
        <v>415</v>
      </c>
      <c r="I731" s="4">
        <v>9240</v>
      </c>
      <c r="J731" s="4">
        <v>2887.3152000000005</v>
      </c>
    </row>
    <row r="732" spans="1:10" x14ac:dyDescent="0.35">
      <c r="A732">
        <v>3151272378</v>
      </c>
      <c r="B732" t="s">
        <v>832</v>
      </c>
      <c r="C732" t="s">
        <v>833</v>
      </c>
      <c r="D732" t="s">
        <v>840</v>
      </c>
      <c r="E732" t="s">
        <v>841</v>
      </c>
      <c r="F732" t="s">
        <v>201</v>
      </c>
      <c r="G732">
        <v>929819</v>
      </c>
      <c r="H732" t="s">
        <v>415</v>
      </c>
      <c r="I732" s="4">
        <v>3816</v>
      </c>
      <c r="J732" s="4">
        <v>1192.4236800000001</v>
      </c>
    </row>
    <row r="733" spans="1:10" x14ac:dyDescent="0.35">
      <c r="A733">
        <v>3151272379</v>
      </c>
      <c r="B733" t="s">
        <v>832</v>
      </c>
      <c r="C733" t="s">
        <v>833</v>
      </c>
      <c r="D733" t="s">
        <v>840</v>
      </c>
      <c r="E733" t="s">
        <v>841</v>
      </c>
      <c r="F733" t="s">
        <v>201</v>
      </c>
      <c r="G733">
        <v>929819</v>
      </c>
      <c r="H733" t="s">
        <v>415</v>
      </c>
      <c r="I733" s="4">
        <v>1800</v>
      </c>
      <c r="J733" s="4">
        <v>562.46400000000006</v>
      </c>
    </row>
    <row r="734" spans="1:10" x14ac:dyDescent="0.35">
      <c r="A734">
        <v>3151272380</v>
      </c>
      <c r="B734" t="s">
        <v>832</v>
      </c>
      <c r="C734" t="s">
        <v>833</v>
      </c>
      <c r="D734" t="s">
        <v>840</v>
      </c>
      <c r="E734" t="s">
        <v>841</v>
      </c>
      <c r="F734" t="s">
        <v>201</v>
      </c>
      <c r="G734">
        <v>929819</v>
      </c>
      <c r="H734" t="s">
        <v>415</v>
      </c>
      <c r="I734" s="4">
        <v>1248</v>
      </c>
      <c r="J734" s="4">
        <v>389.97504000000004</v>
      </c>
    </row>
    <row r="735" spans="1:10" x14ac:dyDescent="0.35">
      <c r="A735">
        <v>3151272763</v>
      </c>
      <c r="B735" t="s">
        <v>832</v>
      </c>
      <c r="C735" t="s">
        <v>833</v>
      </c>
      <c r="D735" t="s">
        <v>840</v>
      </c>
      <c r="E735" t="s">
        <v>841</v>
      </c>
      <c r="F735" t="s">
        <v>201</v>
      </c>
      <c r="G735">
        <v>929819</v>
      </c>
      <c r="H735" t="s">
        <v>415</v>
      </c>
      <c r="I735" s="4">
        <v>2112</v>
      </c>
      <c r="J735" s="4">
        <v>659.95776000000001</v>
      </c>
    </row>
    <row r="736" spans="1:10" x14ac:dyDescent="0.35">
      <c r="A736">
        <v>3151272764</v>
      </c>
      <c r="B736" t="s">
        <v>832</v>
      </c>
      <c r="C736" t="s">
        <v>833</v>
      </c>
      <c r="D736" t="s">
        <v>840</v>
      </c>
      <c r="E736" t="s">
        <v>841</v>
      </c>
      <c r="F736" t="s">
        <v>201</v>
      </c>
      <c r="G736">
        <v>929819</v>
      </c>
      <c r="H736" t="s">
        <v>415</v>
      </c>
      <c r="I736" s="4">
        <v>3744</v>
      </c>
      <c r="J736" s="4">
        <v>1169.9251200000001</v>
      </c>
    </row>
    <row r="737" spans="1:10" x14ac:dyDescent="0.35">
      <c r="A737">
        <v>3151272765</v>
      </c>
      <c r="B737" t="s">
        <v>832</v>
      </c>
      <c r="C737" t="s">
        <v>833</v>
      </c>
      <c r="D737" t="s">
        <v>840</v>
      </c>
      <c r="E737" t="s">
        <v>841</v>
      </c>
      <c r="F737" t="s">
        <v>201</v>
      </c>
      <c r="G737">
        <v>929819</v>
      </c>
      <c r="H737" t="s">
        <v>415</v>
      </c>
      <c r="I737" s="4">
        <v>13104</v>
      </c>
      <c r="J737" s="4">
        <v>4094.7379200000005</v>
      </c>
    </row>
    <row r="738" spans="1:10" x14ac:dyDescent="0.35">
      <c r="A738">
        <v>3151272766</v>
      </c>
      <c r="B738" t="s">
        <v>832</v>
      </c>
      <c r="C738" t="s">
        <v>833</v>
      </c>
      <c r="D738" t="s">
        <v>840</v>
      </c>
      <c r="E738" t="s">
        <v>841</v>
      </c>
      <c r="F738" t="s">
        <v>201</v>
      </c>
      <c r="G738">
        <v>929819</v>
      </c>
      <c r="H738" t="s">
        <v>415</v>
      </c>
      <c r="I738" s="4">
        <v>1920</v>
      </c>
      <c r="J738" s="4">
        <v>599.96160000000009</v>
      </c>
    </row>
    <row r="739" spans="1:10" x14ac:dyDescent="0.35">
      <c r="A739">
        <v>3151272767</v>
      </c>
      <c r="B739" t="s">
        <v>832</v>
      </c>
      <c r="C739" t="s">
        <v>833</v>
      </c>
      <c r="D739" t="s">
        <v>840</v>
      </c>
      <c r="E739" t="s">
        <v>841</v>
      </c>
      <c r="F739" t="s">
        <v>201</v>
      </c>
      <c r="G739">
        <v>929819</v>
      </c>
      <c r="H739" t="s">
        <v>415</v>
      </c>
      <c r="I739" s="4">
        <v>2112</v>
      </c>
      <c r="J739" s="4">
        <v>659.95776000000001</v>
      </c>
    </row>
    <row r="740" spans="1:10" x14ac:dyDescent="0.35">
      <c r="A740">
        <v>3151272768</v>
      </c>
      <c r="B740" t="s">
        <v>832</v>
      </c>
      <c r="C740" t="s">
        <v>833</v>
      </c>
      <c r="D740" t="s">
        <v>840</v>
      </c>
      <c r="E740" t="s">
        <v>841</v>
      </c>
      <c r="F740" t="s">
        <v>201</v>
      </c>
      <c r="G740">
        <v>929819</v>
      </c>
      <c r="H740" t="s">
        <v>415</v>
      </c>
      <c r="I740" s="4">
        <v>4128</v>
      </c>
      <c r="J740" s="4">
        <v>1289.9174400000002</v>
      </c>
    </row>
    <row r="741" spans="1:10" x14ac:dyDescent="0.35">
      <c r="A741">
        <v>3151272375</v>
      </c>
      <c r="B741" t="s">
        <v>832</v>
      </c>
      <c r="C741" t="s">
        <v>833</v>
      </c>
      <c r="D741" t="s">
        <v>449</v>
      </c>
      <c r="E741" t="s">
        <v>842</v>
      </c>
      <c r="F741" t="s">
        <v>201</v>
      </c>
      <c r="G741">
        <v>929820</v>
      </c>
      <c r="H741" t="s">
        <v>415</v>
      </c>
      <c r="I741" s="4">
        <v>630</v>
      </c>
      <c r="J741" s="4">
        <v>267.95159999999998</v>
      </c>
    </row>
    <row r="742" spans="1:10" x14ac:dyDescent="0.35">
      <c r="A742">
        <v>3151272376</v>
      </c>
      <c r="B742" t="s">
        <v>832</v>
      </c>
      <c r="C742" t="s">
        <v>833</v>
      </c>
      <c r="D742" t="s">
        <v>449</v>
      </c>
      <c r="E742" t="s">
        <v>842</v>
      </c>
      <c r="F742" t="s">
        <v>201</v>
      </c>
      <c r="G742">
        <v>929820</v>
      </c>
      <c r="H742" t="s">
        <v>415</v>
      </c>
      <c r="I742" s="4">
        <v>270</v>
      </c>
      <c r="J742" s="4">
        <v>114.8364</v>
      </c>
    </row>
    <row r="743" spans="1:10" x14ac:dyDescent="0.35">
      <c r="A743">
        <v>3151272377</v>
      </c>
      <c r="B743" t="s">
        <v>832</v>
      </c>
      <c r="C743" t="s">
        <v>833</v>
      </c>
      <c r="D743" t="s">
        <v>449</v>
      </c>
      <c r="E743" t="s">
        <v>842</v>
      </c>
      <c r="F743" t="s">
        <v>201</v>
      </c>
      <c r="G743">
        <v>929820</v>
      </c>
      <c r="H743" t="s">
        <v>415</v>
      </c>
      <c r="I743" s="4">
        <v>3096</v>
      </c>
      <c r="J743" s="4">
        <v>1316.79072</v>
      </c>
    </row>
    <row r="744" spans="1:10" x14ac:dyDescent="0.35">
      <c r="A744">
        <v>3151272378</v>
      </c>
      <c r="B744" t="s">
        <v>832</v>
      </c>
      <c r="C744" t="s">
        <v>833</v>
      </c>
      <c r="D744" t="s">
        <v>449</v>
      </c>
      <c r="E744" t="s">
        <v>842</v>
      </c>
      <c r="F744" t="s">
        <v>201</v>
      </c>
      <c r="G744">
        <v>929820</v>
      </c>
      <c r="H744" t="s">
        <v>415</v>
      </c>
      <c r="I744" s="4">
        <v>1620</v>
      </c>
      <c r="J744" s="4">
        <v>689.01840000000004</v>
      </c>
    </row>
    <row r="745" spans="1:10" x14ac:dyDescent="0.35">
      <c r="A745">
        <v>3151272379</v>
      </c>
      <c r="B745" t="s">
        <v>832</v>
      </c>
      <c r="C745" t="s">
        <v>833</v>
      </c>
      <c r="D745" t="s">
        <v>449</v>
      </c>
      <c r="E745" t="s">
        <v>842</v>
      </c>
      <c r="F745" t="s">
        <v>201</v>
      </c>
      <c r="G745">
        <v>929820</v>
      </c>
      <c r="H745" t="s">
        <v>415</v>
      </c>
      <c r="I745" s="4">
        <v>630</v>
      </c>
      <c r="J745" s="4">
        <v>267.95159999999998</v>
      </c>
    </row>
    <row r="746" spans="1:10" x14ac:dyDescent="0.35">
      <c r="A746">
        <v>3151272380</v>
      </c>
      <c r="B746" t="s">
        <v>832</v>
      </c>
      <c r="C746" t="s">
        <v>833</v>
      </c>
      <c r="D746" t="s">
        <v>449</v>
      </c>
      <c r="E746" t="s">
        <v>842</v>
      </c>
      <c r="F746" t="s">
        <v>201</v>
      </c>
      <c r="G746">
        <v>929820</v>
      </c>
      <c r="H746" t="s">
        <v>415</v>
      </c>
      <c r="I746" s="4">
        <v>846</v>
      </c>
      <c r="J746" s="4">
        <v>359.82071999999999</v>
      </c>
    </row>
    <row r="747" spans="1:10" x14ac:dyDescent="0.35">
      <c r="A747">
        <v>3151272763</v>
      </c>
      <c r="B747" t="s">
        <v>832</v>
      </c>
      <c r="C747" t="s">
        <v>833</v>
      </c>
      <c r="D747" t="s">
        <v>449</v>
      </c>
      <c r="E747" t="s">
        <v>842</v>
      </c>
      <c r="F747" t="s">
        <v>201</v>
      </c>
      <c r="G747">
        <v>929820</v>
      </c>
      <c r="H747" t="s">
        <v>415</v>
      </c>
      <c r="I747" s="4">
        <v>630</v>
      </c>
      <c r="J747" s="4">
        <v>267.95159999999998</v>
      </c>
    </row>
    <row r="748" spans="1:10" x14ac:dyDescent="0.35">
      <c r="A748">
        <v>3151272764</v>
      </c>
      <c r="B748" t="s">
        <v>832</v>
      </c>
      <c r="C748" t="s">
        <v>833</v>
      </c>
      <c r="D748" t="s">
        <v>449</v>
      </c>
      <c r="E748" t="s">
        <v>842</v>
      </c>
      <c r="F748" t="s">
        <v>201</v>
      </c>
      <c r="G748">
        <v>929820</v>
      </c>
      <c r="H748" t="s">
        <v>415</v>
      </c>
      <c r="I748" s="4">
        <v>1584</v>
      </c>
      <c r="J748" s="4">
        <v>673.70688000000007</v>
      </c>
    </row>
    <row r="749" spans="1:10" x14ac:dyDescent="0.35">
      <c r="A749">
        <v>3151272765</v>
      </c>
      <c r="B749" t="s">
        <v>832</v>
      </c>
      <c r="C749" t="s">
        <v>833</v>
      </c>
      <c r="D749" t="s">
        <v>449</v>
      </c>
      <c r="E749" t="s">
        <v>842</v>
      </c>
      <c r="F749" t="s">
        <v>201</v>
      </c>
      <c r="G749">
        <v>929820</v>
      </c>
      <c r="H749" t="s">
        <v>415</v>
      </c>
      <c r="I749" s="4">
        <v>4338</v>
      </c>
      <c r="J749" s="4">
        <v>1845.0381600000001</v>
      </c>
    </row>
    <row r="750" spans="1:10" x14ac:dyDescent="0.35">
      <c r="A750">
        <v>3151272766</v>
      </c>
      <c r="B750" t="s">
        <v>832</v>
      </c>
      <c r="C750" t="s">
        <v>833</v>
      </c>
      <c r="D750" t="s">
        <v>449</v>
      </c>
      <c r="E750" t="s">
        <v>842</v>
      </c>
      <c r="F750" t="s">
        <v>201</v>
      </c>
      <c r="G750">
        <v>929820</v>
      </c>
      <c r="H750" t="s">
        <v>415</v>
      </c>
      <c r="I750" s="4">
        <v>324</v>
      </c>
      <c r="J750" s="4">
        <v>137.80367999999999</v>
      </c>
    </row>
    <row r="751" spans="1:10" x14ac:dyDescent="0.35">
      <c r="A751">
        <v>3151272767</v>
      </c>
      <c r="B751" t="s">
        <v>832</v>
      </c>
      <c r="C751" t="s">
        <v>833</v>
      </c>
      <c r="D751" t="s">
        <v>449</v>
      </c>
      <c r="E751" t="s">
        <v>842</v>
      </c>
      <c r="F751" t="s">
        <v>201</v>
      </c>
      <c r="G751">
        <v>929820</v>
      </c>
      <c r="H751" t="s">
        <v>415</v>
      </c>
      <c r="I751" s="4">
        <v>378</v>
      </c>
      <c r="J751" s="4">
        <v>160.77096</v>
      </c>
    </row>
    <row r="752" spans="1:10" x14ac:dyDescent="0.35">
      <c r="A752">
        <v>3151272768</v>
      </c>
      <c r="B752" t="s">
        <v>832</v>
      </c>
      <c r="C752" t="s">
        <v>833</v>
      </c>
      <c r="D752" t="s">
        <v>449</v>
      </c>
      <c r="E752" t="s">
        <v>842</v>
      </c>
      <c r="F752" t="s">
        <v>201</v>
      </c>
      <c r="G752">
        <v>929820</v>
      </c>
      <c r="H752" t="s">
        <v>415</v>
      </c>
      <c r="I752" s="4">
        <v>360</v>
      </c>
      <c r="J752" s="4">
        <v>153.11520000000002</v>
      </c>
    </row>
    <row r="753" spans="1:10" x14ac:dyDescent="0.35">
      <c r="A753">
        <v>3151272369</v>
      </c>
      <c r="B753" t="s">
        <v>832</v>
      </c>
      <c r="C753" t="s">
        <v>843</v>
      </c>
      <c r="D753" t="s">
        <v>834</v>
      </c>
      <c r="E753" t="s">
        <v>844</v>
      </c>
      <c r="F753" t="s">
        <v>504</v>
      </c>
      <c r="G753">
        <v>931647</v>
      </c>
      <c r="H753" t="s">
        <v>412</v>
      </c>
      <c r="I753" s="4">
        <v>96</v>
      </c>
      <c r="J753" s="4">
        <v>16.498944000000002</v>
      </c>
    </row>
    <row r="754" spans="1:10" x14ac:dyDescent="0.35">
      <c r="A754">
        <v>3151272370</v>
      </c>
      <c r="B754" t="s">
        <v>832</v>
      </c>
      <c r="C754" t="s">
        <v>843</v>
      </c>
      <c r="D754" t="s">
        <v>834</v>
      </c>
      <c r="E754" t="s">
        <v>844</v>
      </c>
      <c r="F754" t="s">
        <v>504</v>
      </c>
      <c r="G754">
        <v>931647</v>
      </c>
      <c r="H754" t="s">
        <v>412</v>
      </c>
      <c r="I754" s="4">
        <v>96</v>
      </c>
      <c r="J754" s="4">
        <v>16.498944000000002</v>
      </c>
    </row>
    <row r="755" spans="1:10" x14ac:dyDescent="0.35">
      <c r="A755">
        <v>3151272371</v>
      </c>
      <c r="B755" t="s">
        <v>832</v>
      </c>
      <c r="C755" t="s">
        <v>843</v>
      </c>
      <c r="D755" t="s">
        <v>834</v>
      </c>
      <c r="E755" t="s">
        <v>844</v>
      </c>
      <c r="F755" t="s">
        <v>504</v>
      </c>
      <c r="G755">
        <v>931647</v>
      </c>
      <c r="H755" t="s">
        <v>412</v>
      </c>
      <c r="I755" s="4">
        <v>240</v>
      </c>
      <c r="J755" s="4">
        <v>41.24736</v>
      </c>
    </row>
    <row r="756" spans="1:10" x14ac:dyDescent="0.35">
      <c r="A756">
        <v>3151272372</v>
      </c>
      <c r="B756" t="s">
        <v>832</v>
      </c>
      <c r="C756" t="s">
        <v>843</v>
      </c>
      <c r="D756" t="s">
        <v>834</v>
      </c>
      <c r="E756" t="s">
        <v>844</v>
      </c>
      <c r="F756" t="s">
        <v>504</v>
      </c>
      <c r="G756">
        <v>931647</v>
      </c>
      <c r="H756" t="s">
        <v>412</v>
      </c>
      <c r="I756" s="4">
        <v>144</v>
      </c>
      <c r="J756" s="4">
        <v>24.748416000000002</v>
      </c>
    </row>
    <row r="757" spans="1:10" x14ac:dyDescent="0.35">
      <c r="A757">
        <v>3151272373</v>
      </c>
      <c r="B757" t="s">
        <v>832</v>
      </c>
      <c r="C757" t="s">
        <v>843</v>
      </c>
      <c r="D757" t="s">
        <v>834</v>
      </c>
      <c r="E757" t="s">
        <v>844</v>
      </c>
      <c r="F757" t="s">
        <v>504</v>
      </c>
      <c r="G757">
        <v>931647</v>
      </c>
      <c r="H757" t="s">
        <v>412</v>
      </c>
      <c r="I757" s="4">
        <v>288</v>
      </c>
      <c r="J757" s="4">
        <v>49.496832000000005</v>
      </c>
    </row>
    <row r="758" spans="1:10" x14ac:dyDescent="0.35">
      <c r="A758">
        <v>3151272374</v>
      </c>
      <c r="B758" t="s">
        <v>832</v>
      </c>
      <c r="C758" t="s">
        <v>843</v>
      </c>
      <c r="D758" t="s">
        <v>834</v>
      </c>
      <c r="E758" t="s">
        <v>844</v>
      </c>
      <c r="F758" t="s">
        <v>504</v>
      </c>
      <c r="G758">
        <v>931647</v>
      </c>
      <c r="H758" t="s">
        <v>412</v>
      </c>
      <c r="I758" s="4">
        <v>192</v>
      </c>
      <c r="J758" s="4">
        <v>32.997888000000003</v>
      </c>
    </row>
    <row r="759" spans="1:10" x14ac:dyDescent="0.35">
      <c r="A759">
        <v>3151272370</v>
      </c>
      <c r="B759" t="s">
        <v>832</v>
      </c>
      <c r="C759" t="s">
        <v>843</v>
      </c>
      <c r="D759" t="s">
        <v>836</v>
      </c>
      <c r="E759" t="s">
        <v>845</v>
      </c>
      <c r="F759" t="s">
        <v>504</v>
      </c>
      <c r="G759">
        <v>931650</v>
      </c>
      <c r="H759" t="s">
        <v>433</v>
      </c>
      <c r="I759" s="4">
        <v>280</v>
      </c>
      <c r="J759" s="4">
        <v>14.714840000000001</v>
      </c>
    </row>
    <row r="760" spans="1:10" x14ac:dyDescent="0.35">
      <c r="A760">
        <v>3151272371</v>
      </c>
      <c r="B760" t="s">
        <v>832</v>
      </c>
      <c r="C760" t="s">
        <v>843</v>
      </c>
      <c r="D760" t="s">
        <v>836</v>
      </c>
      <c r="E760" t="s">
        <v>845</v>
      </c>
      <c r="F760" t="s">
        <v>504</v>
      </c>
      <c r="G760">
        <v>931650</v>
      </c>
      <c r="H760" t="s">
        <v>433</v>
      </c>
      <c r="I760" s="4">
        <v>1400</v>
      </c>
      <c r="J760" s="4">
        <v>73.574200000000005</v>
      </c>
    </row>
    <row r="761" spans="1:10" x14ac:dyDescent="0.35">
      <c r="A761">
        <v>3151272373</v>
      </c>
      <c r="B761" t="s">
        <v>832</v>
      </c>
      <c r="C761" t="s">
        <v>843</v>
      </c>
      <c r="D761" t="s">
        <v>836</v>
      </c>
      <c r="E761" t="s">
        <v>845</v>
      </c>
      <c r="F761" t="s">
        <v>504</v>
      </c>
      <c r="G761">
        <v>931650</v>
      </c>
      <c r="H761" t="s">
        <v>433</v>
      </c>
      <c r="I761" s="4">
        <v>280</v>
      </c>
      <c r="J761" s="4">
        <v>14.714840000000001</v>
      </c>
    </row>
    <row r="762" spans="1:10" x14ac:dyDescent="0.35">
      <c r="A762">
        <v>3151272770</v>
      </c>
      <c r="B762" t="s">
        <v>832</v>
      </c>
      <c r="C762" t="s">
        <v>843</v>
      </c>
      <c r="D762" t="s">
        <v>836</v>
      </c>
      <c r="E762" t="s">
        <v>845</v>
      </c>
      <c r="F762" t="s">
        <v>504</v>
      </c>
      <c r="G762">
        <v>931650</v>
      </c>
      <c r="H762" t="s">
        <v>433</v>
      </c>
      <c r="I762" s="4">
        <v>140</v>
      </c>
      <c r="J762" s="4">
        <v>7.3574200000000003</v>
      </c>
    </row>
    <row r="763" spans="1:10" x14ac:dyDescent="0.35">
      <c r="A763">
        <v>3251165702</v>
      </c>
      <c r="B763" t="s">
        <v>832</v>
      </c>
      <c r="C763" t="s">
        <v>843</v>
      </c>
      <c r="D763" t="s">
        <v>836</v>
      </c>
      <c r="E763" t="s">
        <v>845</v>
      </c>
      <c r="F763" t="s">
        <v>504</v>
      </c>
      <c r="G763">
        <v>931650</v>
      </c>
      <c r="H763" t="s">
        <v>433</v>
      </c>
      <c r="I763" s="4">
        <v>140</v>
      </c>
      <c r="J763" s="4">
        <v>7.3574200000000003</v>
      </c>
    </row>
    <row r="764" spans="1:10" x14ac:dyDescent="0.35">
      <c r="A764">
        <v>3251165702</v>
      </c>
      <c r="B764" t="s">
        <v>832</v>
      </c>
      <c r="C764" t="s">
        <v>843</v>
      </c>
      <c r="D764" t="s">
        <v>838</v>
      </c>
      <c r="E764" t="s">
        <v>846</v>
      </c>
      <c r="F764" t="s">
        <v>504</v>
      </c>
      <c r="G764">
        <v>931649</v>
      </c>
      <c r="H764" t="s">
        <v>412</v>
      </c>
      <c r="I764" s="4">
        <v>70</v>
      </c>
      <c r="J764" s="4">
        <v>8.0203199999999999</v>
      </c>
    </row>
    <row r="765" spans="1:10" x14ac:dyDescent="0.35">
      <c r="A765">
        <v>3151272369</v>
      </c>
      <c r="B765" t="s">
        <v>832</v>
      </c>
      <c r="C765" t="s">
        <v>843</v>
      </c>
      <c r="D765" t="s">
        <v>840</v>
      </c>
      <c r="E765" t="s">
        <v>847</v>
      </c>
      <c r="F765" t="s">
        <v>504</v>
      </c>
      <c r="G765">
        <v>931645</v>
      </c>
      <c r="H765" t="s">
        <v>415</v>
      </c>
      <c r="I765" s="4">
        <v>24</v>
      </c>
      <c r="J765" s="4">
        <v>7.4995200000000004</v>
      </c>
    </row>
    <row r="766" spans="1:10" x14ac:dyDescent="0.35">
      <c r="A766">
        <v>3151272773</v>
      </c>
      <c r="B766" t="s">
        <v>832</v>
      </c>
      <c r="C766" t="s">
        <v>843</v>
      </c>
      <c r="D766" t="s">
        <v>840</v>
      </c>
      <c r="E766" t="s">
        <v>847</v>
      </c>
      <c r="F766" t="s">
        <v>504</v>
      </c>
      <c r="G766">
        <v>931645</v>
      </c>
      <c r="H766" t="s">
        <v>415</v>
      </c>
      <c r="I766" s="4">
        <v>24</v>
      </c>
      <c r="J766" s="4">
        <v>7.4995200000000004</v>
      </c>
    </row>
    <row r="767" spans="1:10" x14ac:dyDescent="0.35">
      <c r="A767">
        <v>3151272370</v>
      </c>
      <c r="B767" t="s">
        <v>832</v>
      </c>
      <c r="C767" t="s">
        <v>843</v>
      </c>
      <c r="D767" t="s">
        <v>449</v>
      </c>
      <c r="E767" t="s">
        <v>848</v>
      </c>
      <c r="F767" t="s">
        <v>504</v>
      </c>
      <c r="G767">
        <v>931644</v>
      </c>
      <c r="H767" t="s">
        <v>415</v>
      </c>
      <c r="I767" s="4">
        <v>54</v>
      </c>
      <c r="J767" s="4">
        <v>22.967279999999999</v>
      </c>
    </row>
    <row r="768" spans="1:10" x14ac:dyDescent="0.35">
      <c r="A768">
        <v>3151272371</v>
      </c>
      <c r="B768" t="s">
        <v>832</v>
      </c>
      <c r="C768" t="s">
        <v>843</v>
      </c>
      <c r="D768" t="s">
        <v>449</v>
      </c>
      <c r="E768" t="s">
        <v>848</v>
      </c>
      <c r="F768" t="s">
        <v>504</v>
      </c>
      <c r="G768">
        <v>931644</v>
      </c>
      <c r="H768" t="s">
        <v>415</v>
      </c>
      <c r="I768" s="4">
        <v>1458</v>
      </c>
      <c r="J768" s="4">
        <v>620.11655999999994</v>
      </c>
    </row>
    <row r="769" spans="1:10" x14ac:dyDescent="0.35">
      <c r="A769">
        <v>3151272373</v>
      </c>
      <c r="B769" t="s">
        <v>832</v>
      </c>
      <c r="C769" t="s">
        <v>843</v>
      </c>
      <c r="D769" t="s">
        <v>449</v>
      </c>
      <c r="E769" t="s">
        <v>848</v>
      </c>
      <c r="F769" t="s">
        <v>504</v>
      </c>
      <c r="G769">
        <v>931644</v>
      </c>
      <c r="H769" t="s">
        <v>415</v>
      </c>
      <c r="I769" s="4">
        <v>288</v>
      </c>
      <c r="J769" s="4">
        <v>122.49216000000001</v>
      </c>
    </row>
    <row r="770" spans="1:10" x14ac:dyDescent="0.35">
      <c r="A770">
        <v>3151272374</v>
      </c>
      <c r="B770" t="s">
        <v>832</v>
      </c>
      <c r="C770" t="s">
        <v>843</v>
      </c>
      <c r="D770" t="s">
        <v>449</v>
      </c>
      <c r="E770" t="s">
        <v>848</v>
      </c>
      <c r="F770" t="s">
        <v>504</v>
      </c>
      <c r="G770">
        <v>931644</v>
      </c>
      <c r="H770" t="s">
        <v>415</v>
      </c>
      <c r="I770" s="4">
        <v>18</v>
      </c>
      <c r="J770" s="4">
        <v>7.6557600000000008</v>
      </c>
    </row>
    <row r="771" spans="1:10" x14ac:dyDescent="0.35">
      <c r="A771">
        <v>3151272769</v>
      </c>
      <c r="B771" t="s">
        <v>832</v>
      </c>
      <c r="C771" t="s">
        <v>843</v>
      </c>
      <c r="D771" t="s">
        <v>449</v>
      </c>
      <c r="E771" t="s">
        <v>848</v>
      </c>
      <c r="F771" t="s">
        <v>504</v>
      </c>
      <c r="G771">
        <v>931644</v>
      </c>
      <c r="H771" t="s">
        <v>415</v>
      </c>
      <c r="I771" s="4">
        <v>36</v>
      </c>
      <c r="J771" s="4">
        <v>15.311520000000002</v>
      </c>
    </row>
    <row r="772" spans="1:10" x14ac:dyDescent="0.35">
      <c r="A772">
        <v>3151272770</v>
      </c>
      <c r="B772" t="s">
        <v>832</v>
      </c>
      <c r="C772" t="s">
        <v>843</v>
      </c>
      <c r="D772" t="s">
        <v>449</v>
      </c>
      <c r="E772" t="s">
        <v>848</v>
      </c>
      <c r="F772" t="s">
        <v>504</v>
      </c>
      <c r="G772">
        <v>931644</v>
      </c>
      <c r="H772" t="s">
        <v>415</v>
      </c>
      <c r="I772" s="4">
        <v>72</v>
      </c>
      <c r="J772" s="4">
        <v>30.623040000000003</v>
      </c>
    </row>
    <row r="773" spans="1:10" x14ac:dyDescent="0.35">
      <c r="A773">
        <v>3151272772</v>
      </c>
      <c r="B773" t="s">
        <v>832</v>
      </c>
      <c r="C773" t="s">
        <v>843</v>
      </c>
      <c r="D773" t="s">
        <v>449</v>
      </c>
      <c r="E773" t="s">
        <v>848</v>
      </c>
      <c r="F773" t="s">
        <v>504</v>
      </c>
      <c r="G773">
        <v>931644</v>
      </c>
      <c r="H773" t="s">
        <v>415</v>
      </c>
      <c r="I773" s="4">
        <v>36</v>
      </c>
      <c r="J773" s="4">
        <v>15.311520000000002</v>
      </c>
    </row>
    <row r="774" spans="1:10" x14ac:dyDescent="0.35">
      <c r="A774">
        <v>3151272773</v>
      </c>
      <c r="B774" t="s">
        <v>832</v>
      </c>
      <c r="C774" t="s">
        <v>843</v>
      </c>
      <c r="D774" t="s">
        <v>449</v>
      </c>
      <c r="E774" t="s">
        <v>848</v>
      </c>
      <c r="F774" t="s">
        <v>504</v>
      </c>
      <c r="G774">
        <v>931644</v>
      </c>
      <c r="H774" t="s">
        <v>415</v>
      </c>
      <c r="I774" s="4">
        <v>36</v>
      </c>
      <c r="J774" s="4">
        <v>15.311520000000002</v>
      </c>
    </row>
    <row r="775" spans="1:10" x14ac:dyDescent="0.35">
      <c r="A775">
        <v>3151272774</v>
      </c>
      <c r="B775" t="s">
        <v>832</v>
      </c>
      <c r="C775" t="s">
        <v>843</v>
      </c>
      <c r="D775" t="s">
        <v>449</v>
      </c>
      <c r="E775" t="s">
        <v>848</v>
      </c>
      <c r="F775" t="s">
        <v>504</v>
      </c>
      <c r="G775">
        <v>931644</v>
      </c>
      <c r="H775" t="s">
        <v>415</v>
      </c>
      <c r="I775" s="4">
        <v>180</v>
      </c>
      <c r="J775" s="4">
        <v>76.557600000000008</v>
      </c>
    </row>
    <row r="776" spans="1:10" x14ac:dyDescent="0.35">
      <c r="A776">
        <v>3151272369</v>
      </c>
      <c r="B776" t="s">
        <v>832</v>
      </c>
      <c r="C776" t="s">
        <v>849</v>
      </c>
      <c r="D776" t="s">
        <v>834</v>
      </c>
      <c r="E776" t="s">
        <v>844</v>
      </c>
      <c r="F776" t="s">
        <v>850</v>
      </c>
      <c r="G776">
        <v>931655</v>
      </c>
      <c r="H776" t="s">
        <v>412</v>
      </c>
      <c r="I776" s="4">
        <v>192</v>
      </c>
      <c r="J776" s="4">
        <v>32.997888000000003</v>
      </c>
    </row>
    <row r="777" spans="1:10" x14ac:dyDescent="0.35">
      <c r="A777">
        <v>3151272371</v>
      </c>
      <c r="B777" t="s">
        <v>832</v>
      </c>
      <c r="C777" t="s">
        <v>849</v>
      </c>
      <c r="D777" t="s">
        <v>834</v>
      </c>
      <c r="E777" t="s">
        <v>844</v>
      </c>
      <c r="F777" t="s">
        <v>850</v>
      </c>
      <c r="G777">
        <v>931655</v>
      </c>
      <c r="H777" t="s">
        <v>412</v>
      </c>
      <c r="I777" s="4">
        <v>768</v>
      </c>
      <c r="J777" s="4">
        <v>131.99155200000001</v>
      </c>
    </row>
    <row r="778" spans="1:10" x14ac:dyDescent="0.35">
      <c r="A778">
        <v>3151272372</v>
      </c>
      <c r="B778" t="s">
        <v>832</v>
      </c>
      <c r="C778" t="s">
        <v>849</v>
      </c>
      <c r="D778" t="s">
        <v>834</v>
      </c>
      <c r="E778" t="s">
        <v>844</v>
      </c>
      <c r="F778" t="s">
        <v>850</v>
      </c>
      <c r="G778">
        <v>931655</v>
      </c>
      <c r="H778" t="s">
        <v>412</v>
      </c>
      <c r="I778" s="4">
        <v>144</v>
      </c>
      <c r="J778" s="4">
        <v>24.748416000000002</v>
      </c>
    </row>
    <row r="779" spans="1:10" x14ac:dyDescent="0.35">
      <c r="A779">
        <v>3151272373</v>
      </c>
      <c r="B779" t="s">
        <v>832</v>
      </c>
      <c r="C779" t="s">
        <v>849</v>
      </c>
      <c r="D779" t="s">
        <v>834</v>
      </c>
      <c r="E779" t="s">
        <v>844</v>
      </c>
      <c r="F779" t="s">
        <v>850</v>
      </c>
      <c r="G779">
        <v>931655</v>
      </c>
      <c r="H779" t="s">
        <v>412</v>
      </c>
      <c r="I779" s="4">
        <v>480</v>
      </c>
      <c r="J779" s="4">
        <v>82.494720000000001</v>
      </c>
    </row>
    <row r="780" spans="1:10" x14ac:dyDescent="0.35">
      <c r="A780">
        <v>3151272769</v>
      </c>
      <c r="B780" t="s">
        <v>832</v>
      </c>
      <c r="C780" t="s">
        <v>849</v>
      </c>
      <c r="D780" t="s">
        <v>834</v>
      </c>
      <c r="E780" t="s">
        <v>844</v>
      </c>
      <c r="F780" t="s">
        <v>850</v>
      </c>
      <c r="G780">
        <v>931655</v>
      </c>
      <c r="H780" t="s">
        <v>412</v>
      </c>
      <c r="I780" s="4">
        <v>48</v>
      </c>
      <c r="J780" s="4">
        <v>8.2494720000000008</v>
      </c>
    </row>
    <row r="781" spans="1:10" x14ac:dyDescent="0.35">
      <c r="A781">
        <v>3151272770</v>
      </c>
      <c r="B781" t="s">
        <v>832</v>
      </c>
      <c r="C781" t="s">
        <v>849</v>
      </c>
      <c r="D781" t="s">
        <v>834</v>
      </c>
      <c r="E781" t="s">
        <v>844</v>
      </c>
      <c r="F781" t="s">
        <v>850</v>
      </c>
      <c r="G781">
        <v>931655</v>
      </c>
      <c r="H781" t="s">
        <v>412</v>
      </c>
      <c r="I781" s="4">
        <v>96</v>
      </c>
      <c r="J781" s="4">
        <v>16.498944000000002</v>
      </c>
    </row>
    <row r="782" spans="1:10" x14ac:dyDescent="0.35">
      <c r="A782">
        <v>3151272772</v>
      </c>
      <c r="B782" t="s">
        <v>832</v>
      </c>
      <c r="C782" t="s">
        <v>849</v>
      </c>
      <c r="D782" t="s">
        <v>834</v>
      </c>
      <c r="E782" t="s">
        <v>844</v>
      </c>
      <c r="F782" t="s">
        <v>850</v>
      </c>
      <c r="G782">
        <v>931655</v>
      </c>
      <c r="H782" t="s">
        <v>412</v>
      </c>
      <c r="I782" s="4">
        <v>96</v>
      </c>
      <c r="J782" s="4">
        <v>16.498944000000002</v>
      </c>
    </row>
    <row r="783" spans="1:10" x14ac:dyDescent="0.35">
      <c r="A783">
        <v>3151272773</v>
      </c>
      <c r="B783" t="s">
        <v>832</v>
      </c>
      <c r="C783" t="s">
        <v>849</v>
      </c>
      <c r="D783" t="s">
        <v>834</v>
      </c>
      <c r="E783" t="s">
        <v>844</v>
      </c>
      <c r="F783" t="s">
        <v>850</v>
      </c>
      <c r="G783">
        <v>931655</v>
      </c>
      <c r="H783" t="s">
        <v>412</v>
      </c>
      <c r="I783" s="4">
        <v>144</v>
      </c>
      <c r="J783" s="4">
        <v>24.748416000000002</v>
      </c>
    </row>
    <row r="784" spans="1:10" x14ac:dyDescent="0.35">
      <c r="A784">
        <v>3151272774</v>
      </c>
      <c r="B784" t="s">
        <v>832</v>
      </c>
      <c r="C784" t="s">
        <v>849</v>
      </c>
      <c r="D784" t="s">
        <v>834</v>
      </c>
      <c r="E784" t="s">
        <v>844</v>
      </c>
      <c r="F784" t="s">
        <v>850</v>
      </c>
      <c r="G784">
        <v>931655</v>
      </c>
      <c r="H784" t="s">
        <v>412</v>
      </c>
      <c r="I784" s="4">
        <v>96</v>
      </c>
      <c r="J784" s="4">
        <v>16.498944000000002</v>
      </c>
    </row>
    <row r="785" spans="1:10" x14ac:dyDescent="0.35">
      <c r="A785">
        <v>3151272370</v>
      </c>
      <c r="B785" t="s">
        <v>832</v>
      </c>
      <c r="C785" t="s">
        <v>849</v>
      </c>
      <c r="D785" t="s">
        <v>836</v>
      </c>
      <c r="E785" t="s">
        <v>845</v>
      </c>
      <c r="F785" t="s">
        <v>850</v>
      </c>
      <c r="G785">
        <v>931662</v>
      </c>
      <c r="H785" t="s">
        <v>433</v>
      </c>
      <c r="I785" s="4">
        <v>560</v>
      </c>
      <c r="J785" s="4">
        <v>29.429680000000001</v>
      </c>
    </row>
    <row r="786" spans="1:10" x14ac:dyDescent="0.35">
      <c r="A786">
        <v>3151272371</v>
      </c>
      <c r="B786" t="s">
        <v>832</v>
      </c>
      <c r="C786" t="s">
        <v>849</v>
      </c>
      <c r="D786" t="s">
        <v>836</v>
      </c>
      <c r="E786" t="s">
        <v>845</v>
      </c>
      <c r="F786" t="s">
        <v>850</v>
      </c>
      <c r="G786">
        <v>931662</v>
      </c>
      <c r="H786" t="s">
        <v>433</v>
      </c>
      <c r="I786" s="4">
        <v>2800</v>
      </c>
      <c r="J786" s="4">
        <v>147.14840000000001</v>
      </c>
    </row>
    <row r="787" spans="1:10" x14ac:dyDescent="0.35">
      <c r="A787">
        <v>3151272372</v>
      </c>
      <c r="B787" t="s">
        <v>832</v>
      </c>
      <c r="C787" t="s">
        <v>849</v>
      </c>
      <c r="D787" t="s">
        <v>836</v>
      </c>
      <c r="E787" t="s">
        <v>845</v>
      </c>
      <c r="F787" t="s">
        <v>850</v>
      </c>
      <c r="G787">
        <v>931662</v>
      </c>
      <c r="H787" t="s">
        <v>433</v>
      </c>
      <c r="I787" s="4">
        <v>840</v>
      </c>
      <c r="J787" s="4">
        <v>44.14452</v>
      </c>
    </row>
    <row r="788" spans="1:10" x14ac:dyDescent="0.35">
      <c r="A788">
        <v>3151272373</v>
      </c>
      <c r="B788" t="s">
        <v>832</v>
      </c>
      <c r="C788" t="s">
        <v>849</v>
      </c>
      <c r="D788" t="s">
        <v>836</v>
      </c>
      <c r="E788" t="s">
        <v>845</v>
      </c>
      <c r="F788" t="s">
        <v>850</v>
      </c>
      <c r="G788">
        <v>931662</v>
      </c>
      <c r="H788" t="s">
        <v>433</v>
      </c>
      <c r="I788" s="4">
        <v>2100</v>
      </c>
      <c r="J788" s="4">
        <v>110.36129999999999</v>
      </c>
    </row>
    <row r="789" spans="1:10" x14ac:dyDescent="0.35">
      <c r="A789">
        <v>3151272374</v>
      </c>
      <c r="B789" t="s">
        <v>832</v>
      </c>
      <c r="C789" t="s">
        <v>849</v>
      </c>
      <c r="D789" t="s">
        <v>836</v>
      </c>
      <c r="E789" t="s">
        <v>845</v>
      </c>
      <c r="F789" t="s">
        <v>850</v>
      </c>
      <c r="G789">
        <v>931662</v>
      </c>
      <c r="H789" t="s">
        <v>433</v>
      </c>
      <c r="I789" s="4">
        <v>980</v>
      </c>
      <c r="J789" s="4">
        <v>51.501939999999998</v>
      </c>
    </row>
    <row r="790" spans="1:10" x14ac:dyDescent="0.35">
      <c r="A790">
        <v>3151272770</v>
      </c>
      <c r="B790" t="s">
        <v>832</v>
      </c>
      <c r="C790" t="s">
        <v>849</v>
      </c>
      <c r="D790" t="s">
        <v>836</v>
      </c>
      <c r="E790" t="s">
        <v>845</v>
      </c>
      <c r="F790" t="s">
        <v>850</v>
      </c>
      <c r="G790">
        <v>931662</v>
      </c>
      <c r="H790" t="s">
        <v>433</v>
      </c>
      <c r="I790" s="4">
        <v>420</v>
      </c>
      <c r="J790" s="4">
        <v>22.07226</v>
      </c>
    </row>
    <row r="791" spans="1:10" x14ac:dyDescent="0.35">
      <c r="A791">
        <v>3151272773</v>
      </c>
      <c r="B791" t="s">
        <v>832</v>
      </c>
      <c r="C791" t="s">
        <v>849</v>
      </c>
      <c r="D791" t="s">
        <v>836</v>
      </c>
      <c r="E791" t="s">
        <v>845</v>
      </c>
      <c r="F791" t="s">
        <v>850</v>
      </c>
      <c r="G791">
        <v>931662</v>
      </c>
      <c r="H791" t="s">
        <v>433</v>
      </c>
      <c r="I791" s="4">
        <v>140</v>
      </c>
      <c r="J791" s="4">
        <v>7.3574200000000003</v>
      </c>
    </row>
    <row r="792" spans="1:10" x14ac:dyDescent="0.35">
      <c r="A792">
        <v>3251165702</v>
      </c>
      <c r="B792" t="s">
        <v>832</v>
      </c>
      <c r="C792" t="s">
        <v>849</v>
      </c>
      <c r="D792" t="s">
        <v>836</v>
      </c>
      <c r="E792" t="s">
        <v>845</v>
      </c>
      <c r="F792" t="s">
        <v>850</v>
      </c>
      <c r="G792">
        <v>931662</v>
      </c>
      <c r="H792" t="s">
        <v>433</v>
      </c>
      <c r="I792" s="4">
        <v>140</v>
      </c>
      <c r="J792" s="4">
        <v>7.3574200000000003</v>
      </c>
    </row>
    <row r="793" spans="1:10" x14ac:dyDescent="0.35">
      <c r="A793">
        <v>3151272369</v>
      </c>
      <c r="B793" t="s">
        <v>832</v>
      </c>
      <c r="C793" t="s">
        <v>849</v>
      </c>
      <c r="D793" t="s">
        <v>838</v>
      </c>
      <c r="E793" t="s">
        <v>846</v>
      </c>
      <c r="F793" t="s">
        <v>850</v>
      </c>
      <c r="G793">
        <v>931657</v>
      </c>
      <c r="H793" t="s">
        <v>412</v>
      </c>
      <c r="I793" s="4">
        <v>490</v>
      </c>
      <c r="J793" s="4">
        <v>56.142240000000001</v>
      </c>
    </row>
    <row r="794" spans="1:10" x14ac:dyDescent="0.35">
      <c r="A794">
        <v>3151272371</v>
      </c>
      <c r="B794" t="s">
        <v>832</v>
      </c>
      <c r="C794" t="s">
        <v>849</v>
      </c>
      <c r="D794" t="s">
        <v>838</v>
      </c>
      <c r="E794" t="s">
        <v>846</v>
      </c>
      <c r="F794" t="s">
        <v>850</v>
      </c>
      <c r="G794">
        <v>931657</v>
      </c>
      <c r="H794" t="s">
        <v>412</v>
      </c>
      <c r="I794" s="4">
        <v>6720</v>
      </c>
      <c r="J794" s="4">
        <v>769.95071999999993</v>
      </c>
    </row>
    <row r="795" spans="1:10" x14ac:dyDescent="0.35">
      <c r="A795">
        <v>3151272372</v>
      </c>
      <c r="B795" t="s">
        <v>832</v>
      </c>
      <c r="C795" t="s">
        <v>849</v>
      </c>
      <c r="D795" t="s">
        <v>838</v>
      </c>
      <c r="E795" t="s">
        <v>846</v>
      </c>
      <c r="F795" t="s">
        <v>850</v>
      </c>
      <c r="G795">
        <v>931657</v>
      </c>
      <c r="H795" t="s">
        <v>412</v>
      </c>
      <c r="I795" s="4">
        <v>1470</v>
      </c>
      <c r="J795" s="4">
        <v>168.42672000000002</v>
      </c>
    </row>
    <row r="796" spans="1:10" x14ac:dyDescent="0.35">
      <c r="A796">
        <v>3151272373</v>
      </c>
      <c r="B796" t="s">
        <v>832</v>
      </c>
      <c r="C796" t="s">
        <v>849</v>
      </c>
      <c r="D796" t="s">
        <v>838</v>
      </c>
      <c r="E796" t="s">
        <v>846</v>
      </c>
      <c r="F796" t="s">
        <v>850</v>
      </c>
      <c r="G796">
        <v>931657</v>
      </c>
      <c r="H796" t="s">
        <v>412</v>
      </c>
      <c r="I796" s="4">
        <v>3010</v>
      </c>
      <c r="J796" s="4">
        <v>344.87375999999995</v>
      </c>
    </row>
    <row r="797" spans="1:10" x14ac:dyDescent="0.35">
      <c r="A797">
        <v>3151272374</v>
      </c>
      <c r="B797" t="s">
        <v>832</v>
      </c>
      <c r="C797" t="s">
        <v>849</v>
      </c>
      <c r="D797" t="s">
        <v>838</v>
      </c>
      <c r="E797" t="s">
        <v>846</v>
      </c>
      <c r="F797" t="s">
        <v>850</v>
      </c>
      <c r="G797">
        <v>931657</v>
      </c>
      <c r="H797" t="s">
        <v>412</v>
      </c>
      <c r="I797" s="4">
        <v>1890</v>
      </c>
      <c r="J797" s="4">
        <v>216.54863999999998</v>
      </c>
    </row>
    <row r="798" spans="1:10" x14ac:dyDescent="0.35">
      <c r="A798">
        <v>3151272769</v>
      </c>
      <c r="B798" t="s">
        <v>832</v>
      </c>
      <c r="C798" t="s">
        <v>849</v>
      </c>
      <c r="D798" t="s">
        <v>838</v>
      </c>
      <c r="E798" t="s">
        <v>846</v>
      </c>
      <c r="F798" t="s">
        <v>850</v>
      </c>
      <c r="G798">
        <v>931657</v>
      </c>
      <c r="H798" t="s">
        <v>412</v>
      </c>
      <c r="I798" s="4">
        <v>140</v>
      </c>
      <c r="J798" s="4">
        <v>16.04064</v>
      </c>
    </row>
    <row r="799" spans="1:10" x14ac:dyDescent="0.35">
      <c r="A799">
        <v>3151272770</v>
      </c>
      <c r="B799" t="s">
        <v>832</v>
      </c>
      <c r="C799" t="s">
        <v>849</v>
      </c>
      <c r="D799" t="s">
        <v>838</v>
      </c>
      <c r="E799" t="s">
        <v>846</v>
      </c>
      <c r="F799" t="s">
        <v>850</v>
      </c>
      <c r="G799">
        <v>931657</v>
      </c>
      <c r="H799" t="s">
        <v>412</v>
      </c>
      <c r="I799" s="4">
        <v>490</v>
      </c>
      <c r="J799" s="4">
        <v>56.142240000000001</v>
      </c>
    </row>
    <row r="800" spans="1:10" x14ac:dyDescent="0.35">
      <c r="A800">
        <v>3151272771</v>
      </c>
      <c r="B800" t="s">
        <v>832</v>
      </c>
      <c r="C800" t="s">
        <v>849</v>
      </c>
      <c r="D800" t="s">
        <v>838</v>
      </c>
      <c r="E800" t="s">
        <v>846</v>
      </c>
      <c r="F800" t="s">
        <v>850</v>
      </c>
      <c r="G800">
        <v>931657</v>
      </c>
      <c r="H800" t="s">
        <v>412</v>
      </c>
      <c r="I800" s="4">
        <v>700</v>
      </c>
      <c r="J800" s="4">
        <v>80.203199999999995</v>
      </c>
    </row>
    <row r="801" spans="1:10" x14ac:dyDescent="0.35">
      <c r="A801">
        <v>3151272772</v>
      </c>
      <c r="B801" t="s">
        <v>832</v>
      </c>
      <c r="C801" t="s">
        <v>849</v>
      </c>
      <c r="D801" t="s">
        <v>838</v>
      </c>
      <c r="E801" t="s">
        <v>846</v>
      </c>
      <c r="F801" t="s">
        <v>850</v>
      </c>
      <c r="G801">
        <v>931657</v>
      </c>
      <c r="H801" t="s">
        <v>412</v>
      </c>
      <c r="I801" s="4">
        <v>490</v>
      </c>
      <c r="J801" s="4">
        <v>56.142240000000001</v>
      </c>
    </row>
    <row r="802" spans="1:10" x14ac:dyDescent="0.35">
      <c r="A802">
        <v>3151272773</v>
      </c>
      <c r="B802" t="s">
        <v>832</v>
      </c>
      <c r="C802" t="s">
        <v>849</v>
      </c>
      <c r="D802" t="s">
        <v>838</v>
      </c>
      <c r="E802" t="s">
        <v>846</v>
      </c>
      <c r="F802" t="s">
        <v>850</v>
      </c>
      <c r="G802">
        <v>931657</v>
      </c>
      <c r="H802" t="s">
        <v>412</v>
      </c>
      <c r="I802" s="4">
        <v>980</v>
      </c>
      <c r="J802" s="4">
        <v>112.28448</v>
      </c>
    </row>
    <row r="803" spans="1:10" x14ac:dyDescent="0.35">
      <c r="A803">
        <v>3151272774</v>
      </c>
      <c r="B803" t="s">
        <v>832</v>
      </c>
      <c r="C803" t="s">
        <v>849</v>
      </c>
      <c r="D803" t="s">
        <v>838</v>
      </c>
      <c r="E803" t="s">
        <v>846</v>
      </c>
      <c r="F803" t="s">
        <v>850</v>
      </c>
      <c r="G803">
        <v>931657</v>
      </c>
      <c r="H803" t="s">
        <v>412</v>
      </c>
      <c r="I803" s="4">
        <v>910</v>
      </c>
      <c r="J803" s="4">
        <v>104.26415999999999</v>
      </c>
    </row>
    <row r="804" spans="1:10" x14ac:dyDescent="0.35">
      <c r="A804">
        <v>3251165702</v>
      </c>
      <c r="B804" t="s">
        <v>832</v>
      </c>
      <c r="C804" t="s">
        <v>849</v>
      </c>
      <c r="D804" t="s">
        <v>838</v>
      </c>
      <c r="E804" t="s">
        <v>846</v>
      </c>
      <c r="F804" t="s">
        <v>850</v>
      </c>
      <c r="G804">
        <v>931657</v>
      </c>
      <c r="H804" t="s">
        <v>412</v>
      </c>
      <c r="I804" s="4">
        <v>70</v>
      </c>
      <c r="J804" s="4">
        <v>8.0203199999999999</v>
      </c>
    </row>
    <row r="805" spans="1:10" x14ac:dyDescent="0.35">
      <c r="A805">
        <v>3151272371</v>
      </c>
      <c r="B805" t="s">
        <v>832</v>
      </c>
      <c r="C805" t="s">
        <v>849</v>
      </c>
      <c r="D805" t="s">
        <v>840</v>
      </c>
      <c r="E805" t="s">
        <v>847</v>
      </c>
      <c r="F805" t="s">
        <v>850</v>
      </c>
      <c r="G805">
        <v>931652</v>
      </c>
      <c r="H805" t="s">
        <v>415</v>
      </c>
      <c r="I805" s="4">
        <v>1848</v>
      </c>
      <c r="J805" s="4">
        <v>577.46304000000009</v>
      </c>
    </row>
    <row r="806" spans="1:10" x14ac:dyDescent="0.35">
      <c r="A806">
        <v>3151272372</v>
      </c>
      <c r="B806" t="s">
        <v>832</v>
      </c>
      <c r="C806" t="s">
        <v>849</v>
      </c>
      <c r="D806" t="s">
        <v>840</v>
      </c>
      <c r="E806" t="s">
        <v>847</v>
      </c>
      <c r="F806" t="s">
        <v>850</v>
      </c>
      <c r="G806">
        <v>931652</v>
      </c>
      <c r="H806" t="s">
        <v>415</v>
      </c>
      <c r="I806" s="4">
        <v>384</v>
      </c>
      <c r="J806" s="4">
        <v>119.99232000000001</v>
      </c>
    </row>
    <row r="807" spans="1:10" x14ac:dyDescent="0.35">
      <c r="A807">
        <v>3151272373</v>
      </c>
      <c r="B807" t="s">
        <v>832</v>
      </c>
      <c r="C807" t="s">
        <v>849</v>
      </c>
      <c r="D807" t="s">
        <v>840</v>
      </c>
      <c r="E807" t="s">
        <v>847</v>
      </c>
      <c r="F807" t="s">
        <v>850</v>
      </c>
      <c r="G807">
        <v>931652</v>
      </c>
      <c r="H807" t="s">
        <v>415</v>
      </c>
      <c r="I807" s="4">
        <v>864</v>
      </c>
      <c r="J807" s="4">
        <v>269.98272000000003</v>
      </c>
    </row>
    <row r="808" spans="1:10" x14ac:dyDescent="0.35">
      <c r="A808">
        <v>3151272369</v>
      </c>
      <c r="B808" t="s">
        <v>832</v>
      </c>
      <c r="C808" t="s">
        <v>849</v>
      </c>
      <c r="D808" t="s">
        <v>840</v>
      </c>
      <c r="E808" t="s">
        <v>847</v>
      </c>
      <c r="F808" t="s">
        <v>850</v>
      </c>
      <c r="G808">
        <v>931652</v>
      </c>
      <c r="H808" t="s">
        <v>415</v>
      </c>
      <c r="I808" s="4">
        <v>96</v>
      </c>
      <c r="J808" s="4">
        <v>29.998080000000002</v>
      </c>
    </row>
    <row r="809" spans="1:10" x14ac:dyDescent="0.35">
      <c r="A809">
        <v>3151272370</v>
      </c>
      <c r="B809" t="s">
        <v>832</v>
      </c>
      <c r="C809" t="s">
        <v>849</v>
      </c>
      <c r="D809" t="s">
        <v>840</v>
      </c>
      <c r="E809" t="s">
        <v>847</v>
      </c>
      <c r="F809" t="s">
        <v>850</v>
      </c>
      <c r="G809">
        <v>931652</v>
      </c>
      <c r="H809" t="s">
        <v>415</v>
      </c>
      <c r="I809" s="4">
        <v>144</v>
      </c>
      <c r="J809" s="4">
        <v>44.997120000000002</v>
      </c>
    </row>
    <row r="810" spans="1:10" x14ac:dyDescent="0.35">
      <c r="A810">
        <v>3151272769</v>
      </c>
      <c r="B810" t="s">
        <v>832</v>
      </c>
      <c r="C810" t="s">
        <v>849</v>
      </c>
      <c r="D810" t="s">
        <v>840</v>
      </c>
      <c r="E810" t="s">
        <v>847</v>
      </c>
      <c r="F810" t="s">
        <v>850</v>
      </c>
      <c r="G810">
        <v>931652</v>
      </c>
      <c r="H810" t="s">
        <v>415</v>
      </c>
      <c r="I810" s="4">
        <v>120</v>
      </c>
      <c r="J810" s="4">
        <v>37.497600000000006</v>
      </c>
    </row>
    <row r="811" spans="1:10" x14ac:dyDescent="0.35">
      <c r="A811">
        <v>3151272770</v>
      </c>
      <c r="B811" t="s">
        <v>832</v>
      </c>
      <c r="C811" t="s">
        <v>849</v>
      </c>
      <c r="D811" t="s">
        <v>840</v>
      </c>
      <c r="E811" t="s">
        <v>847</v>
      </c>
      <c r="F811" t="s">
        <v>850</v>
      </c>
      <c r="G811">
        <v>931652</v>
      </c>
      <c r="H811" t="s">
        <v>415</v>
      </c>
      <c r="I811" s="4">
        <v>48</v>
      </c>
      <c r="J811" s="4">
        <v>14.999040000000001</v>
      </c>
    </row>
    <row r="812" spans="1:10" x14ac:dyDescent="0.35">
      <c r="A812">
        <v>3151272771</v>
      </c>
      <c r="B812" t="s">
        <v>832</v>
      </c>
      <c r="C812" t="s">
        <v>849</v>
      </c>
      <c r="D812" t="s">
        <v>840</v>
      </c>
      <c r="E812" t="s">
        <v>847</v>
      </c>
      <c r="F812" t="s">
        <v>850</v>
      </c>
      <c r="G812">
        <v>931652</v>
      </c>
      <c r="H812" t="s">
        <v>415</v>
      </c>
      <c r="I812" s="4">
        <v>816</v>
      </c>
      <c r="J812" s="4">
        <v>254.98368000000002</v>
      </c>
    </row>
    <row r="813" spans="1:10" x14ac:dyDescent="0.35">
      <c r="A813">
        <v>3151272772</v>
      </c>
      <c r="B813" t="s">
        <v>832</v>
      </c>
      <c r="C813" t="s">
        <v>849</v>
      </c>
      <c r="D813" t="s">
        <v>840</v>
      </c>
      <c r="E813" t="s">
        <v>847</v>
      </c>
      <c r="F813" t="s">
        <v>850</v>
      </c>
      <c r="G813">
        <v>931652</v>
      </c>
      <c r="H813" t="s">
        <v>415</v>
      </c>
      <c r="I813" s="4">
        <v>144</v>
      </c>
      <c r="J813" s="4">
        <v>44.997120000000002</v>
      </c>
    </row>
    <row r="814" spans="1:10" x14ac:dyDescent="0.35">
      <c r="A814">
        <v>3151272773</v>
      </c>
      <c r="B814" t="s">
        <v>832</v>
      </c>
      <c r="C814" t="s">
        <v>849</v>
      </c>
      <c r="D814" t="s">
        <v>840</v>
      </c>
      <c r="E814" t="s">
        <v>847</v>
      </c>
      <c r="F814" t="s">
        <v>850</v>
      </c>
      <c r="G814">
        <v>931652</v>
      </c>
      <c r="H814" t="s">
        <v>415</v>
      </c>
      <c r="I814" s="4">
        <v>168</v>
      </c>
      <c r="J814" s="4">
        <v>52.496639999999999</v>
      </c>
    </row>
    <row r="815" spans="1:10" x14ac:dyDescent="0.35">
      <c r="A815">
        <v>3151272774</v>
      </c>
      <c r="B815" t="s">
        <v>832</v>
      </c>
      <c r="C815" t="s">
        <v>849</v>
      </c>
      <c r="D815" t="s">
        <v>840</v>
      </c>
      <c r="E815" t="s">
        <v>847</v>
      </c>
      <c r="F815" t="s">
        <v>850</v>
      </c>
      <c r="G815">
        <v>931652</v>
      </c>
      <c r="H815" t="s">
        <v>415</v>
      </c>
      <c r="I815" s="4">
        <v>384</v>
      </c>
      <c r="J815" s="4">
        <v>119.99232000000001</v>
      </c>
    </row>
    <row r="816" spans="1:10" x14ac:dyDescent="0.35">
      <c r="A816">
        <v>3151272369</v>
      </c>
      <c r="B816" t="s">
        <v>832</v>
      </c>
      <c r="C816" t="s">
        <v>849</v>
      </c>
      <c r="D816" t="s">
        <v>449</v>
      </c>
      <c r="E816" t="s">
        <v>848</v>
      </c>
      <c r="F816" t="s">
        <v>850</v>
      </c>
      <c r="G816">
        <v>931651</v>
      </c>
      <c r="H816" t="s">
        <v>415</v>
      </c>
      <c r="I816" s="4">
        <v>234</v>
      </c>
      <c r="J816" s="4">
        <v>99.52488000000001</v>
      </c>
    </row>
    <row r="817" spans="1:10" x14ac:dyDescent="0.35">
      <c r="A817">
        <v>3151272370</v>
      </c>
      <c r="B817" t="s">
        <v>832</v>
      </c>
      <c r="C817" t="s">
        <v>849</v>
      </c>
      <c r="D817" t="s">
        <v>449</v>
      </c>
      <c r="E817" t="s">
        <v>848</v>
      </c>
      <c r="F817" t="s">
        <v>850</v>
      </c>
      <c r="G817">
        <v>931651</v>
      </c>
      <c r="H817" t="s">
        <v>415</v>
      </c>
      <c r="I817" s="4">
        <v>180</v>
      </c>
      <c r="J817" s="4">
        <v>76.557600000000008</v>
      </c>
    </row>
    <row r="818" spans="1:10" x14ac:dyDescent="0.35">
      <c r="A818">
        <v>3151272371</v>
      </c>
      <c r="B818" t="s">
        <v>832</v>
      </c>
      <c r="C818" t="s">
        <v>849</v>
      </c>
      <c r="D818" t="s">
        <v>449</v>
      </c>
      <c r="E818" t="s">
        <v>848</v>
      </c>
      <c r="F818" t="s">
        <v>850</v>
      </c>
      <c r="G818">
        <v>931651</v>
      </c>
      <c r="H818" t="s">
        <v>415</v>
      </c>
      <c r="I818" s="4">
        <v>900</v>
      </c>
      <c r="J818" s="4">
        <v>382.78800000000001</v>
      </c>
    </row>
    <row r="819" spans="1:10" x14ac:dyDescent="0.35">
      <c r="A819">
        <v>3151272372</v>
      </c>
      <c r="B819" t="s">
        <v>832</v>
      </c>
      <c r="C819" t="s">
        <v>849</v>
      </c>
      <c r="D819" t="s">
        <v>449</v>
      </c>
      <c r="E819" t="s">
        <v>848</v>
      </c>
      <c r="F819" t="s">
        <v>850</v>
      </c>
      <c r="G819">
        <v>931651</v>
      </c>
      <c r="H819" t="s">
        <v>415</v>
      </c>
      <c r="I819" s="4">
        <v>162</v>
      </c>
      <c r="J819" s="4">
        <v>68.901839999999993</v>
      </c>
    </row>
    <row r="820" spans="1:10" x14ac:dyDescent="0.35">
      <c r="A820">
        <v>3151272373</v>
      </c>
      <c r="B820" t="s">
        <v>832</v>
      </c>
      <c r="C820" t="s">
        <v>849</v>
      </c>
      <c r="D820" t="s">
        <v>449</v>
      </c>
      <c r="E820" t="s">
        <v>848</v>
      </c>
      <c r="F820" t="s">
        <v>850</v>
      </c>
      <c r="G820">
        <v>931651</v>
      </c>
      <c r="H820" t="s">
        <v>415</v>
      </c>
      <c r="I820" s="4">
        <v>432</v>
      </c>
      <c r="J820" s="4">
        <v>183.73823999999999</v>
      </c>
    </row>
    <row r="821" spans="1:10" x14ac:dyDescent="0.35">
      <c r="A821">
        <v>3151272369</v>
      </c>
      <c r="B821" t="s">
        <v>832</v>
      </c>
      <c r="C821" t="s">
        <v>851</v>
      </c>
      <c r="D821" t="s">
        <v>834</v>
      </c>
      <c r="E821" t="s">
        <v>844</v>
      </c>
      <c r="F821" t="s">
        <v>852</v>
      </c>
      <c r="G821">
        <v>931667</v>
      </c>
      <c r="H821" t="s">
        <v>412</v>
      </c>
      <c r="I821" s="4">
        <v>96</v>
      </c>
      <c r="J821" s="4">
        <v>16.498944000000002</v>
      </c>
    </row>
    <row r="822" spans="1:10" x14ac:dyDescent="0.35">
      <c r="A822">
        <v>3151272371</v>
      </c>
      <c r="B822" t="s">
        <v>832</v>
      </c>
      <c r="C822" t="s">
        <v>851</v>
      </c>
      <c r="D822" t="s">
        <v>834</v>
      </c>
      <c r="E822" t="s">
        <v>844</v>
      </c>
      <c r="F822" t="s">
        <v>852</v>
      </c>
      <c r="G822">
        <v>931667</v>
      </c>
      <c r="H822" t="s">
        <v>412</v>
      </c>
      <c r="I822" s="4">
        <v>432</v>
      </c>
      <c r="J822" s="4">
        <v>74.245248000000004</v>
      </c>
    </row>
    <row r="823" spans="1:10" x14ac:dyDescent="0.35">
      <c r="A823">
        <v>3151272769</v>
      </c>
      <c r="B823" t="s">
        <v>832</v>
      </c>
      <c r="C823" t="s">
        <v>851</v>
      </c>
      <c r="D823" t="s">
        <v>834</v>
      </c>
      <c r="E823" t="s">
        <v>844</v>
      </c>
      <c r="F823" t="s">
        <v>852</v>
      </c>
      <c r="G823">
        <v>931667</v>
      </c>
      <c r="H823" t="s">
        <v>412</v>
      </c>
      <c r="I823" s="4">
        <v>240</v>
      </c>
      <c r="J823" s="4">
        <v>41.24736</v>
      </c>
    </row>
    <row r="824" spans="1:10" x14ac:dyDescent="0.35">
      <c r="A824">
        <v>3151272770</v>
      </c>
      <c r="B824" t="s">
        <v>832</v>
      </c>
      <c r="C824" t="s">
        <v>851</v>
      </c>
      <c r="D824" t="s">
        <v>834</v>
      </c>
      <c r="E824" t="s">
        <v>844</v>
      </c>
      <c r="F824" t="s">
        <v>852</v>
      </c>
      <c r="G824">
        <v>931667</v>
      </c>
      <c r="H824" t="s">
        <v>412</v>
      </c>
      <c r="I824" s="4">
        <v>192</v>
      </c>
      <c r="J824" s="4">
        <v>32.997888000000003</v>
      </c>
    </row>
    <row r="825" spans="1:10" x14ac:dyDescent="0.35">
      <c r="A825">
        <v>3151272771</v>
      </c>
      <c r="B825" t="s">
        <v>832</v>
      </c>
      <c r="C825" t="s">
        <v>851</v>
      </c>
      <c r="D825" t="s">
        <v>834</v>
      </c>
      <c r="E825" t="s">
        <v>844</v>
      </c>
      <c r="F825" t="s">
        <v>852</v>
      </c>
      <c r="G825">
        <v>931667</v>
      </c>
      <c r="H825" t="s">
        <v>412</v>
      </c>
      <c r="I825" s="4">
        <v>1584</v>
      </c>
      <c r="J825" s="4">
        <v>272.23257599999999</v>
      </c>
    </row>
    <row r="826" spans="1:10" x14ac:dyDescent="0.35">
      <c r="A826">
        <v>3151272772</v>
      </c>
      <c r="B826" t="s">
        <v>832</v>
      </c>
      <c r="C826" t="s">
        <v>851</v>
      </c>
      <c r="D826" t="s">
        <v>834</v>
      </c>
      <c r="E826" t="s">
        <v>844</v>
      </c>
      <c r="F826" t="s">
        <v>852</v>
      </c>
      <c r="G826">
        <v>931667</v>
      </c>
      <c r="H826" t="s">
        <v>412</v>
      </c>
      <c r="I826" s="4">
        <v>336</v>
      </c>
      <c r="J826" s="4">
        <v>57.746304000000002</v>
      </c>
    </row>
    <row r="827" spans="1:10" x14ac:dyDescent="0.35">
      <c r="A827">
        <v>3151272774</v>
      </c>
      <c r="B827" t="s">
        <v>832</v>
      </c>
      <c r="C827" t="s">
        <v>851</v>
      </c>
      <c r="D827" t="s">
        <v>834</v>
      </c>
      <c r="E827" t="s">
        <v>844</v>
      </c>
      <c r="F827" t="s">
        <v>852</v>
      </c>
      <c r="G827">
        <v>931667</v>
      </c>
      <c r="H827" t="s">
        <v>412</v>
      </c>
      <c r="I827" s="4">
        <v>672</v>
      </c>
      <c r="J827" s="4">
        <v>115.492608</v>
      </c>
    </row>
    <row r="828" spans="1:10" x14ac:dyDescent="0.35">
      <c r="A828">
        <v>3151272369</v>
      </c>
      <c r="B828" t="s">
        <v>832</v>
      </c>
      <c r="C828" t="s">
        <v>851</v>
      </c>
      <c r="D828" t="s">
        <v>836</v>
      </c>
      <c r="E828" t="s">
        <v>845</v>
      </c>
      <c r="F828" t="s">
        <v>852</v>
      </c>
      <c r="G828">
        <v>931670</v>
      </c>
      <c r="H828" t="s">
        <v>433</v>
      </c>
      <c r="I828" s="4">
        <v>420</v>
      </c>
      <c r="J828" s="4">
        <v>22.07226</v>
      </c>
    </row>
    <row r="829" spans="1:10" x14ac:dyDescent="0.35">
      <c r="A829">
        <v>3151272370</v>
      </c>
      <c r="B829" t="s">
        <v>832</v>
      </c>
      <c r="C829" t="s">
        <v>851</v>
      </c>
      <c r="D829" t="s">
        <v>836</v>
      </c>
      <c r="E829" t="s">
        <v>845</v>
      </c>
      <c r="F829" t="s">
        <v>852</v>
      </c>
      <c r="G829">
        <v>931670</v>
      </c>
      <c r="H829" t="s">
        <v>433</v>
      </c>
      <c r="I829" s="4">
        <v>560</v>
      </c>
      <c r="J829" s="4">
        <v>29.429680000000001</v>
      </c>
    </row>
    <row r="830" spans="1:10" x14ac:dyDescent="0.35">
      <c r="A830">
        <v>3151272371</v>
      </c>
      <c r="B830" t="s">
        <v>832</v>
      </c>
      <c r="C830" t="s">
        <v>851</v>
      </c>
      <c r="D830" t="s">
        <v>836</v>
      </c>
      <c r="E830" t="s">
        <v>845</v>
      </c>
      <c r="F830" t="s">
        <v>852</v>
      </c>
      <c r="G830">
        <v>931670</v>
      </c>
      <c r="H830" t="s">
        <v>433</v>
      </c>
      <c r="I830" s="4">
        <v>2520</v>
      </c>
      <c r="J830" s="4">
        <v>132.43356</v>
      </c>
    </row>
    <row r="831" spans="1:10" x14ac:dyDescent="0.35">
      <c r="A831">
        <v>3151272372</v>
      </c>
      <c r="B831" t="s">
        <v>832</v>
      </c>
      <c r="C831" t="s">
        <v>851</v>
      </c>
      <c r="D831" t="s">
        <v>836</v>
      </c>
      <c r="E831" t="s">
        <v>845</v>
      </c>
      <c r="F831" t="s">
        <v>852</v>
      </c>
      <c r="G831">
        <v>931670</v>
      </c>
      <c r="H831" t="s">
        <v>433</v>
      </c>
      <c r="I831" s="4">
        <v>1400</v>
      </c>
      <c r="J831" s="4">
        <v>73.574200000000005</v>
      </c>
    </row>
    <row r="832" spans="1:10" x14ac:dyDescent="0.35">
      <c r="A832">
        <v>3151272373</v>
      </c>
      <c r="B832" t="s">
        <v>832</v>
      </c>
      <c r="C832" t="s">
        <v>851</v>
      </c>
      <c r="D832" t="s">
        <v>836</v>
      </c>
      <c r="E832" t="s">
        <v>845</v>
      </c>
      <c r="F832" t="s">
        <v>852</v>
      </c>
      <c r="G832">
        <v>931670</v>
      </c>
      <c r="H832" t="s">
        <v>433</v>
      </c>
      <c r="I832" s="4">
        <v>1820</v>
      </c>
      <c r="J832" s="4">
        <v>95.64645999999999</v>
      </c>
    </row>
    <row r="833" spans="1:10" x14ac:dyDescent="0.35">
      <c r="A833">
        <v>3151272374</v>
      </c>
      <c r="B833" t="s">
        <v>832</v>
      </c>
      <c r="C833" t="s">
        <v>851</v>
      </c>
      <c r="D833" t="s">
        <v>836</v>
      </c>
      <c r="E833" t="s">
        <v>845</v>
      </c>
      <c r="F833" t="s">
        <v>852</v>
      </c>
      <c r="G833">
        <v>931670</v>
      </c>
      <c r="H833" t="s">
        <v>433</v>
      </c>
      <c r="I833" s="4">
        <v>840</v>
      </c>
      <c r="J833" s="4">
        <v>44.14452</v>
      </c>
    </row>
    <row r="834" spans="1:10" x14ac:dyDescent="0.35">
      <c r="A834">
        <v>3151272769</v>
      </c>
      <c r="B834" t="s">
        <v>832</v>
      </c>
      <c r="C834" t="s">
        <v>851</v>
      </c>
      <c r="D834" t="s">
        <v>836</v>
      </c>
      <c r="E834" t="s">
        <v>845</v>
      </c>
      <c r="F834" t="s">
        <v>852</v>
      </c>
      <c r="G834">
        <v>931670</v>
      </c>
      <c r="H834" t="s">
        <v>433</v>
      </c>
      <c r="I834" s="4">
        <v>140</v>
      </c>
      <c r="J834" s="4">
        <v>7.3574200000000003</v>
      </c>
    </row>
    <row r="835" spans="1:10" x14ac:dyDescent="0.35">
      <c r="A835">
        <v>3151272770</v>
      </c>
      <c r="B835" t="s">
        <v>832</v>
      </c>
      <c r="C835" t="s">
        <v>851</v>
      </c>
      <c r="D835" t="s">
        <v>836</v>
      </c>
      <c r="E835" t="s">
        <v>845</v>
      </c>
      <c r="F835" t="s">
        <v>852</v>
      </c>
      <c r="G835">
        <v>931670</v>
      </c>
      <c r="H835" t="s">
        <v>433</v>
      </c>
      <c r="I835" s="4">
        <v>420</v>
      </c>
      <c r="J835" s="4">
        <v>22.07226</v>
      </c>
    </row>
    <row r="836" spans="1:10" x14ac:dyDescent="0.35">
      <c r="A836">
        <v>3151272771</v>
      </c>
      <c r="B836" t="s">
        <v>832</v>
      </c>
      <c r="C836" t="s">
        <v>851</v>
      </c>
      <c r="D836" t="s">
        <v>836</v>
      </c>
      <c r="E836" t="s">
        <v>845</v>
      </c>
      <c r="F836" t="s">
        <v>852</v>
      </c>
      <c r="G836">
        <v>931670</v>
      </c>
      <c r="H836" t="s">
        <v>433</v>
      </c>
      <c r="I836" s="4">
        <v>560</v>
      </c>
      <c r="J836" s="4">
        <v>29.429680000000001</v>
      </c>
    </row>
    <row r="837" spans="1:10" x14ac:dyDescent="0.35">
      <c r="A837">
        <v>3151272774</v>
      </c>
      <c r="B837" t="s">
        <v>832</v>
      </c>
      <c r="C837" t="s">
        <v>851</v>
      </c>
      <c r="D837" t="s">
        <v>836</v>
      </c>
      <c r="E837" t="s">
        <v>845</v>
      </c>
      <c r="F837" t="s">
        <v>852</v>
      </c>
      <c r="G837">
        <v>931670</v>
      </c>
      <c r="H837" t="s">
        <v>433</v>
      </c>
      <c r="I837" s="4">
        <v>420</v>
      </c>
      <c r="J837" s="4">
        <v>22.07226</v>
      </c>
    </row>
    <row r="838" spans="1:10" x14ac:dyDescent="0.35">
      <c r="A838">
        <v>3251165702</v>
      </c>
      <c r="B838" t="s">
        <v>832</v>
      </c>
      <c r="C838" t="s">
        <v>851</v>
      </c>
      <c r="D838" t="s">
        <v>836</v>
      </c>
      <c r="E838" t="s">
        <v>845</v>
      </c>
      <c r="F838" t="s">
        <v>852</v>
      </c>
      <c r="G838">
        <v>931670</v>
      </c>
      <c r="H838" t="s">
        <v>433</v>
      </c>
      <c r="I838" s="4">
        <v>140</v>
      </c>
      <c r="J838" s="4">
        <v>7.3574200000000003</v>
      </c>
    </row>
    <row r="839" spans="1:10" x14ac:dyDescent="0.35">
      <c r="A839">
        <v>3151272770</v>
      </c>
      <c r="B839" t="s">
        <v>832</v>
      </c>
      <c r="C839" t="s">
        <v>851</v>
      </c>
      <c r="D839" t="s">
        <v>838</v>
      </c>
      <c r="E839" t="s">
        <v>846</v>
      </c>
      <c r="F839" t="s">
        <v>852</v>
      </c>
      <c r="G839">
        <v>931668</v>
      </c>
      <c r="H839" t="s">
        <v>412</v>
      </c>
      <c r="I839" s="4">
        <v>280</v>
      </c>
      <c r="J839" s="4">
        <v>32.08128</v>
      </c>
    </row>
    <row r="840" spans="1:10" x14ac:dyDescent="0.35">
      <c r="A840">
        <v>3151272771</v>
      </c>
      <c r="B840" t="s">
        <v>832</v>
      </c>
      <c r="C840" t="s">
        <v>851</v>
      </c>
      <c r="D840" t="s">
        <v>838</v>
      </c>
      <c r="E840" t="s">
        <v>846</v>
      </c>
      <c r="F840" t="s">
        <v>852</v>
      </c>
      <c r="G840">
        <v>931668</v>
      </c>
      <c r="H840" t="s">
        <v>412</v>
      </c>
      <c r="I840" s="4">
        <v>3150</v>
      </c>
      <c r="J840" s="4">
        <v>360.9144</v>
      </c>
    </row>
    <row r="841" spans="1:10" x14ac:dyDescent="0.35">
      <c r="A841">
        <v>3151272772</v>
      </c>
      <c r="B841" t="s">
        <v>832</v>
      </c>
      <c r="C841" t="s">
        <v>851</v>
      </c>
      <c r="D841" t="s">
        <v>838</v>
      </c>
      <c r="E841" t="s">
        <v>846</v>
      </c>
      <c r="F841" t="s">
        <v>852</v>
      </c>
      <c r="G841">
        <v>931668</v>
      </c>
      <c r="H841" t="s">
        <v>412</v>
      </c>
      <c r="I841" s="4">
        <v>350</v>
      </c>
      <c r="J841" s="4">
        <v>40.101599999999998</v>
      </c>
    </row>
    <row r="842" spans="1:10" x14ac:dyDescent="0.35">
      <c r="A842">
        <v>3151272774</v>
      </c>
      <c r="B842" t="s">
        <v>832</v>
      </c>
      <c r="C842" t="s">
        <v>851</v>
      </c>
      <c r="D842" t="s">
        <v>838</v>
      </c>
      <c r="E842" t="s">
        <v>846</v>
      </c>
      <c r="F842" t="s">
        <v>852</v>
      </c>
      <c r="G842">
        <v>931668</v>
      </c>
      <c r="H842" t="s">
        <v>412</v>
      </c>
      <c r="I842" s="4">
        <v>2870</v>
      </c>
      <c r="J842" s="4">
        <v>328.83312000000001</v>
      </c>
    </row>
    <row r="843" spans="1:10" x14ac:dyDescent="0.35">
      <c r="A843">
        <v>3251165702</v>
      </c>
      <c r="B843" t="s">
        <v>832</v>
      </c>
      <c r="C843" t="s">
        <v>851</v>
      </c>
      <c r="D843" t="s">
        <v>838</v>
      </c>
      <c r="E843" t="s">
        <v>846</v>
      </c>
      <c r="F843" t="s">
        <v>852</v>
      </c>
      <c r="G843">
        <v>931668</v>
      </c>
      <c r="H843" t="s">
        <v>412</v>
      </c>
      <c r="I843" s="4">
        <v>70</v>
      </c>
      <c r="J843" s="4">
        <v>8.0203199999999999</v>
      </c>
    </row>
    <row r="844" spans="1:10" x14ac:dyDescent="0.35">
      <c r="A844">
        <v>3151272769</v>
      </c>
      <c r="B844" t="s">
        <v>832</v>
      </c>
      <c r="C844" t="s">
        <v>851</v>
      </c>
      <c r="D844" t="s">
        <v>840</v>
      </c>
      <c r="E844" t="s">
        <v>847</v>
      </c>
      <c r="F844" t="s">
        <v>852</v>
      </c>
      <c r="G844">
        <v>931665</v>
      </c>
      <c r="H844" t="s">
        <v>415</v>
      </c>
      <c r="I844" s="4">
        <v>360</v>
      </c>
      <c r="J844" s="4">
        <v>112.4928</v>
      </c>
    </row>
    <row r="845" spans="1:10" x14ac:dyDescent="0.35">
      <c r="A845">
        <v>3151272770</v>
      </c>
      <c r="B845" t="s">
        <v>832</v>
      </c>
      <c r="C845" t="s">
        <v>851</v>
      </c>
      <c r="D845" t="s">
        <v>840</v>
      </c>
      <c r="E845" t="s">
        <v>847</v>
      </c>
      <c r="F845" t="s">
        <v>852</v>
      </c>
      <c r="G845">
        <v>931665</v>
      </c>
      <c r="H845" t="s">
        <v>415</v>
      </c>
      <c r="I845" s="4">
        <v>504</v>
      </c>
      <c r="J845" s="4">
        <v>157.48992000000001</v>
      </c>
    </row>
    <row r="846" spans="1:10" x14ac:dyDescent="0.35">
      <c r="A846">
        <v>3151272771</v>
      </c>
      <c r="B846" t="s">
        <v>832</v>
      </c>
      <c r="C846" t="s">
        <v>851</v>
      </c>
      <c r="D846" t="s">
        <v>840</v>
      </c>
      <c r="E846" t="s">
        <v>847</v>
      </c>
      <c r="F846" t="s">
        <v>852</v>
      </c>
      <c r="G846">
        <v>931665</v>
      </c>
      <c r="H846" t="s">
        <v>415</v>
      </c>
      <c r="I846" s="4">
        <v>3144</v>
      </c>
      <c r="J846" s="4">
        <v>982.43712000000016</v>
      </c>
    </row>
    <row r="847" spans="1:10" x14ac:dyDescent="0.35">
      <c r="A847">
        <v>3151272772</v>
      </c>
      <c r="B847" t="s">
        <v>832</v>
      </c>
      <c r="C847" t="s">
        <v>851</v>
      </c>
      <c r="D847" t="s">
        <v>840</v>
      </c>
      <c r="E847" t="s">
        <v>847</v>
      </c>
      <c r="F847" t="s">
        <v>852</v>
      </c>
      <c r="G847">
        <v>931665</v>
      </c>
      <c r="H847" t="s">
        <v>415</v>
      </c>
      <c r="I847" s="4">
        <v>672</v>
      </c>
      <c r="J847" s="4">
        <v>209.98656</v>
      </c>
    </row>
    <row r="848" spans="1:10" x14ac:dyDescent="0.35">
      <c r="A848">
        <v>3151272773</v>
      </c>
      <c r="B848" t="s">
        <v>832</v>
      </c>
      <c r="C848" t="s">
        <v>851</v>
      </c>
      <c r="D848" t="s">
        <v>840</v>
      </c>
      <c r="E848" t="s">
        <v>847</v>
      </c>
      <c r="F848" t="s">
        <v>852</v>
      </c>
      <c r="G848">
        <v>931665</v>
      </c>
      <c r="H848" t="s">
        <v>415</v>
      </c>
      <c r="I848" s="4">
        <v>792</v>
      </c>
      <c r="J848" s="4">
        <v>247.48416</v>
      </c>
    </row>
    <row r="849" spans="1:10" x14ac:dyDescent="0.35">
      <c r="A849">
        <v>3151272774</v>
      </c>
      <c r="B849" t="s">
        <v>832</v>
      </c>
      <c r="C849" t="s">
        <v>851</v>
      </c>
      <c r="D849" t="s">
        <v>840</v>
      </c>
      <c r="E849" t="s">
        <v>847</v>
      </c>
      <c r="F849" t="s">
        <v>852</v>
      </c>
      <c r="G849">
        <v>931665</v>
      </c>
      <c r="H849" t="s">
        <v>415</v>
      </c>
      <c r="I849" s="4">
        <v>2280</v>
      </c>
      <c r="J849" s="4">
        <v>712.45440000000008</v>
      </c>
    </row>
    <row r="850" spans="1:10" x14ac:dyDescent="0.35">
      <c r="A850">
        <v>3151272369</v>
      </c>
      <c r="B850" t="s">
        <v>832</v>
      </c>
      <c r="C850" t="s">
        <v>851</v>
      </c>
      <c r="D850" t="s">
        <v>449</v>
      </c>
      <c r="E850" t="s">
        <v>848</v>
      </c>
      <c r="F850" t="s">
        <v>852</v>
      </c>
      <c r="G850">
        <v>931664</v>
      </c>
      <c r="H850" t="s">
        <v>415</v>
      </c>
      <c r="I850" s="4">
        <v>180</v>
      </c>
      <c r="J850" s="4">
        <v>76.557600000000008</v>
      </c>
    </row>
    <row r="851" spans="1:10" x14ac:dyDescent="0.35">
      <c r="A851">
        <v>3151272371</v>
      </c>
      <c r="B851" t="s">
        <v>832</v>
      </c>
      <c r="C851" t="s">
        <v>851</v>
      </c>
      <c r="D851" t="s">
        <v>449</v>
      </c>
      <c r="E851" t="s">
        <v>848</v>
      </c>
      <c r="F851" t="s">
        <v>852</v>
      </c>
      <c r="G851">
        <v>931664</v>
      </c>
      <c r="H851" t="s">
        <v>415</v>
      </c>
      <c r="I851" s="4">
        <v>594</v>
      </c>
      <c r="J851" s="4">
        <v>252.64007999999998</v>
      </c>
    </row>
    <row r="852" spans="1:10" x14ac:dyDescent="0.35">
      <c r="A852">
        <v>3151272372</v>
      </c>
      <c r="B852" t="s">
        <v>832</v>
      </c>
      <c r="C852" t="s">
        <v>851</v>
      </c>
      <c r="D852" t="s">
        <v>449</v>
      </c>
      <c r="E852" t="s">
        <v>848</v>
      </c>
      <c r="F852" t="s">
        <v>852</v>
      </c>
      <c r="G852">
        <v>931664</v>
      </c>
      <c r="H852" t="s">
        <v>415</v>
      </c>
      <c r="I852" s="4">
        <v>72</v>
      </c>
      <c r="J852" s="4">
        <v>30.623040000000003</v>
      </c>
    </row>
    <row r="853" spans="1:10" x14ac:dyDescent="0.35">
      <c r="A853">
        <v>3151272373</v>
      </c>
      <c r="B853" t="s">
        <v>832</v>
      </c>
      <c r="C853" t="s">
        <v>851</v>
      </c>
      <c r="D853" t="s">
        <v>449</v>
      </c>
      <c r="E853" t="s">
        <v>848</v>
      </c>
      <c r="F853" t="s">
        <v>852</v>
      </c>
      <c r="G853">
        <v>931664</v>
      </c>
      <c r="H853" t="s">
        <v>415</v>
      </c>
      <c r="I853" s="4">
        <v>126</v>
      </c>
      <c r="J853" s="4">
        <v>53.590319999999998</v>
      </c>
    </row>
    <row r="854" spans="1:10" x14ac:dyDescent="0.35">
      <c r="A854">
        <v>3151272374</v>
      </c>
      <c r="B854" t="s">
        <v>832</v>
      </c>
      <c r="C854" t="s">
        <v>851</v>
      </c>
      <c r="D854" t="s">
        <v>449</v>
      </c>
      <c r="E854" t="s">
        <v>848</v>
      </c>
      <c r="F854" t="s">
        <v>852</v>
      </c>
      <c r="G854">
        <v>931664</v>
      </c>
      <c r="H854" t="s">
        <v>415</v>
      </c>
      <c r="I854" s="4">
        <v>90</v>
      </c>
      <c r="J854" s="4">
        <v>38.278800000000004</v>
      </c>
    </row>
    <row r="855" spans="1:10" x14ac:dyDescent="0.35">
      <c r="A855">
        <v>3151272769</v>
      </c>
      <c r="B855" t="s">
        <v>832</v>
      </c>
      <c r="C855" t="s">
        <v>851</v>
      </c>
      <c r="D855" t="s">
        <v>449</v>
      </c>
      <c r="E855" t="s">
        <v>848</v>
      </c>
      <c r="F855" t="s">
        <v>852</v>
      </c>
      <c r="G855">
        <v>931664</v>
      </c>
      <c r="H855" t="s">
        <v>415</v>
      </c>
      <c r="I855" s="4">
        <v>54</v>
      </c>
      <c r="J855" s="4">
        <v>22.967279999999999</v>
      </c>
    </row>
    <row r="856" spans="1:10" x14ac:dyDescent="0.35">
      <c r="A856">
        <v>3151272770</v>
      </c>
      <c r="B856" t="s">
        <v>832</v>
      </c>
      <c r="C856" t="s">
        <v>851</v>
      </c>
      <c r="D856" t="s">
        <v>449</v>
      </c>
      <c r="E856" t="s">
        <v>848</v>
      </c>
      <c r="F856" t="s">
        <v>852</v>
      </c>
      <c r="G856">
        <v>931664</v>
      </c>
      <c r="H856" t="s">
        <v>415</v>
      </c>
      <c r="I856" s="4">
        <v>180</v>
      </c>
      <c r="J856" s="4">
        <v>76.557600000000008</v>
      </c>
    </row>
    <row r="857" spans="1:10" x14ac:dyDescent="0.35">
      <c r="A857">
        <v>3151272772</v>
      </c>
      <c r="B857" t="s">
        <v>832</v>
      </c>
      <c r="C857" t="s">
        <v>851</v>
      </c>
      <c r="D857" t="s">
        <v>449</v>
      </c>
      <c r="E857" t="s">
        <v>848</v>
      </c>
      <c r="F857" t="s">
        <v>852</v>
      </c>
      <c r="G857">
        <v>931664</v>
      </c>
      <c r="H857" t="s">
        <v>415</v>
      </c>
      <c r="I857" s="4">
        <v>90</v>
      </c>
      <c r="J857" s="4">
        <v>38.278800000000004</v>
      </c>
    </row>
    <row r="858" spans="1:10" x14ac:dyDescent="0.35">
      <c r="A858">
        <v>3151272773</v>
      </c>
      <c r="B858" t="s">
        <v>832</v>
      </c>
      <c r="C858" t="s">
        <v>851</v>
      </c>
      <c r="D858" t="s">
        <v>449</v>
      </c>
      <c r="E858" t="s">
        <v>848</v>
      </c>
      <c r="F858" t="s">
        <v>852</v>
      </c>
      <c r="G858">
        <v>931664</v>
      </c>
      <c r="H858" t="s">
        <v>415</v>
      </c>
      <c r="I858" s="4">
        <v>72</v>
      </c>
      <c r="J858" s="4">
        <v>30.623040000000003</v>
      </c>
    </row>
    <row r="859" spans="1:10" x14ac:dyDescent="0.35">
      <c r="A859">
        <v>3151272774</v>
      </c>
      <c r="B859" t="s">
        <v>832</v>
      </c>
      <c r="C859" t="s">
        <v>851</v>
      </c>
      <c r="D859" t="s">
        <v>449</v>
      </c>
      <c r="E859" t="s">
        <v>848</v>
      </c>
      <c r="F859" t="s">
        <v>852</v>
      </c>
      <c r="G859">
        <v>931664</v>
      </c>
      <c r="H859" t="s">
        <v>415</v>
      </c>
      <c r="I859" s="4">
        <v>252</v>
      </c>
      <c r="J859" s="4">
        <v>107.18064</v>
      </c>
    </row>
    <row r="860" spans="1:10" x14ac:dyDescent="0.35">
      <c r="A860">
        <v>3151272370</v>
      </c>
      <c r="B860" t="s">
        <v>832</v>
      </c>
      <c r="C860" t="s">
        <v>853</v>
      </c>
      <c r="D860" t="s">
        <v>834</v>
      </c>
      <c r="E860" t="s">
        <v>844</v>
      </c>
      <c r="F860" t="s">
        <v>854</v>
      </c>
      <c r="G860">
        <v>931674</v>
      </c>
      <c r="H860" t="s">
        <v>412</v>
      </c>
      <c r="I860" s="4">
        <v>48</v>
      </c>
      <c r="J860" s="4">
        <v>8.2494720000000008</v>
      </c>
    </row>
    <row r="861" spans="1:10" x14ac:dyDescent="0.35">
      <c r="A861">
        <v>3151272372</v>
      </c>
      <c r="B861" t="s">
        <v>832</v>
      </c>
      <c r="C861" t="s">
        <v>853</v>
      </c>
      <c r="D861" t="s">
        <v>834</v>
      </c>
      <c r="E861" t="s">
        <v>844</v>
      </c>
      <c r="F861" t="s">
        <v>854</v>
      </c>
      <c r="G861">
        <v>931674</v>
      </c>
      <c r="H861" t="s">
        <v>412</v>
      </c>
      <c r="I861" s="4">
        <v>288</v>
      </c>
      <c r="J861" s="4">
        <v>49.496832000000005</v>
      </c>
    </row>
    <row r="862" spans="1:10" x14ac:dyDescent="0.35">
      <c r="A862">
        <v>3151272369</v>
      </c>
      <c r="B862" t="s">
        <v>832</v>
      </c>
      <c r="C862" t="s">
        <v>853</v>
      </c>
      <c r="D862" t="s">
        <v>836</v>
      </c>
      <c r="E862" t="s">
        <v>845</v>
      </c>
      <c r="F862" t="s">
        <v>854</v>
      </c>
      <c r="G862">
        <v>931677</v>
      </c>
      <c r="H862" t="s">
        <v>433</v>
      </c>
      <c r="I862" s="4">
        <v>280</v>
      </c>
      <c r="J862" s="4">
        <v>14.714840000000001</v>
      </c>
    </row>
    <row r="863" spans="1:10" x14ac:dyDescent="0.35">
      <c r="A863">
        <v>3151272371</v>
      </c>
      <c r="B863" t="s">
        <v>832</v>
      </c>
      <c r="C863" t="s">
        <v>853</v>
      </c>
      <c r="D863" t="s">
        <v>836</v>
      </c>
      <c r="E863" t="s">
        <v>845</v>
      </c>
      <c r="F863" t="s">
        <v>854</v>
      </c>
      <c r="G863">
        <v>931677</v>
      </c>
      <c r="H863" t="s">
        <v>433</v>
      </c>
      <c r="I863" s="4">
        <v>3360</v>
      </c>
      <c r="J863" s="4">
        <v>176.57808</v>
      </c>
    </row>
    <row r="864" spans="1:10" x14ac:dyDescent="0.35">
      <c r="A864">
        <v>3151272372</v>
      </c>
      <c r="B864" t="s">
        <v>832</v>
      </c>
      <c r="C864" t="s">
        <v>853</v>
      </c>
      <c r="D864" t="s">
        <v>836</v>
      </c>
      <c r="E864" t="s">
        <v>845</v>
      </c>
      <c r="F864" t="s">
        <v>854</v>
      </c>
      <c r="G864">
        <v>931677</v>
      </c>
      <c r="H864" t="s">
        <v>433</v>
      </c>
      <c r="I864" s="4">
        <v>700</v>
      </c>
      <c r="J864" s="4">
        <v>36.787100000000002</v>
      </c>
    </row>
    <row r="865" spans="1:10" x14ac:dyDescent="0.35">
      <c r="A865">
        <v>3151272373</v>
      </c>
      <c r="B865" t="s">
        <v>832</v>
      </c>
      <c r="C865" t="s">
        <v>853</v>
      </c>
      <c r="D865" t="s">
        <v>836</v>
      </c>
      <c r="E865" t="s">
        <v>845</v>
      </c>
      <c r="F865" t="s">
        <v>854</v>
      </c>
      <c r="G865">
        <v>931677</v>
      </c>
      <c r="H865" t="s">
        <v>433</v>
      </c>
      <c r="I865" s="4">
        <v>1120</v>
      </c>
      <c r="J865" s="4">
        <v>58.859360000000002</v>
      </c>
    </row>
    <row r="866" spans="1:10" x14ac:dyDescent="0.35">
      <c r="A866">
        <v>3151272374</v>
      </c>
      <c r="B866" t="s">
        <v>832</v>
      </c>
      <c r="C866" t="s">
        <v>853</v>
      </c>
      <c r="D866" t="s">
        <v>836</v>
      </c>
      <c r="E866" t="s">
        <v>845</v>
      </c>
      <c r="F866" t="s">
        <v>854</v>
      </c>
      <c r="G866">
        <v>931677</v>
      </c>
      <c r="H866" t="s">
        <v>433</v>
      </c>
      <c r="I866" s="4">
        <v>560</v>
      </c>
      <c r="J866" s="4">
        <v>29.429680000000001</v>
      </c>
    </row>
    <row r="867" spans="1:10" x14ac:dyDescent="0.35">
      <c r="A867">
        <v>3251165702</v>
      </c>
      <c r="B867" t="s">
        <v>832</v>
      </c>
      <c r="C867" t="s">
        <v>853</v>
      </c>
      <c r="D867" t="s">
        <v>836</v>
      </c>
      <c r="E867" t="s">
        <v>845</v>
      </c>
      <c r="F867" t="s">
        <v>854</v>
      </c>
      <c r="G867">
        <v>931677</v>
      </c>
      <c r="H867" t="s">
        <v>433</v>
      </c>
      <c r="I867" s="4">
        <v>140</v>
      </c>
      <c r="J867" s="4">
        <v>7.3574200000000003</v>
      </c>
    </row>
    <row r="868" spans="1:10" x14ac:dyDescent="0.35">
      <c r="A868">
        <v>3151272369</v>
      </c>
      <c r="B868" t="s">
        <v>832</v>
      </c>
      <c r="C868" t="s">
        <v>853</v>
      </c>
      <c r="D868" t="s">
        <v>838</v>
      </c>
      <c r="E868" t="s">
        <v>846</v>
      </c>
      <c r="F868" t="s">
        <v>854</v>
      </c>
      <c r="G868">
        <v>931675</v>
      </c>
      <c r="H868" t="s">
        <v>412</v>
      </c>
      <c r="I868" s="4">
        <v>350</v>
      </c>
      <c r="J868" s="4">
        <v>40.101599999999998</v>
      </c>
    </row>
    <row r="869" spans="1:10" x14ac:dyDescent="0.35">
      <c r="A869">
        <v>3151272370</v>
      </c>
      <c r="B869" t="s">
        <v>832</v>
      </c>
      <c r="C869" t="s">
        <v>853</v>
      </c>
      <c r="D869" t="s">
        <v>838</v>
      </c>
      <c r="E869" t="s">
        <v>846</v>
      </c>
      <c r="F869" t="s">
        <v>854</v>
      </c>
      <c r="G869">
        <v>931675</v>
      </c>
      <c r="H869" t="s">
        <v>412</v>
      </c>
      <c r="I869" s="4">
        <v>700</v>
      </c>
      <c r="J869" s="4">
        <v>80.203199999999995</v>
      </c>
    </row>
    <row r="870" spans="1:10" x14ac:dyDescent="0.35">
      <c r="A870">
        <v>3151272371</v>
      </c>
      <c r="B870" t="s">
        <v>832</v>
      </c>
      <c r="C870" t="s">
        <v>853</v>
      </c>
      <c r="D870" t="s">
        <v>838</v>
      </c>
      <c r="E870" t="s">
        <v>846</v>
      </c>
      <c r="F870" t="s">
        <v>854</v>
      </c>
      <c r="G870">
        <v>931675</v>
      </c>
      <c r="H870" t="s">
        <v>412</v>
      </c>
      <c r="I870" s="4">
        <v>1680</v>
      </c>
      <c r="J870" s="4">
        <v>192.48767999999998</v>
      </c>
    </row>
    <row r="871" spans="1:10" x14ac:dyDescent="0.35">
      <c r="A871">
        <v>3151272372</v>
      </c>
      <c r="B871" t="s">
        <v>832</v>
      </c>
      <c r="C871" t="s">
        <v>853</v>
      </c>
      <c r="D871" t="s">
        <v>838</v>
      </c>
      <c r="E871" t="s">
        <v>846</v>
      </c>
      <c r="F871" t="s">
        <v>854</v>
      </c>
      <c r="G871">
        <v>931675</v>
      </c>
      <c r="H871" t="s">
        <v>412</v>
      </c>
      <c r="I871" s="4">
        <v>280</v>
      </c>
      <c r="J871" s="4">
        <v>32.08128</v>
      </c>
    </row>
    <row r="872" spans="1:10" x14ac:dyDescent="0.35">
      <c r="A872">
        <v>3151272373</v>
      </c>
      <c r="B872" t="s">
        <v>832</v>
      </c>
      <c r="C872" t="s">
        <v>853</v>
      </c>
      <c r="D872" t="s">
        <v>838</v>
      </c>
      <c r="E872" t="s">
        <v>846</v>
      </c>
      <c r="F872" t="s">
        <v>854</v>
      </c>
      <c r="G872">
        <v>931675</v>
      </c>
      <c r="H872" t="s">
        <v>412</v>
      </c>
      <c r="I872" s="4">
        <v>2380</v>
      </c>
      <c r="J872" s="4">
        <v>272.69087999999999</v>
      </c>
    </row>
    <row r="873" spans="1:10" x14ac:dyDescent="0.35">
      <c r="A873">
        <v>3151272769</v>
      </c>
      <c r="B873" t="s">
        <v>832</v>
      </c>
      <c r="C873" t="s">
        <v>853</v>
      </c>
      <c r="D873" t="s">
        <v>838</v>
      </c>
      <c r="E873" t="s">
        <v>846</v>
      </c>
      <c r="F873" t="s">
        <v>854</v>
      </c>
      <c r="G873">
        <v>931675</v>
      </c>
      <c r="H873" t="s">
        <v>412</v>
      </c>
      <c r="I873" s="4">
        <v>490</v>
      </c>
      <c r="J873" s="4">
        <v>56.142240000000001</v>
      </c>
    </row>
    <row r="874" spans="1:10" x14ac:dyDescent="0.35">
      <c r="A874">
        <v>3151272770</v>
      </c>
      <c r="B874" t="s">
        <v>832</v>
      </c>
      <c r="C874" t="s">
        <v>853</v>
      </c>
      <c r="D874" t="s">
        <v>838</v>
      </c>
      <c r="E874" t="s">
        <v>846</v>
      </c>
      <c r="F874" t="s">
        <v>854</v>
      </c>
      <c r="G874">
        <v>931675</v>
      </c>
      <c r="H874" t="s">
        <v>412</v>
      </c>
      <c r="I874" s="4">
        <v>420</v>
      </c>
      <c r="J874" s="4">
        <v>48.121919999999996</v>
      </c>
    </row>
    <row r="875" spans="1:10" x14ac:dyDescent="0.35">
      <c r="A875">
        <v>3151272771</v>
      </c>
      <c r="B875" t="s">
        <v>832</v>
      </c>
      <c r="C875" t="s">
        <v>853</v>
      </c>
      <c r="D875" t="s">
        <v>838</v>
      </c>
      <c r="E875" t="s">
        <v>846</v>
      </c>
      <c r="F875" t="s">
        <v>854</v>
      </c>
      <c r="G875">
        <v>931675</v>
      </c>
      <c r="H875" t="s">
        <v>412</v>
      </c>
      <c r="I875" s="4">
        <v>4900</v>
      </c>
      <c r="J875" s="4">
        <v>561.42240000000004</v>
      </c>
    </row>
    <row r="876" spans="1:10" x14ac:dyDescent="0.35">
      <c r="A876">
        <v>3151272772</v>
      </c>
      <c r="B876" t="s">
        <v>832</v>
      </c>
      <c r="C876" t="s">
        <v>853</v>
      </c>
      <c r="D876" t="s">
        <v>838</v>
      </c>
      <c r="E876" t="s">
        <v>846</v>
      </c>
      <c r="F876" t="s">
        <v>854</v>
      </c>
      <c r="G876">
        <v>931675</v>
      </c>
      <c r="H876" t="s">
        <v>412</v>
      </c>
      <c r="I876" s="4">
        <v>1610</v>
      </c>
      <c r="J876" s="4">
        <v>184.46735999999999</v>
      </c>
    </row>
    <row r="877" spans="1:10" x14ac:dyDescent="0.35">
      <c r="A877">
        <v>3151272773</v>
      </c>
      <c r="B877" t="s">
        <v>832</v>
      </c>
      <c r="C877" t="s">
        <v>853</v>
      </c>
      <c r="D877" t="s">
        <v>838</v>
      </c>
      <c r="E877" t="s">
        <v>846</v>
      </c>
      <c r="F877" t="s">
        <v>854</v>
      </c>
      <c r="G877">
        <v>931675</v>
      </c>
      <c r="H877" t="s">
        <v>412</v>
      </c>
      <c r="I877" s="4">
        <v>560</v>
      </c>
      <c r="J877" s="4">
        <v>64.162559999999999</v>
      </c>
    </row>
    <row r="878" spans="1:10" x14ac:dyDescent="0.35">
      <c r="A878">
        <v>3151272774</v>
      </c>
      <c r="B878" t="s">
        <v>832</v>
      </c>
      <c r="C878" t="s">
        <v>853</v>
      </c>
      <c r="D878" t="s">
        <v>838</v>
      </c>
      <c r="E878" t="s">
        <v>846</v>
      </c>
      <c r="F878" t="s">
        <v>854</v>
      </c>
      <c r="G878">
        <v>931675</v>
      </c>
      <c r="H878" t="s">
        <v>412</v>
      </c>
      <c r="I878" s="4">
        <v>1260</v>
      </c>
      <c r="J878" s="4">
        <v>144.36575999999999</v>
      </c>
    </row>
    <row r="879" spans="1:10" x14ac:dyDescent="0.35">
      <c r="A879">
        <v>3251165702</v>
      </c>
      <c r="B879" t="s">
        <v>832</v>
      </c>
      <c r="C879" t="s">
        <v>853</v>
      </c>
      <c r="D879" t="s">
        <v>838</v>
      </c>
      <c r="E879" t="s">
        <v>846</v>
      </c>
      <c r="F879" t="s">
        <v>854</v>
      </c>
      <c r="G879">
        <v>931675</v>
      </c>
      <c r="H879" t="s">
        <v>412</v>
      </c>
      <c r="I879" s="4">
        <v>70</v>
      </c>
      <c r="J879" s="4">
        <v>8.0203199999999999</v>
      </c>
    </row>
    <row r="880" spans="1:10" x14ac:dyDescent="0.35">
      <c r="A880">
        <v>3151272369</v>
      </c>
      <c r="B880" t="s">
        <v>832</v>
      </c>
      <c r="C880" t="s">
        <v>853</v>
      </c>
      <c r="D880" t="s">
        <v>840</v>
      </c>
      <c r="E880" t="s">
        <v>847</v>
      </c>
      <c r="F880" t="s">
        <v>854</v>
      </c>
      <c r="G880">
        <v>931673</v>
      </c>
      <c r="H880" t="s">
        <v>415</v>
      </c>
      <c r="I880" s="4">
        <v>216</v>
      </c>
      <c r="J880" s="4">
        <v>67.495680000000007</v>
      </c>
    </row>
    <row r="881" spans="1:10" x14ac:dyDescent="0.35">
      <c r="A881">
        <v>3151272370</v>
      </c>
      <c r="B881" t="s">
        <v>832</v>
      </c>
      <c r="C881" t="s">
        <v>853</v>
      </c>
      <c r="D881" t="s">
        <v>840</v>
      </c>
      <c r="E881" t="s">
        <v>847</v>
      </c>
      <c r="F881" t="s">
        <v>854</v>
      </c>
      <c r="G881">
        <v>931673</v>
      </c>
      <c r="H881" t="s">
        <v>415</v>
      </c>
      <c r="I881" s="4">
        <v>48</v>
      </c>
      <c r="J881" s="4">
        <v>14.999040000000001</v>
      </c>
    </row>
    <row r="882" spans="1:10" x14ac:dyDescent="0.35">
      <c r="A882">
        <v>3151272371</v>
      </c>
      <c r="B882" t="s">
        <v>832</v>
      </c>
      <c r="C882" t="s">
        <v>853</v>
      </c>
      <c r="D882" t="s">
        <v>840</v>
      </c>
      <c r="E882" t="s">
        <v>847</v>
      </c>
      <c r="F882" t="s">
        <v>854</v>
      </c>
      <c r="G882">
        <v>931673</v>
      </c>
      <c r="H882" t="s">
        <v>415</v>
      </c>
      <c r="I882" s="4">
        <v>1032</v>
      </c>
      <c r="J882" s="4">
        <v>322.47936000000004</v>
      </c>
    </row>
    <row r="883" spans="1:10" x14ac:dyDescent="0.35">
      <c r="A883">
        <v>3151272372</v>
      </c>
      <c r="B883" t="s">
        <v>832</v>
      </c>
      <c r="C883" t="s">
        <v>853</v>
      </c>
      <c r="D883" t="s">
        <v>840</v>
      </c>
      <c r="E883" t="s">
        <v>847</v>
      </c>
      <c r="F883" t="s">
        <v>854</v>
      </c>
      <c r="G883">
        <v>931673</v>
      </c>
      <c r="H883" t="s">
        <v>415</v>
      </c>
      <c r="I883" s="4">
        <v>96</v>
      </c>
      <c r="J883" s="4">
        <v>29.998080000000002</v>
      </c>
    </row>
    <row r="884" spans="1:10" x14ac:dyDescent="0.35">
      <c r="A884">
        <v>3151272769</v>
      </c>
      <c r="B884" t="s">
        <v>832</v>
      </c>
      <c r="C884" t="s">
        <v>853</v>
      </c>
      <c r="D884" t="s">
        <v>840</v>
      </c>
      <c r="E884" t="s">
        <v>847</v>
      </c>
      <c r="F884" t="s">
        <v>854</v>
      </c>
      <c r="G884">
        <v>931673</v>
      </c>
      <c r="H884" t="s">
        <v>415</v>
      </c>
      <c r="I884" s="4">
        <v>408</v>
      </c>
      <c r="J884" s="4">
        <v>127.49184000000001</v>
      </c>
    </row>
    <row r="885" spans="1:10" x14ac:dyDescent="0.35">
      <c r="A885">
        <v>3151272770</v>
      </c>
      <c r="B885" t="s">
        <v>832</v>
      </c>
      <c r="C885" t="s">
        <v>853</v>
      </c>
      <c r="D885" t="s">
        <v>840</v>
      </c>
      <c r="E885" t="s">
        <v>847</v>
      </c>
      <c r="F885" t="s">
        <v>854</v>
      </c>
      <c r="G885">
        <v>931673</v>
      </c>
      <c r="H885" t="s">
        <v>415</v>
      </c>
      <c r="I885" s="4">
        <v>432</v>
      </c>
      <c r="J885" s="4">
        <v>134.99136000000001</v>
      </c>
    </row>
    <row r="886" spans="1:10" x14ac:dyDescent="0.35">
      <c r="A886">
        <v>3151272771</v>
      </c>
      <c r="B886" t="s">
        <v>832</v>
      </c>
      <c r="C886" t="s">
        <v>853</v>
      </c>
      <c r="D886" t="s">
        <v>840</v>
      </c>
      <c r="E886" t="s">
        <v>847</v>
      </c>
      <c r="F886" t="s">
        <v>854</v>
      </c>
      <c r="G886">
        <v>931673</v>
      </c>
      <c r="H886" t="s">
        <v>415</v>
      </c>
      <c r="I886" s="4">
        <v>2232</v>
      </c>
      <c r="J886" s="4">
        <v>697.45536000000004</v>
      </c>
    </row>
    <row r="887" spans="1:10" x14ac:dyDescent="0.35">
      <c r="A887">
        <v>3151272772</v>
      </c>
      <c r="B887" t="s">
        <v>832</v>
      </c>
      <c r="C887" t="s">
        <v>853</v>
      </c>
      <c r="D887" t="s">
        <v>840</v>
      </c>
      <c r="E887" t="s">
        <v>847</v>
      </c>
      <c r="F887" t="s">
        <v>854</v>
      </c>
      <c r="G887">
        <v>931673</v>
      </c>
      <c r="H887" t="s">
        <v>415</v>
      </c>
      <c r="I887" s="4">
        <v>624</v>
      </c>
      <c r="J887" s="4">
        <v>194.98752000000002</v>
      </c>
    </row>
    <row r="888" spans="1:10" x14ac:dyDescent="0.35">
      <c r="A888">
        <v>3151272773</v>
      </c>
      <c r="B888" t="s">
        <v>832</v>
      </c>
      <c r="C888" t="s">
        <v>853</v>
      </c>
      <c r="D888" t="s">
        <v>840</v>
      </c>
      <c r="E888" t="s">
        <v>847</v>
      </c>
      <c r="F888" t="s">
        <v>854</v>
      </c>
      <c r="G888">
        <v>931673</v>
      </c>
      <c r="H888" t="s">
        <v>415</v>
      </c>
      <c r="I888" s="4">
        <v>432</v>
      </c>
      <c r="J888" s="4">
        <v>134.99136000000001</v>
      </c>
    </row>
    <row r="889" spans="1:10" x14ac:dyDescent="0.35">
      <c r="A889">
        <v>3151272774</v>
      </c>
      <c r="B889" t="s">
        <v>832</v>
      </c>
      <c r="C889" t="s">
        <v>853</v>
      </c>
      <c r="D889" t="s">
        <v>840</v>
      </c>
      <c r="E889" t="s">
        <v>847</v>
      </c>
      <c r="F889" t="s">
        <v>854</v>
      </c>
      <c r="G889">
        <v>931673</v>
      </c>
      <c r="H889" t="s">
        <v>415</v>
      </c>
      <c r="I889" s="4">
        <v>720</v>
      </c>
      <c r="J889" s="4">
        <v>224.98560000000001</v>
      </c>
    </row>
    <row r="890" spans="1:10" x14ac:dyDescent="0.35">
      <c r="A890">
        <v>3151272369</v>
      </c>
      <c r="B890" t="s">
        <v>832</v>
      </c>
      <c r="C890" t="s">
        <v>853</v>
      </c>
      <c r="D890" t="s">
        <v>449</v>
      </c>
      <c r="E890" t="s">
        <v>848</v>
      </c>
      <c r="F890" t="s">
        <v>854</v>
      </c>
      <c r="G890">
        <v>931671</v>
      </c>
      <c r="H890" t="s">
        <v>415</v>
      </c>
      <c r="I890" s="4">
        <v>234</v>
      </c>
      <c r="J890" s="4">
        <v>99.52488000000001</v>
      </c>
    </row>
    <row r="891" spans="1:10" x14ac:dyDescent="0.35">
      <c r="A891">
        <v>3151272370</v>
      </c>
      <c r="B891" t="s">
        <v>832</v>
      </c>
      <c r="C891" t="s">
        <v>853</v>
      </c>
      <c r="D891" t="s">
        <v>449</v>
      </c>
      <c r="E891" t="s">
        <v>848</v>
      </c>
      <c r="F891" t="s">
        <v>854</v>
      </c>
      <c r="G891">
        <v>931671</v>
      </c>
      <c r="H891" t="s">
        <v>415</v>
      </c>
      <c r="I891" s="4">
        <v>144</v>
      </c>
      <c r="J891" s="4">
        <v>61.246080000000006</v>
      </c>
    </row>
    <row r="892" spans="1:10" x14ac:dyDescent="0.35">
      <c r="A892">
        <v>3151272371</v>
      </c>
      <c r="B892" t="s">
        <v>832</v>
      </c>
      <c r="C892" t="s">
        <v>853</v>
      </c>
      <c r="D892" t="s">
        <v>449</v>
      </c>
      <c r="E892" t="s">
        <v>848</v>
      </c>
      <c r="F892" t="s">
        <v>854</v>
      </c>
      <c r="G892">
        <v>931671</v>
      </c>
      <c r="H892" t="s">
        <v>415</v>
      </c>
      <c r="I892" s="4">
        <v>900</v>
      </c>
      <c r="J892" s="4">
        <v>382.78800000000001</v>
      </c>
    </row>
    <row r="893" spans="1:10" x14ac:dyDescent="0.35">
      <c r="A893">
        <v>3151272372</v>
      </c>
      <c r="B893" t="s">
        <v>832</v>
      </c>
      <c r="C893" t="s">
        <v>853</v>
      </c>
      <c r="D893" t="s">
        <v>449</v>
      </c>
      <c r="E893" t="s">
        <v>848</v>
      </c>
      <c r="F893" t="s">
        <v>854</v>
      </c>
      <c r="G893">
        <v>931671</v>
      </c>
      <c r="H893" t="s">
        <v>415</v>
      </c>
      <c r="I893" s="4">
        <v>288</v>
      </c>
      <c r="J893" s="4">
        <v>122.49216000000001</v>
      </c>
    </row>
    <row r="894" spans="1:10" x14ac:dyDescent="0.35">
      <c r="A894">
        <v>3151272769</v>
      </c>
      <c r="B894" t="s">
        <v>832</v>
      </c>
      <c r="C894" t="s">
        <v>853</v>
      </c>
      <c r="D894" t="s">
        <v>449</v>
      </c>
      <c r="E894" t="s">
        <v>848</v>
      </c>
      <c r="F894" t="s">
        <v>854</v>
      </c>
      <c r="G894">
        <v>931671</v>
      </c>
      <c r="H894" t="s">
        <v>415</v>
      </c>
      <c r="I894" s="4">
        <v>54</v>
      </c>
      <c r="J894" s="4">
        <v>22.967279999999999</v>
      </c>
    </row>
    <row r="895" spans="1:10" x14ac:dyDescent="0.35">
      <c r="A895">
        <v>3151272770</v>
      </c>
      <c r="B895" t="s">
        <v>832</v>
      </c>
      <c r="C895" t="s">
        <v>853</v>
      </c>
      <c r="D895" t="s">
        <v>449</v>
      </c>
      <c r="E895" t="s">
        <v>848</v>
      </c>
      <c r="F895" t="s">
        <v>854</v>
      </c>
      <c r="G895">
        <v>931671</v>
      </c>
      <c r="H895" t="s">
        <v>415</v>
      </c>
      <c r="I895" s="4">
        <v>126</v>
      </c>
      <c r="J895" s="4">
        <v>53.590319999999998</v>
      </c>
    </row>
    <row r="896" spans="1:10" x14ac:dyDescent="0.35">
      <c r="A896">
        <v>3151272771</v>
      </c>
      <c r="B896" t="s">
        <v>832</v>
      </c>
      <c r="C896" t="s">
        <v>853</v>
      </c>
      <c r="D896" t="s">
        <v>449</v>
      </c>
      <c r="E896" t="s">
        <v>848</v>
      </c>
      <c r="F896" t="s">
        <v>854</v>
      </c>
      <c r="G896">
        <v>931671</v>
      </c>
      <c r="H896" t="s">
        <v>415</v>
      </c>
      <c r="I896" s="4">
        <v>180</v>
      </c>
      <c r="J896" s="4">
        <v>76.557600000000008</v>
      </c>
    </row>
    <row r="897" spans="1:10" x14ac:dyDescent="0.35">
      <c r="A897">
        <v>3151272773</v>
      </c>
      <c r="B897" t="s">
        <v>832</v>
      </c>
      <c r="C897" t="s">
        <v>853</v>
      </c>
      <c r="D897" t="s">
        <v>449</v>
      </c>
      <c r="E897" t="s">
        <v>848</v>
      </c>
      <c r="F897" t="s">
        <v>854</v>
      </c>
      <c r="G897">
        <v>931671</v>
      </c>
      <c r="H897" t="s">
        <v>415</v>
      </c>
      <c r="I897" s="4">
        <v>126</v>
      </c>
      <c r="J897" s="4">
        <v>53.590319999999998</v>
      </c>
    </row>
    <row r="898" spans="1:10" x14ac:dyDescent="0.35">
      <c r="A898">
        <v>3151272774</v>
      </c>
      <c r="B898" t="s">
        <v>832</v>
      </c>
      <c r="C898" t="s">
        <v>853</v>
      </c>
      <c r="D898" t="s">
        <v>449</v>
      </c>
      <c r="E898" t="s">
        <v>848</v>
      </c>
      <c r="F898" t="s">
        <v>854</v>
      </c>
      <c r="G898">
        <v>931671</v>
      </c>
      <c r="H898" t="s">
        <v>415</v>
      </c>
      <c r="I898" s="4">
        <v>270</v>
      </c>
      <c r="J898" s="4">
        <v>114.8364</v>
      </c>
    </row>
    <row r="899" spans="1:10" x14ac:dyDescent="0.35">
      <c r="A899">
        <v>3151272083</v>
      </c>
      <c r="B899" t="s">
        <v>855</v>
      </c>
      <c r="C899" t="s">
        <v>856</v>
      </c>
      <c r="D899" t="s">
        <v>473</v>
      </c>
      <c r="E899" t="s">
        <v>857</v>
      </c>
      <c r="F899" t="s">
        <v>201</v>
      </c>
      <c r="G899">
        <v>911309</v>
      </c>
      <c r="H899" t="s">
        <v>433</v>
      </c>
      <c r="I899" s="4">
        <v>44820</v>
      </c>
      <c r="J899" s="4">
        <v>3045.6982800000001</v>
      </c>
    </row>
    <row r="900" spans="1:10" x14ac:dyDescent="0.35">
      <c r="A900">
        <v>3151272800</v>
      </c>
      <c r="B900" t="s">
        <v>855</v>
      </c>
      <c r="C900" t="s">
        <v>856</v>
      </c>
      <c r="D900" t="s">
        <v>473</v>
      </c>
      <c r="E900" t="s">
        <v>857</v>
      </c>
      <c r="F900" t="s">
        <v>201</v>
      </c>
      <c r="G900">
        <v>911309</v>
      </c>
      <c r="H900" t="s">
        <v>433</v>
      </c>
      <c r="I900" s="4">
        <v>81900</v>
      </c>
      <c r="J900" s="4">
        <v>5565.4326000000001</v>
      </c>
    </row>
    <row r="901" spans="1:10" x14ac:dyDescent="0.35">
      <c r="A901">
        <v>3151272083</v>
      </c>
      <c r="B901" t="s">
        <v>855</v>
      </c>
      <c r="C901" t="s">
        <v>858</v>
      </c>
      <c r="D901" t="s">
        <v>725</v>
      </c>
      <c r="E901" t="s">
        <v>859</v>
      </c>
      <c r="F901" t="s">
        <v>201</v>
      </c>
      <c r="G901">
        <v>911307</v>
      </c>
      <c r="H901" t="s">
        <v>415</v>
      </c>
      <c r="I901" s="4">
        <v>4176</v>
      </c>
      <c r="J901" s="4">
        <v>2834.7397919999999</v>
      </c>
    </row>
    <row r="902" spans="1:10" x14ac:dyDescent="0.35">
      <c r="A902">
        <v>3151272800</v>
      </c>
      <c r="B902" t="s">
        <v>855</v>
      </c>
      <c r="C902" t="s">
        <v>858</v>
      </c>
      <c r="D902" t="s">
        <v>725</v>
      </c>
      <c r="E902" t="s">
        <v>859</v>
      </c>
      <c r="F902" t="s">
        <v>201</v>
      </c>
      <c r="G902">
        <v>911307</v>
      </c>
      <c r="H902" t="s">
        <v>415</v>
      </c>
      <c r="I902" s="4">
        <v>8280</v>
      </c>
      <c r="J902" s="4">
        <v>5620.6047600000002</v>
      </c>
    </row>
    <row r="903" spans="1:10" x14ac:dyDescent="0.35">
      <c r="A903">
        <v>3151272083</v>
      </c>
      <c r="B903" t="s">
        <v>855</v>
      </c>
      <c r="C903" t="s">
        <v>860</v>
      </c>
      <c r="D903" t="s">
        <v>861</v>
      </c>
      <c r="E903" t="s">
        <v>862</v>
      </c>
      <c r="F903" t="s">
        <v>201</v>
      </c>
      <c r="G903">
        <v>911308</v>
      </c>
      <c r="H903" t="s">
        <v>412</v>
      </c>
      <c r="I903" s="4">
        <v>14280</v>
      </c>
      <c r="J903" s="4">
        <v>3258.02484</v>
      </c>
    </row>
    <row r="904" spans="1:10" x14ac:dyDescent="0.35">
      <c r="A904">
        <v>3151272800</v>
      </c>
      <c r="B904" t="s">
        <v>855</v>
      </c>
      <c r="C904" t="s">
        <v>860</v>
      </c>
      <c r="D904" t="s">
        <v>861</v>
      </c>
      <c r="E904" t="s">
        <v>862</v>
      </c>
      <c r="F904" t="s">
        <v>201</v>
      </c>
      <c r="G904">
        <v>911308</v>
      </c>
      <c r="H904" t="s">
        <v>412</v>
      </c>
      <c r="I904" s="4">
        <v>27300</v>
      </c>
      <c r="J904" s="4">
        <v>6228.5769</v>
      </c>
    </row>
    <row r="905" spans="1:10" x14ac:dyDescent="0.35">
      <c r="A905">
        <v>3151272469</v>
      </c>
      <c r="B905" t="s">
        <v>863</v>
      </c>
      <c r="C905" t="s">
        <v>864</v>
      </c>
      <c r="D905" t="s">
        <v>422</v>
      </c>
      <c r="E905" t="s">
        <v>865</v>
      </c>
      <c r="F905" t="s">
        <v>201</v>
      </c>
      <c r="G905">
        <v>946043</v>
      </c>
      <c r="H905" t="s">
        <v>412</v>
      </c>
      <c r="I905" s="4">
        <v>3240</v>
      </c>
      <c r="J905" s="4">
        <v>801.9</v>
      </c>
    </row>
    <row r="906" spans="1:10" x14ac:dyDescent="0.35">
      <c r="A906">
        <v>3151272469</v>
      </c>
      <c r="B906" t="s">
        <v>863</v>
      </c>
      <c r="C906" t="s">
        <v>864</v>
      </c>
      <c r="D906" t="s">
        <v>449</v>
      </c>
      <c r="E906" t="s">
        <v>866</v>
      </c>
      <c r="F906" t="s">
        <v>201</v>
      </c>
      <c r="G906">
        <v>946042</v>
      </c>
      <c r="H906" t="s">
        <v>415</v>
      </c>
      <c r="I906" s="4">
        <v>2222</v>
      </c>
      <c r="J906" s="4">
        <v>1197.6580000000001</v>
      </c>
    </row>
    <row r="907" spans="1:10" x14ac:dyDescent="0.35">
      <c r="A907">
        <v>3151272469</v>
      </c>
      <c r="B907" t="s">
        <v>863</v>
      </c>
      <c r="C907" t="s">
        <v>864</v>
      </c>
      <c r="D907" t="s">
        <v>457</v>
      </c>
      <c r="E907" t="s">
        <v>867</v>
      </c>
      <c r="F907" t="s">
        <v>201</v>
      </c>
      <c r="G907">
        <v>946044</v>
      </c>
      <c r="H907" t="s">
        <v>421</v>
      </c>
      <c r="I907" s="4">
        <v>3200</v>
      </c>
      <c r="J907" s="4">
        <v>2376</v>
      </c>
    </row>
    <row r="908" spans="1:10" x14ac:dyDescent="0.35">
      <c r="A908">
        <v>3151270529</v>
      </c>
      <c r="B908" t="s">
        <v>868</v>
      </c>
      <c r="C908" t="s">
        <v>869</v>
      </c>
      <c r="D908" t="s">
        <v>422</v>
      </c>
      <c r="E908" t="s">
        <v>870</v>
      </c>
      <c r="F908" t="s">
        <v>201</v>
      </c>
      <c r="G908">
        <v>942794</v>
      </c>
      <c r="H908" t="s">
        <v>412</v>
      </c>
      <c r="I908" s="4">
        <v>7860</v>
      </c>
      <c r="J908" s="4">
        <v>1768.5</v>
      </c>
    </row>
    <row r="909" spans="1:10" x14ac:dyDescent="0.35">
      <c r="A909">
        <v>3151271110</v>
      </c>
      <c r="B909" t="s">
        <v>868</v>
      </c>
      <c r="C909" t="s">
        <v>869</v>
      </c>
      <c r="D909" t="s">
        <v>422</v>
      </c>
      <c r="E909" t="s">
        <v>870</v>
      </c>
      <c r="F909" t="s">
        <v>201</v>
      </c>
      <c r="G909">
        <v>942794</v>
      </c>
      <c r="H909" t="s">
        <v>412</v>
      </c>
      <c r="I909" s="4">
        <v>5040</v>
      </c>
      <c r="J909" s="4">
        <v>1134</v>
      </c>
    </row>
    <row r="910" spans="1:10" x14ac:dyDescent="0.35">
      <c r="A910">
        <v>3151271670</v>
      </c>
      <c r="B910" t="s">
        <v>868</v>
      </c>
      <c r="C910" t="s">
        <v>869</v>
      </c>
      <c r="D910" t="s">
        <v>422</v>
      </c>
      <c r="E910" t="s">
        <v>870</v>
      </c>
      <c r="G910">
        <v>942794</v>
      </c>
      <c r="H910" t="s">
        <v>412</v>
      </c>
      <c r="I910" s="4">
        <v>3000</v>
      </c>
      <c r="J910" s="4">
        <v>675</v>
      </c>
    </row>
    <row r="911" spans="1:10" x14ac:dyDescent="0.35">
      <c r="A911">
        <v>3151270529</v>
      </c>
      <c r="B911" t="s">
        <v>868</v>
      </c>
      <c r="C911" t="s">
        <v>869</v>
      </c>
      <c r="D911" t="s">
        <v>427</v>
      </c>
      <c r="E911" t="s">
        <v>871</v>
      </c>
      <c r="F911" t="s">
        <v>201</v>
      </c>
      <c r="G911">
        <v>942795</v>
      </c>
      <c r="H911" t="s">
        <v>415</v>
      </c>
      <c r="I911" s="4">
        <v>6408</v>
      </c>
      <c r="J911" s="4">
        <v>2915.64</v>
      </c>
    </row>
    <row r="912" spans="1:10" x14ac:dyDescent="0.35">
      <c r="A912">
        <v>3151271110</v>
      </c>
      <c r="B912" t="s">
        <v>868</v>
      </c>
      <c r="C912" t="s">
        <v>869</v>
      </c>
      <c r="D912" t="s">
        <v>427</v>
      </c>
      <c r="E912" t="s">
        <v>871</v>
      </c>
      <c r="F912" t="s">
        <v>201</v>
      </c>
      <c r="G912">
        <v>942795</v>
      </c>
      <c r="H912" t="s">
        <v>415</v>
      </c>
      <c r="I912" s="4">
        <v>3420</v>
      </c>
      <c r="J912" s="4">
        <v>1556.1000000000001</v>
      </c>
    </row>
    <row r="913" spans="1:10" x14ac:dyDescent="0.35">
      <c r="A913">
        <v>3151271670</v>
      </c>
      <c r="B913" t="s">
        <v>868</v>
      </c>
      <c r="C913" t="s">
        <v>869</v>
      </c>
      <c r="D913" t="s">
        <v>427</v>
      </c>
      <c r="E913" t="s">
        <v>871</v>
      </c>
      <c r="G913">
        <v>942795</v>
      </c>
      <c r="H913" t="s">
        <v>415</v>
      </c>
      <c r="I913" s="4">
        <v>2412</v>
      </c>
      <c r="J913" s="4">
        <v>1097.46</v>
      </c>
    </row>
    <row r="914" spans="1:10" x14ac:dyDescent="0.35">
      <c r="A914">
        <v>3151271110</v>
      </c>
      <c r="B914" t="s">
        <v>868</v>
      </c>
      <c r="C914" t="s">
        <v>869</v>
      </c>
      <c r="D914" t="s">
        <v>457</v>
      </c>
      <c r="E914" t="s">
        <v>872</v>
      </c>
      <c r="F914" t="s">
        <v>201</v>
      </c>
      <c r="G914">
        <v>942792</v>
      </c>
      <c r="H914" t="s">
        <v>421</v>
      </c>
      <c r="I914" s="4">
        <v>800</v>
      </c>
      <c r="J914" s="4">
        <v>540</v>
      </c>
    </row>
    <row r="915" spans="1:10" x14ac:dyDescent="0.35">
      <c r="A915">
        <v>3151271529</v>
      </c>
      <c r="B915" t="s">
        <v>868</v>
      </c>
      <c r="C915" t="s">
        <v>873</v>
      </c>
      <c r="D915" t="s">
        <v>422</v>
      </c>
      <c r="E915" t="s">
        <v>874</v>
      </c>
      <c r="F915" t="s">
        <v>440</v>
      </c>
      <c r="G915">
        <v>944938</v>
      </c>
      <c r="H915" t="s">
        <v>412</v>
      </c>
      <c r="I915" s="4">
        <v>3060</v>
      </c>
      <c r="J915" s="4">
        <v>619.65</v>
      </c>
    </row>
    <row r="916" spans="1:10" x14ac:dyDescent="0.35">
      <c r="A916">
        <v>3151271529</v>
      </c>
      <c r="B916" t="s">
        <v>868</v>
      </c>
      <c r="C916" t="s">
        <v>873</v>
      </c>
      <c r="D916" t="s">
        <v>427</v>
      </c>
      <c r="E916" t="s">
        <v>875</v>
      </c>
      <c r="F916" t="s">
        <v>440</v>
      </c>
      <c r="G916">
        <v>944939</v>
      </c>
      <c r="H916" t="s">
        <v>415</v>
      </c>
      <c r="I916" s="4">
        <v>3264</v>
      </c>
      <c r="J916" s="4">
        <v>1336.6079999999999</v>
      </c>
    </row>
    <row r="917" spans="1:10" x14ac:dyDescent="0.35">
      <c r="A917">
        <v>3151272657</v>
      </c>
      <c r="B917" t="s">
        <v>876</v>
      </c>
      <c r="C917" t="s">
        <v>877</v>
      </c>
      <c r="D917" t="s">
        <v>449</v>
      </c>
      <c r="E917" t="s">
        <v>878</v>
      </c>
      <c r="G917">
        <v>945706</v>
      </c>
      <c r="H917" t="s">
        <v>415</v>
      </c>
      <c r="I917" s="4">
        <v>400</v>
      </c>
      <c r="J917" s="4">
        <v>215.6</v>
      </c>
    </row>
    <row r="918" spans="1:10" x14ac:dyDescent="0.35">
      <c r="A918">
        <v>3151272455</v>
      </c>
      <c r="B918" t="s">
        <v>876</v>
      </c>
      <c r="C918" t="s">
        <v>877</v>
      </c>
      <c r="D918" t="s">
        <v>449</v>
      </c>
      <c r="E918" t="s">
        <v>878</v>
      </c>
      <c r="F918" t="s">
        <v>201</v>
      </c>
      <c r="G918">
        <v>945706</v>
      </c>
      <c r="H918" t="s">
        <v>415</v>
      </c>
      <c r="I918" s="4">
        <v>3000</v>
      </c>
      <c r="J918" s="4">
        <v>1617</v>
      </c>
    </row>
    <row r="919" spans="1:10" x14ac:dyDescent="0.35">
      <c r="A919">
        <v>3151272280</v>
      </c>
      <c r="B919" t="s">
        <v>879</v>
      </c>
      <c r="C919" t="s">
        <v>880</v>
      </c>
      <c r="D919" t="s">
        <v>445</v>
      </c>
      <c r="E919" t="s">
        <v>881</v>
      </c>
      <c r="F919" t="s">
        <v>201</v>
      </c>
      <c r="G919">
        <v>940784</v>
      </c>
      <c r="H919" t="s">
        <v>433</v>
      </c>
      <c r="I919" s="4">
        <v>480</v>
      </c>
      <c r="J919" s="4">
        <v>23.112000000000002</v>
      </c>
    </row>
    <row r="920" spans="1:10" x14ac:dyDescent="0.35">
      <c r="A920">
        <v>3151272281</v>
      </c>
      <c r="B920" t="s">
        <v>879</v>
      </c>
      <c r="C920" t="s">
        <v>880</v>
      </c>
      <c r="D920" t="s">
        <v>445</v>
      </c>
      <c r="E920" t="s">
        <v>881</v>
      </c>
      <c r="F920" t="s">
        <v>201</v>
      </c>
      <c r="G920">
        <v>940784</v>
      </c>
      <c r="H920" t="s">
        <v>433</v>
      </c>
      <c r="I920" s="4">
        <v>2208</v>
      </c>
      <c r="J920" s="4">
        <v>106.3152</v>
      </c>
    </row>
    <row r="921" spans="1:10" x14ac:dyDescent="0.35">
      <c r="A921">
        <v>3151272282</v>
      </c>
      <c r="B921" t="s">
        <v>879</v>
      </c>
      <c r="C921" t="s">
        <v>880</v>
      </c>
      <c r="D921" t="s">
        <v>445</v>
      </c>
      <c r="E921" t="s">
        <v>881</v>
      </c>
      <c r="F921" t="s">
        <v>201</v>
      </c>
      <c r="G921">
        <v>940784</v>
      </c>
      <c r="H921" t="s">
        <v>433</v>
      </c>
      <c r="I921" s="4">
        <v>6336</v>
      </c>
      <c r="J921" s="4">
        <v>305.07839999999999</v>
      </c>
    </row>
    <row r="922" spans="1:10" x14ac:dyDescent="0.35">
      <c r="A922">
        <v>3151272280</v>
      </c>
      <c r="B922" t="s">
        <v>879</v>
      </c>
      <c r="C922" t="s">
        <v>880</v>
      </c>
      <c r="D922" t="s">
        <v>524</v>
      </c>
      <c r="E922" t="s">
        <v>882</v>
      </c>
      <c r="F922" t="s">
        <v>201</v>
      </c>
      <c r="G922">
        <v>940783</v>
      </c>
      <c r="H922" t="s">
        <v>412</v>
      </c>
      <c r="I922" s="4">
        <v>540</v>
      </c>
      <c r="J922" s="4">
        <v>87.825599999999994</v>
      </c>
    </row>
    <row r="923" spans="1:10" x14ac:dyDescent="0.35">
      <c r="A923">
        <v>3151272281</v>
      </c>
      <c r="B923" t="s">
        <v>879</v>
      </c>
      <c r="C923" t="s">
        <v>880</v>
      </c>
      <c r="D923" t="s">
        <v>524</v>
      </c>
      <c r="E923" t="s">
        <v>882</v>
      </c>
      <c r="F923" t="s">
        <v>201</v>
      </c>
      <c r="G923">
        <v>940783</v>
      </c>
      <c r="H923" t="s">
        <v>412</v>
      </c>
      <c r="I923" s="4">
        <v>36</v>
      </c>
      <c r="J923" s="4">
        <v>5.8550399999999989</v>
      </c>
    </row>
    <row r="924" spans="1:10" x14ac:dyDescent="0.35">
      <c r="A924">
        <v>3151272282</v>
      </c>
      <c r="B924" t="s">
        <v>879</v>
      </c>
      <c r="C924" t="s">
        <v>880</v>
      </c>
      <c r="D924" t="s">
        <v>524</v>
      </c>
      <c r="E924" t="s">
        <v>882</v>
      </c>
      <c r="F924" t="s">
        <v>201</v>
      </c>
      <c r="G924">
        <v>940783</v>
      </c>
      <c r="H924" t="s">
        <v>412</v>
      </c>
      <c r="I924" s="4">
        <v>1368</v>
      </c>
      <c r="J924" s="4">
        <v>222.49151999999998</v>
      </c>
    </row>
    <row r="925" spans="1:10" x14ac:dyDescent="0.35">
      <c r="A925">
        <v>3151272283</v>
      </c>
      <c r="B925" t="s">
        <v>879</v>
      </c>
      <c r="C925" t="s">
        <v>880</v>
      </c>
      <c r="D925" t="s">
        <v>524</v>
      </c>
      <c r="E925" t="s">
        <v>882</v>
      </c>
      <c r="F925" t="s">
        <v>201</v>
      </c>
      <c r="G925">
        <v>940783</v>
      </c>
      <c r="H925" t="s">
        <v>412</v>
      </c>
      <c r="I925" s="4">
        <v>864</v>
      </c>
      <c r="J925" s="4">
        <v>140.52096</v>
      </c>
    </row>
    <row r="926" spans="1:10" x14ac:dyDescent="0.35">
      <c r="A926">
        <v>3151272280</v>
      </c>
      <c r="B926" t="s">
        <v>879</v>
      </c>
      <c r="C926" t="s">
        <v>880</v>
      </c>
      <c r="D926" t="s">
        <v>840</v>
      </c>
      <c r="E926" t="s">
        <v>883</v>
      </c>
      <c r="F926" t="s">
        <v>201</v>
      </c>
      <c r="G926">
        <v>940781</v>
      </c>
      <c r="H926" t="s">
        <v>415</v>
      </c>
      <c r="I926" s="4">
        <v>120</v>
      </c>
      <c r="J926" s="4">
        <v>46.224000000000004</v>
      </c>
    </row>
    <row r="927" spans="1:10" x14ac:dyDescent="0.35">
      <c r="A927">
        <v>3151272281</v>
      </c>
      <c r="B927" t="s">
        <v>879</v>
      </c>
      <c r="C927" t="s">
        <v>880</v>
      </c>
      <c r="D927" t="s">
        <v>840</v>
      </c>
      <c r="E927" t="s">
        <v>883</v>
      </c>
      <c r="F927" t="s">
        <v>201</v>
      </c>
      <c r="G927">
        <v>940781</v>
      </c>
      <c r="H927" t="s">
        <v>415</v>
      </c>
      <c r="I927" s="4">
        <v>168</v>
      </c>
      <c r="J927" s="4">
        <v>64.7136</v>
      </c>
    </row>
    <row r="928" spans="1:10" x14ac:dyDescent="0.35">
      <c r="A928">
        <v>3151272282</v>
      </c>
      <c r="B928" t="s">
        <v>879</v>
      </c>
      <c r="C928" t="s">
        <v>880</v>
      </c>
      <c r="D928" t="s">
        <v>840</v>
      </c>
      <c r="E928" t="s">
        <v>883</v>
      </c>
      <c r="F928" t="s">
        <v>201</v>
      </c>
      <c r="G928">
        <v>940781</v>
      </c>
      <c r="H928" t="s">
        <v>415</v>
      </c>
      <c r="I928" s="4">
        <v>2616</v>
      </c>
      <c r="J928" s="4">
        <v>1007.6831999999999</v>
      </c>
    </row>
    <row r="929" spans="1:10" x14ac:dyDescent="0.35">
      <c r="A929">
        <v>3151272283</v>
      </c>
      <c r="B929" t="s">
        <v>879</v>
      </c>
      <c r="C929" t="s">
        <v>880</v>
      </c>
      <c r="D929" t="s">
        <v>840</v>
      </c>
      <c r="E929" t="s">
        <v>883</v>
      </c>
      <c r="F929" t="s">
        <v>201</v>
      </c>
      <c r="G929">
        <v>940781</v>
      </c>
      <c r="H929" t="s">
        <v>415</v>
      </c>
      <c r="I929" s="4">
        <v>720</v>
      </c>
      <c r="J929" s="4">
        <v>277.34399999999999</v>
      </c>
    </row>
    <row r="930" spans="1:10" x14ac:dyDescent="0.35">
      <c r="A930">
        <v>3151272339</v>
      </c>
      <c r="B930" t="s">
        <v>884</v>
      </c>
      <c r="C930" t="s">
        <v>885</v>
      </c>
      <c r="D930" t="s">
        <v>814</v>
      </c>
      <c r="E930" t="s">
        <v>886</v>
      </c>
      <c r="F930" t="s">
        <v>420</v>
      </c>
      <c r="G930">
        <v>949123</v>
      </c>
      <c r="H930" t="s">
        <v>412</v>
      </c>
      <c r="I930" s="4">
        <v>2944</v>
      </c>
      <c r="J930" s="4">
        <v>410.39360000000005</v>
      </c>
    </row>
    <row r="931" spans="1:10" x14ac:dyDescent="0.35">
      <c r="A931">
        <v>3151272339</v>
      </c>
      <c r="B931" t="s">
        <v>884</v>
      </c>
      <c r="C931" t="s">
        <v>885</v>
      </c>
      <c r="D931" t="s">
        <v>732</v>
      </c>
      <c r="E931" t="s">
        <v>887</v>
      </c>
      <c r="F931" t="s">
        <v>420</v>
      </c>
      <c r="G931">
        <v>949122</v>
      </c>
      <c r="H931" t="s">
        <v>415</v>
      </c>
      <c r="I931" s="4">
        <v>2944</v>
      </c>
      <c r="J931" s="4">
        <v>1407.8208</v>
      </c>
    </row>
    <row r="932" spans="1:10" x14ac:dyDescent="0.35">
      <c r="A932">
        <v>3151271987</v>
      </c>
      <c r="B932" t="s">
        <v>884</v>
      </c>
      <c r="C932" t="s">
        <v>888</v>
      </c>
      <c r="D932" t="s">
        <v>814</v>
      </c>
      <c r="E932" t="s">
        <v>889</v>
      </c>
      <c r="F932" t="s">
        <v>420</v>
      </c>
      <c r="G932">
        <v>948389</v>
      </c>
      <c r="H932" t="s">
        <v>412</v>
      </c>
      <c r="I932" s="4">
        <v>2944</v>
      </c>
      <c r="J932" s="4">
        <v>410.39360000000005</v>
      </c>
    </row>
    <row r="933" spans="1:10" x14ac:dyDescent="0.35">
      <c r="A933">
        <v>3151271987</v>
      </c>
      <c r="B933" t="s">
        <v>884</v>
      </c>
      <c r="C933" t="s">
        <v>888</v>
      </c>
      <c r="D933" t="s">
        <v>732</v>
      </c>
      <c r="E933" t="s">
        <v>890</v>
      </c>
      <c r="F933" t="s">
        <v>420</v>
      </c>
      <c r="G933">
        <v>948388</v>
      </c>
      <c r="H933" t="s">
        <v>415</v>
      </c>
      <c r="I933" s="4">
        <v>2944</v>
      </c>
      <c r="J933" s="4">
        <v>1407.8208</v>
      </c>
    </row>
    <row r="934" spans="1:10" x14ac:dyDescent="0.35">
      <c r="A934">
        <v>3151271988</v>
      </c>
      <c r="B934" t="s">
        <v>884</v>
      </c>
      <c r="C934" t="s">
        <v>891</v>
      </c>
      <c r="D934" t="s">
        <v>814</v>
      </c>
      <c r="E934" t="s">
        <v>892</v>
      </c>
      <c r="F934" t="s">
        <v>420</v>
      </c>
      <c r="G934">
        <v>948471</v>
      </c>
      <c r="H934" t="s">
        <v>412</v>
      </c>
      <c r="I934" s="4">
        <v>2944</v>
      </c>
      <c r="J934" s="4">
        <v>410.39360000000005</v>
      </c>
    </row>
    <row r="935" spans="1:10" x14ac:dyDescent="0.35">
      <c r="A935">
        <v>3151271988</v>
      </c>
      <c r="B935" t="s">
        <v>884</v>
      </c>
      <c r="C935" t="s">
        <v>891</v>
      </c>
      <c r="D935" t="s">
        <v>732</v>
      </c>
      <c r="E935" t="s">
        <v>893</v>
      </c>
      <c r="F935" t="s">
        <v>420</v>
      </c>
      <c r="G935">
        <v>948392</v>
      </c>
      <c r="H935" t="s">
        <v>415</v>
      </c>
      <c r="I935" s="4">
        <v>2944</v>
      </c>
      <c r="J935" s="4">
        <v>1407.8208</v>
      </c>
    </row>
    <row r="936" spans="1:10" x14ac:dyDescent="0.35">
      <c r="A936">
        <v>3151271563</v>
      </c>
      <c r="B936" t="s">
        <v>884</v>
      </c>
      <c r="C936" t="s">
        <v>894</v>
      </c>
      <c r="D936" t="s">
        <v>434</v>
      </c>
      <c r="E936" t="s">
        <v>895</v>
      </c>
      <c r="G936">
        <v>947183</v>
      </c>
      <c r="H936" t="s">
        <v>415</v>
      </c>
      <c r="I936" s="4">
        <v>12456</v>
      </c>
      <c r="J936" s="4">
        <v>6484.5936000000011</v>
      </c>
    </row>
    <row r="937" spans="1:10" x14ac:dyDescent="0.35">
      <c r="A937">
        <v>3151271564</v>
      </c>
      <c r="B937" t="s">
        <v>884</v>
      </c>
      <c r="C937" t="s">
        <v>894</v>
      </c>
      <c r="D937" t="s">
        <v>434</v>
      </c>
      <c r="E937" t="s">
        <v>895</v>
      </c>
      <c r="G937">
        <v>947183</v>
      </c>
      <c r="H937" t="s">
        <v>415</v>
      </c>
      <c r="I937" s="4">
        <v>12456</v>
      </c>
      <c r="J937" s="4">
        <v>6484.5936000000011</v>
      </c>
    </row>
    <row r="938" spans="1:10" x14ac:dyDescent="0.35">
      <c r="A938">
        <v>3151271566</v>
      </c>
      <c r="B938" t="s">
        <v>884</v>
      </c>
      <c r="C938" t="s">
        <v>894</v>
      </c>
      <c r="D938" t="s">
        <v>434</v>
      </c>
      <c r="E938" t="s">
        <v>895</v>
      </c>
      <c r="G938">
        <v>947183</v>
      </c>
      <c r="H938" t="s">
        <v>415</v>
      </c>
      <c r="I938" s="4">
        <v>12456</v>
      </c>
      <c r="J938" s="4">
        <v>6484.5936000000011</v>
      </c>
    </row>
    <row r="939" spans="1:10" x14ac:dyDescent="0.35">
      <c r="A939">
        <v>3151271609</v>
      </c>
      <c r="B939" t="s">
        <v>896</v>
      </c>
      <c r="C939" t="s">
        <v>897</v>
      </c>
      <c r="D939" t="s">
        <v>606</v>
      </c>
      <c r="E939" t="s">
        <v>898</v>
      </c>
      <c r="F939" t="s">
        <v>201</v>
      </c>
      <c r="G939">
        <v>940128</v>
      </c>
      <c r="H939" t="s">
        <v>421</v>
      </c>
      <c r="I939" s="4">
        <v>1863</v>
      </c>
      <c r="J939" s="4">
        <v>1453.14</v>
      </c>
    </row>
    <row r="940" spans="1:10" x14ac:dyDescent="0.35">
      <c r="A940">
        <v>3151271612</v>
      </c>
      <c r="B940" t="s">
        <v>896</v>
      </c>
      <c r="C940" t="s">
        <v>897</v>
      </c>
      <c r="D940" t="s">
        <v>606</v>
      </c>
      <c r="E940" t="s">
        <v>898</v>
      </c>
      <c r="F940" t="s">
        <v>201</v>
      </c>
      <c r="G940">
        <v>940128</v>
      </c>
      <c r="H940" t="s">
        <v>421</v>
      </c>
      <c r="I940" s="4">
        <v>11592</v>
      </c>
      <c r="J940" s="4">
        <v>9041.76</v>
      </c>
    </row>
    <row r="941" spans="1:10" x14ac:dyDescent="0.35">
      <c r="A941">
        <v>3151271658</v>
      </c>
      <c r="B941" t="s">
        <v>896</v>
      </c>
      <c r="C941" t="s">
        <v>897</v>
      </c>
      <c r="D941" t="s">
        <v>606</v>
      </c>
      <c r="E941" t="s">
        <v>898</v>
      </c>
      <c r="F941" t="s">
        <v>201</v>
      </c>
      <c r="G941">
        <v>940128</v>
      </c>
      <c r="H941" t="s">
        <v>421</v>
      </c>
      <c r="I941" s="4">
        <v>5382</v>
      </c>
      <c r="J941" s="4">
        <v>4197.96</v>
      </c>
    </row>
    <row r="942" spans="1:10" x14ac:dyDescent="0.35">
      <c r="A942">
        <v>3151271669</v>
      </c>
      <c r="B942" t="s">
        <v>896</v>
      </c>
      <c r="C942" t="s">
        <v>897</v>
      </c>
      <c r="D942" t="s">
        <v>445</v>
      </c>
      <c r="E942" t="s">
        <v>899</v>
      </c>
      <c r="G942">
        <v>940127</v>
      </c>
      <c r="H942" t="s">
        <v>433</v>
      </c>
      <c r="I942" s="4">
        <v>21504</v>
      </c>
      <c r="J942" s="4">
        <v>1122.5088000000001</v>
      </c>
    </row>
    <row r="943" spans="1:10" x14ac:dyDescent="0.35">
      <c r="A943">
        <v>3151271669</v>
      </c>
      <c r="B943" t="s">
        <v>896</v>
      </c>
      <c r="C943" t="s">
        <v>897</v>
      </c>
      <c r="D943" t="s">
        <v>900</v>
      </c>
      <c r="E943" t="s">
        <v>901</v>
      </c>
      <c r="G943">
        <v>940126</v>
      </c>
      <c r="H943" t="s">
        <v>412</v>
      </c>
      <c r="I943" s="4">
        <v>780</v>
      </c>
      <c r="J943" s="4">
        <v>143.32500000000002</v>
      </c>
    </row>
    <row r="944" spans="1:10" x14ac:dyDescent="0.35">
      <c r="A944">
        <v>3151271603</v>
      </c>
      <c r="B944" t="s">
        <v>896</v>
      </c>
      <c r="C944" t="s">
        <v>897</v>
      </c>
      <c r="D944" t="s">
        <v>900</v>
      </c>
      <c r="E944" t="s">
        <v>901</v>
      </c>
      <c r="G944">
        <v>940126</v>
      </c>
      <c r="H944" t="s">
        <v>412</v>
      </c>
      <c r="I944" s="4">
        <v>43680</v>
      </c>
      <c r="J944" s="4">
        <v>8026.2</v>
      </c>
    </row>
    <row r="945" spans="1:10" x14ac:dyDescent="0.35">
      <c r="A945">
        <v>3151271604</v>
      </c>
      <c r="B945" t="s">
        <v>896</v>
      </c>
      <c r="C945" t="s">
        <v>897</v>
      </c>
      <c r="D945" t="s">
        <v>900</v>
      </c>
      <c r="E945" t="s">
        <v>901</v>
      </c>
      <c r="F945" t="s">
        <v>201</v>
      </c>
      <c r="G945">
        <v>940126</v>
      </c>
      <c r="H945" t="s">
        <v>412</v>
      </c>
      <c r="I945" s="4">
        <v>12480</v>
      </c>
      <c r="J945" s="4">
        <v>2293.2000000000003</v>
      </c>
    </row>
    <row r="946" spans="1:10" x14ac:dyDescent="0.35">
      <c r="A946">
        <v>3151271611</v>
      </c>
      <c r="B946" t="s">
        <v>896</v>
      </c>
      <c r="C946" t="s">
        <v>897</v>
      </c>
      <c r="D946" t="s">
        <v>900</v>
      </c>
      <c r="E946" t="s">
        <v>901</v>
      </c>
      <c r="F946" t="s">
        <v>201</v>
      </c>
      <c r="G946">
        <v>940126</v>
      </c>
      <c r="H946" t="s">
        <v>412</v>
      </c>
      <c r="I946" s="4">
        <v>24180</v>
      </c>
      <c r="J946" s="4">
        <v>4443.0749999999998</v>
      </c>
    </row>
    <row r="947" spans="1:10" x14ac:dyDescent="0.35">
      <c r="A947">
        <v>3151271661</v>
      </c>
      <c r="B947" t="s">
        <v>896</v>
      </c>
      <c r="C947" t="s">
        <v>897</v>
      </c>
      <c r="D947" t="s">
        <v>900</v>
      </c>
      <c r="E947" t="s">
        <v>901</v>
      </c>
      <c r="F947" t="s">
        <v>201</v>
      </c>
      <c r="G947">
        <v>940126</v>
      </c>
      <c r="H947" t="s">
        <v>412</v>
      </c>
      <c r="I947" s="4">
        <v>43680</v>
      </c>
      <c r="J947" s="4">
        <v>8026.2</v>
      </c>
    </row>
    <row r="948" spans="1:10" x14ac:dyDescent="0.35">
      <c r="A948">
        <v>3151271662</v>
      </c>
      <c r="B948" t="s">
        <v>896</v>
      </c>
      <c r="C948" t="s">
        <v>897</v>
      </c>
      <c r="D948" t="s">
        <v>900</v>
      </c>
      <c r="E948" t="s">
        <v>901</v>
      </c>
      <c r="F948" t="s">
        <v>201</v>
      </c>
      <c r="G948">
        <v>940126</v>
      </c>
      <c r="H948" t="s">
        <v>412</v>
      </c>
      <c r="I948" s="4">
        <v>23400</v>
      </c>
      <c r="J948" s="4">
        <v>4299.75</v>
      </c>
    </row>
    <row r="949" spans="1:10" x14ac:dyDescent="0.35">
      <c r="A949">
        <v>3151271669</v>
      </c>
      <c r="B949" t="s">
        <v>896</v>
      </c>
      <c r="C949" t="s">
        <v>897</v>
      </c>
      <c r="D949" t="s">
        <v>449</v>
      </c>
      <c r="E949" t="s">
        <v>902</v>
      </c>
      <c r="G949">
        <v>940123</v>
      </c>
      <c r="H949" t="s">
        <v>415</v>
      </c>
      <c r="I949" s="4">
        <v>1280</v>
      </c>
      <c r="J949" s="4">
        <v>652.28800000000001</v>
      </c>
    </row>
    <row r="950" spans="1:10" x14ac:dyDescent="0.35">
      <c r="A950">
        <v>3151271604</v>
      </c>
      <c r="B950" t="s">
        <v>896</v>
      </c>
      <c r="C950" t="s">
        <v>897</v>
      </c>
      <c r="D950" t="s">
        <v>449</v>
      </c>
      <c r="E950" t="s">
        <v>902</v>
      </c>
      <c r="F950" t="s">
        <v>201</v>
      </c>
      <c r="G950">
        <v>940123</v>
      </c>
      <c r="H950" t="s">
        <v>415</v>
      </c>
      <c r="I950" s="4">
        <v>12800</v>
      </c>
      <c r="J950" s="4">
        <v>6522.88</v>
      </c>
    </row>
    <row r="951" spans="1:10" x14ac:dyDescent="0.35">
      <c r="A951">
        <v>3151271605</v>
      </c>
      <c r="B951" t="s">
        <v>896</v>
      </c>
      <c r="C951" t="s">
        <v>897</v>
      </c>
      <c r="D951" t="s">
        <v>449</v>
      </c>
      <c r="E951" t="s">
        <v>902</v>
      </c>
      <c r="F951" t="s">
        <v>201</v>
      </c>
      <c r="G951">
        <v>940123</v>
      </c>
      <c r="H951" t="s">
        <v>415</v>
      </c>
      <c r="I951" s="4">
        <v>17920</v>
      </c>
      <c r="J951" s="4">
        <v>9132.0320000000011</v>
      </c>
    </row>
    <row r="952" spans="1:10" x14ac:dyDescent="0.35">
      <c r="A952">
        <v>3151271609</v>
      </c>
      <c r="B952" t="s">
        <v>896</v>
      </c>
      <c r="C952" t="s">
        <v>897</v>
      </c>
      <c r="D952" t="s">
        <v>449</v>
      </c>
      <c r="E952" t="s">
        <v>902</v>
      </c>
      <c r="F952" t="s">
        <v>201</v>
      </c>
      <c r="G952">
        <v>940123</v>
      </c>
      <c r="H952" t="s">
        <v>415</v>
      </c>
      <c r="I952" s="4">
        <v>15040</v>
      </c>
      <c r="J952" s="4">
        <v>7664.384</v>
      </c>
    </row>
    <row r="953" spans="1:10" x14ac:dyDescent="0.35">
      <c r="A953">
        <v>3151271611</v>
      </c>
      <c r="B953" t="s">
        <v>896</v>
      </c>
      <c r="C953" t="s">
        <v>897</v>
      </c>
      <c r="D953" t="s">
        <v>449</v>
      </c>
      <c r="E953" t="s">
        <v>902</v>
      </c>
      <c r="F953" t="s">
        <v>201</v>
      </c>
      <c r="G953">
        <v>940123</v>
      </c>
      <c r="H953" t="s">
        <v>415</v>
      </c>
      <c r="I953" s="4">
        <v>8000</v>
      </c>
      <c r="J953" s="4">
        <v>4076.8</v>
      </c>
    </row>
    <row r="954" spans="1:10" x14ac:dyDescent="0.35">
      <c r="A954">
        <v>3151271658</v>
      </c>
      <c r="B954" t="s">
        <v>896</v>
      </c>
      <c r="C954" t="s">
        <v>897</v>
      </c>
      <c r="D954" t="s">
        <v>449</v>
      </c>
      <c r="E954" t="s">
        <v>902</v>
      </c>
      <c r="F954" t="s">
        <v>201</v>
      </c>
      <c r="G954">
        <v>940123</v>
      </c>
      <c r="H954" t="s">
        <v>415</v>
      </c>
      <c r="I954" s="4">
        <v>2880</v>
      </c>
      <c r="J954" s="4">
        <v>1467.6480000000001</v>
      </c>
    </row>
    <row r="955" spans="1:10" x14ac:dyDescent="0.35">
      <c r="A955">
        <v>3151271660</v>
      </c>
      <c r="B955" t="s">
        <v>896</v>
      </c>
      <c r="C955" t="s">
        <v>897</v>
      </c>
      <c r="D955" t="s">
        <v>449</v>
      </c>
      <c r="E955" t="s">
        <v>902</v>
      </c>
      <c r="F955" t="s">
        <v>201</v>
      </c>
      <c r="G955">
        <v>940123</v>
      </c>
      <c r="H955" t="s">
        <v>415</v>
      </c>
      <c r="I955" s="4">
        <v>17920</v>
      </c>
      <c r="J955" s="4">
        <v>9132.0320000000011</v>
      </c>
    </row>
    <row r="956" spans="1:10" x14ac:dyDescent="0.35">
      <c r="A956">
        <v>3151271662</v>
      </c>
      <c r="B956" t="s">
        <v>896</v>
      </c>
      <c r="C956" t="s">
        <v>897</v>
      </c>
      <c r="D956" t="s">
        <v>449</v>
      </c>
      <c r="E956" t="s">
        <v>902</v>
      </c>
      <c r="F956" t="s">
        <v>201</v>
      </c>
      <c r="G956">
        <v>940123</v>
      </c>
      <c r="H956" t="s">
        <v>415</v>
      </c>
      <c r="I956" s="4">
        <v>8320</v>
      </c>
      <c r="J956" s="4">
        <v>4239.8720000000003</v>
      </c>
    </row>
    <row r="957" spans="1:10" x14ac:dyDescent="0.35">
      <c r="A957">
        <v>3151272138</v>
      </c>
      <c r="B957" t="s">
        <v>896</v>
      </c>
      <c r="C957" t="s">
        <v>903</v>
      </c>
      <c r="D957" t="s">
        <v>904</v>
      </c>
      <c r="E957" t="s">
        <v>905</v>
      </c>
      <c r="F957" t="s">
        <v>581</v>
      </c>
      <c r="G957">
        <v>948671</v>
      </c>
      <c r="H957" t="s">
        <v>614</v>
      </c>
      <c r="I957" s="4">
        <v>13440</v>
      </c>
      <c r="J957" s="4">
        <v>5381.3760000000002</v>
      </c>
    </row>
    <row r="958" spans="1:10" x14ac:dyDescent="0.35">
      <c r="A958">
        <v>3151272138</v>
      </c>
      <c r="B958" t="s">
        <v>896</v>
      </c>
      <c r="C958" t="s">
        <v>906</v>
      </c>
      <c r="D958" t="s">
        <v>904</v>
      </c>
      <c r="E958" t="s">
        <v>905</v>
      </c>
      <c r="F958" t="s">
        <v>504</v>
      </c>
      <c r="G958">
        <v>948670</v>
      </c>
      <c r="H958" t="s">
        <v>614</v>
      </c>
      <c r="I958" s="4">
        <v>13440</v>
      </c>
      <c r="J958" s="4">
        <v>5381.3760000000002</v>
      </c>
    </row>
    <row r="959" spans="1:10" x14ac:dyDescent="0.35">
      <c r="A959">
        <v>3151271981</v>
      </c>
      <c r="B959" t="s">
        <v>907</v>
      </c>
      <c r="C959" t="s">
        <v>908</v>
      </c>
      <c r="D959" t="s">
        <v>606</v>
      </c>
      <c r="E959" t="s">
        <v>909</v>
      </c>
      <c r="F959" t="s">
        <v>201</v>
      </c>
      <c r="G959">
        <v>944782</v>
      </c>
      <c r="H959" t="s">
        <v>421</v>
      </c>
      <c r="I959" s="4">
        <v>6120</v>
      </c>
      <c r="J959" s="4">
        <v>5508</v>
      </c>
    </row>
    <row r="960" spans="1:10" x14ac:dyDescent="0.35">
      <c r="A960">
        <v>3151271981</v>
      </c>
      <c r="B960" t="s">
        <v>907</v>
      </c>
      <c r="C960" t="s">
        <v>908</v>
      </c>
      <c r="D960" t="s">
        <v>445</v>
      </c>
      <c r="E960" t="s">
        <v>910</v>
      </c>
      <c r="F960" t="s">
        <v>201</v>
      </c>
      <c r="G960">
        <v>944783</v>
      </c>
      <c r="H960" t="s">
        <v>433</v>
      </c>
      <c r="I960" s="4">
        <v>10080</v>
      </c>
      <c r="J960" s="4">
        <v>544.32000000000005</v>
      </c>
    </row>
    <row r="961" spans="1:10" x14ac:dyDescent="0.35">
      <c r="A961">
        <v>3151271981</v>
      </c>
      <c r="B961" t="s">
        <v>907</v>
      </c>
      <c r="C961" t="s">
        <v>908</v>
      </c>
      <c r="D961" t="s">
        <v>422</v>
      </c>
      <c r="E961" t="s">
        <v>911</v>
      </c>
      <c r="F961" t="s">
        <v>201</v>
      </c>
      <c r="G961">
        <v>944781</v>
      </c>
      <c r="H961" t="s">
        <v>412</v>
      </c>
      <c r="I961" s="4">
        <v>6400</v>
      </c>
      <c r="J961" s="4">
        <v>1728</v>
      </c>
    </row>
    <row r="962" spans="1:10" x14ac:dyDescent="0.35">
      <c r="A962">
        <v>3151271981</v>
      </c>
      <c r="B962" t="s">
        <v>907</v>
      </c>
      <c r="C962" t="s">
        <v>908</v>
      </c>
      <c r="D962" t="s">
        <v>427</v>
      </c>
      <c r="E962" t="s">
        <v>912</v>
      </c>
      <c r="F962" t="s">
        <v>201</v>
      </c>
      <c r="G962">
        <v>944780</v>
      </c>
      <c r="H962" t="s">
        <v>415</v>
      </c>
      <c r="I962" s="4">
        <v>15300</v>
      </c>
      <c r="J962" s="4">
        <v>8353.7999999999993</v>
      </c>
    </row>
    <row r="963" spans="1:10" x14ac:dyDescent="0.35">
      <c r="A963">
        <v>3151271980</v>
      </c>
      <c r="B963" t="s">
        <v>907</v>
      </c>
      <c r="C963" t="s">
        <v>913</v>
      </c>
      <c r="D963" t="s">
        <v>418</v>
      </c>
      <c r="E963" t="s">
        <v>914</v>
      </c>
      <c r="F963" t="s">
        <v>420</v>
      </c>
      <c r="G963">
        <v>920091</v>
      </c>
      <c r="H963" t="s">
        <v>421</v>
      </c>
      <c r="I963" s="4">
        <v>1020</v>
      </c>
      <c r="J963" s="4">
        <v>858.33</v>
      </c>
    </row>
    <row r="964" spans="1:10" x14ac:dyDescent="0.35">
      <c r="A964">
        <v>3151271980</v>
      </c>
      <c r="B964" t="s">
        <v>907</v>
      </c>
      <c r="C964" t="s">
        <v>913</v>
      </c>
      <c r="D964" t="s">
        <v>427</v>
      </c>
      <c r="E964" t="s">
        <v>915</v>
      </c>
      <c r="F964" t="s">
        <v>420</v>
      </c>
      <c r="G964">
        <v>920090</v>
      </c>
      <c r="H964" t="s">
        <v>415</v>
      </c>
      <c r="I964" s="4">
        <v>1020</v>
      </c>
      <c r="J964" s="4">
        <v>510.51</v>
      </c>
    </row>
    <row r="965" spans="1:10" x14ac:dyDescent="0.35">
      <c r="A965">
        <v>3151271588</v>
      </c>
      <c r="B965" t="s">
        <v>907</v>
      </c>
      <c r="C965" t="s">
        <v>916</v>
      </c>
      <c r="D965" t="s">
        <v>422</v>
      </c>
      <c r="E965" t="s">
        <v>917</v>
      </c>
      <c r="F965" t="s">
        <v>420</v>
      </c>
      <c r="G965">
        <v>942970</v>
      </c>
      <c r="H965" t="s">
        <v>412</v>
      </c>
      <c r="I965" s="4">
        <v>192</v>
      </c>
      <c r="J965" s="4">
        <v>47.52</v>
      </c>
    </row>
    <row r="966" spans="1:10" x14ac:dyDescent="0.35">
      <c r="A966">
        <v>3151271589</v>
      </c>
      <c r="B966" t="s">
        <v>907</v>
      </c>
      <c r="C966" t="s">
        <v>916</v>
      </c>
      <c r="D966" t="s">
        <v>422</v>
      </c>
      <c r="E966" t="s">
        <v>917</v>
      </c>
      <c r="F966" t="s">
        <v>420</v>
      </c>
      <c r="G966">
        <v>942970</v>
      </c>
      <c r="H966" t="s">
        <v>412</v>
      </c>
      <c r="I966" s="4">
        <v>200</v>
      </c>
      <c r="J966" s="4">
        <v>49.5</v>
      </c>
    </row>
    <row r="967" spans="1:10" x14ac:dyDescent="0.35">
      <c r="A967">
        <v>3151271589</v>
      </c>
      <c r="B967" t="s">
        <v>907</v>
      </c>
      <c r="C967" t="s">
        <v>916</v>
      </c>
      <c r="D967" t="s">
        <v>427</v>
      </c>
      <c r="E967" t="s">
        <v>918</v>
      </c>
      <c r="F967" t="s">
        <v>420</v>
      </c>
      <c r="G967">
        <v>942966</v>
      </c>
      <c r="H967" t="s">
        <v>415</v>
      </c>
      <c r="I967" s="4">
        <v>200</v>
      </c>
      <c r="J967" s="4">
        <v>100.10000000000001</v>
      </c>
    </row>
    <row r="968" spans="1:10" x14ac:dyDescent="0.35">
      <c r="A968">
        <v>3151271980</v>
      </c>
      <c r="B968" t="s">
        <v>907</v>
      </c>
      <c r="C968" t="s">
        <v>919</v>
      </c>
      <c r="D968" t="s">
        <v>606</v>
      </c>
      <c r="E968" t="s">
        <v>920</v>
      </c>
      <c r="F968" t="s">
        <v>420</v>
      </c>
      <c r="G968">
        <v>697936</v>
      </c>
      <c r="H968" t="s">
        <v>421</v>
      </c>
      <c r="I968" s="4">
        <v>3060</v>
      </c>
      <c r="J968" s="4">
        <v>2524.5</v>
      </c>
    </row>
    <row r="969" spans="1:10" x14ac:dyDescent="0.35">
      <c r="A969">
        <v>3151271969</v>
      </c>
      <c r="B969" t="s">
        <v>921</v>
      </c>
      <c r="C969" t="s">
        <v>922</v>
      </c>
      <c r="D969" t="s">
        <v>618</v>
      </c>
      <c r="E969" t="s">
        <v>923</v>
      </c>
      <c r="F969" t="s">
        <v>420</v>
      </c>
      <c r="G969">
        <v>932465</v>
      </c>
      <c r="H969" t="s">
        <v>517</v>
      </c>
      <c r="I969" s="4">
        <v>1512</v>
      </c>
      <c r="J969" s="4">
        <v>915.25139999999999</v>
      </c>
    </row>
    <row r="970" spans="1:10" x14ac:dyDescent="0.35">
      <c r="A970">
        <v>3151271965</v>
      </c>
      <c r="B970" t="s">
        <v>921</v>
      </c>
      <c r="C970" t="s">
        <v>922</v>
      </c>
      <c r="D970" t="s">
        <v>618</v>
      </c>
      <c r="E970" t="s">
        <v>923</v>
      </c>
      <c r="F970" t="s">
        <v>420</v>
      </c>
      <c r="G970">
        <v>932465</v>
      </c>
      <c r="H970" t="s">
        <v>517</v>
      </c>
      <c r="I970" s="4">
        <v>1512</v>
      </c>
      <c r="J970" s="4">
        <v>915.25139999999999</v>
      </c>
    </row>
    <row r="971" spans="1:10" x14ac:dyDescent="0.35">
      <c r="A971">
        <v>3151271964</v>
      </c>
      <c r="B971" t="s">
        <v>921</v>
      </c>
      <c r="C971" t="s">
        <v>922</v>
      </c>
      <c r="D971" t="s">
        <v>618</v>
      </c>
      <c r="E971" t="s">
        <v>923</v>
      </c>
      <c r="F971" t="s">
        <v>420</v>
      </c>
      <c r="G971">
        <v>932465</v>
      </c>
      <c r="H971" t="s">
        <v>517</v>
      </c>
      <c r="I971" s="4">
        <v>1512</v>
      </c>
      <c r="J971" s="4">
        <v>915.25139999999999</v>
      </c>
    </row>
    <row r="972" spans="1:10" x14ac:dyDescent="0.35">
      <c r="A972">
        <v>3151271967</v>
      </c>
      <c r="B972" t="s">
        <v>921</v>
      </c>
      <c r="C972" t="s">
        <v>922</v>
      </c>
      <c r="D972" t="s">
        <v>618</v>
      </c>
      <c r="E972" t="s">
        <v>923</v>
      </c>
      <c r="F972" t="s">
        <v>420</v>
      </c>
      <c r="G972">
        <v>932465</v>
      </c>
      <c r="H972" t="s">
        <v>517</v>
      </c>
      <c r="I972" s="4">
        <v>1512</v>
      </c>
      <c r="J972" s="4">
        <v>915.25139999999999</v>
      </c>
    </row>
    <row r="973" spans="1:10" x14ac:dyDescent="0.35">
      <c r="A973">
        <v>3151271966</v>
      </c>
      <c r="B973" t="s">
        <v>921</v>
      </c>
      <c r="C973" t="s">
        <v>922</v>
      </c>
      <c r="D973" t="s">
        <v>618</v>
      </c>
      <c r="E973" t="s">
        <v>923</v>
      </c>
      <c r="F973" t="s">
        <v>420</v>
      </c>
      <c r="G973">
        <v>932465</v>
      </c>
      <c r="H973" t="s">
        <v>517</v>
      </c>
      <c r="I973" s="4">
        <v>1512</v>
      </c>
      <c r="J973" s="4">
        <v>915.25139999999999</v>
      </c>
    </row>
    <row r="974" spans="1:10" x14ac:dyDescent="0.35">
      <c r="A974">
        <v>3151271968</v>
      </c>
      <c r="B974" t="s">
        <v>921</v>
      </c>
      <c r="C974" t="s">
        <v>922</v>
      </c>
      <c r="D974" t="s">
        <v>618</v>
      </c>
      <c r="E974" t="s">
        <v>923</v>
      </c>
      <c r="F974" t="s">
        <v>420</v>
      </c>
      <c r="G974">
        <v>932465</v>
      </c>
      <c r="H974" t="s">
        <v>517</v>
      </c>
      <c r="I974" s="4">
        <v>1512</v>
      </c>
      <c r="J974" s="4">
        <v>915.25139999999999</v>
      </c>
    </row>
    <row r="975" spans="1:10" x14ac:dyDescent="0.35">
      <c r="A975">
        <v>3151271970</v>
      </c>
      <c r="B975" t="s">
        <v>921</v>
      </c>
      <c r="C975" t="s">
        <v>922</v>
      </c>
      <c r="D975" t="s">
        <v>618</v>
      </c>
      <c r="E975" t="s">
        <v>923</v>
      </c>
      <c r="F975" t="s">
        <v>420</v>
      </c>
      <c r="G975">
        <v>932465</v>
      </c>
      <c r="H975" t="s">
        <v>517</v>
      </c>
      <c r="I975" s="4">
        <v>1512</v>
      </c>
      <c r="J975" s="4">
        <v>915.25139999999999</v>
      </c>
    </row>
    <row r="976" spans="1:10" x14ac:dyDescent="0.35">
      <c r="A976">
        <v>3151271969</v>
      </c>
      <c r="B976" t="s">
        <v>921</v>
      </c>
      <c r="C976" t="s">
        <v>924</v>
      </c>
      <c r="D976" t="s">
        <v>618</v>
      </c>
      <c r="E976" t="s">
        <v>925</v>
      </c>
      <c r="F976" t="s">
        <v>420</v>
      </c>
      <c r="G976">
        <v>933028</v>
      </c>
      <c r="H976" t="s">
        <v>415</v>
      </c>
      <c r="I976" s="4">
        <v>1512</v>
      </c>
      <c r="J976" s="4">
        <v>915.25139999999999</v>
      </c>
    </row>
    <row r="977" spans="1:10" x14ac:dyDescent="0.35">
      <c r="A977">
        <v>3151271965</v>
      </c>
      <c r="B977" t="s">
        <v>921</v>
      </c>
      <c r="C977" t="s">
        <v>924</v>
      </c>
      <c r="D977" t="s">
        <v>618</v>
      </c>
      <c r="E977" t="s">
        <v>925</v>
      </c>
      <c r="F977" t="s">
        <v>420</v>
      </c>
      <c r="G977">
        <v>933028</v>
      </c>
      <c r="H977" t="s">
        <v>415</v>
      </c>
      <c r="I977" s="4">
        <v>1512</v>
      </c>
      <c r="J977" s="4">
        <v>915.25139999999999</v>
      </c>
    </row>
    <row r="978" spans="1:10" x14ac:dyDescent="0.35">
      <c r="A978">
        <v>3151271964</v>
      </c>
      <c r="B978" t="s">
        <v>921</v>
      </c>
      <c r="C978" t="s">
        <v>924</v>
      </c>
      <c r="D978" t="s">
        <v>618</v>
      </c>
      <c r="E978" t="s">
        <v>925</v>
      </c>
      <c r="F978" t="s">
        <v>420</v>
      </c>
      <c r="G978">
        <v>933028</v>
      </c>
      <c r="H978" t="s">
        <v>415</v>
      </c>
      <c r="I978" s="4">
        <v>1512</v>
      </c>
      <c r="J978" s="4">
        <v>915.25139999999999</v>
      </c>
    </row>
    <row r="979" spans="1:10" x14ac:dyDescent="0.35">
      <c r="A979">
        <v>3151271967</v>
      </c>
      <c r="B979" t="s">
        <v>921</v>
      </c>
      <c r="C979" t="s">
        <v>924</v>
      </c>
      <c r="D979" t="s">
        <v>618</v>
      </c>
      <c r="E979" t="s">
        <v>925</v>
      </c>
      <c r="F979" t="s">
        <v>420</v>
      </c>
      <c r="G979">
        <v>933028</v>
      </c>
      <c r="H979" t="s">
        <v>415</v>
      </c>
      <c r="I979" s="4">
        <v>1512</v>
      </c>
      <c r="J979" s="4">
        <v>915.25139999999999</v>
      </c>
    </row>
    <row r="980" spans="1:10" x14ac:dyDescent="0.35">
      <c r="A980">
        <v>3151271966</v>
      </c>
      <c r="B980" t="s">
        <v>921</v>
      </c>
      <c r="C980" t="s">
        <v>924</v>
      </c>
      <c r="D980" t="s">
        <v>618</v>
      </c>
      <c r="E980" t="s">
        <v>925</v>
      </c>
      <c r="F980" t="s">
        <v>420</v>
      </c>
      <c r="G980">
        <v>933028</v>
      </c>
      <c r="H980" t="s">
        <v>415</v>
      </c>
      <c r="I980" s="4">
        <v>1512</v>
      </c>
      <c r="J980" s="4">
        <v>915.25139999999999</v>
      </c>
    </row>
    <row r="981" spans="1:10" x14ac:dyDescent="0.35">
      <c r="A981">
        <v>3151271968</v>
      </c>
      <c r="B981" t="s">
        <v>921</v>
      </c>
      <c r="C981" t="s">
        <v>924</v>
      </c>
      <c r="D981" t="s">
        <v>618</v>
      </c>
      <c r="E981" t="s">
        <v>925</v>
      </c>
      <c r="F981" t="s">
        <v>420</v>
      </c>
      <c r="G981">
        <v>933028</v>
      </c>
      <c r="H981" t="s">
        <v>415</v>
      </c>
      <c r="I981" s="4">
        <v>1512</v>
      </c>
      <c r="J981" s="4">
        <v>915.25139999999999</v>
      </c>
    </row>
    <row r="982" spans="1:10" x14ac:dyDescent="0.35">
      <c r="A982">
        <v>3151271970</v>
      </c>
      <c r="B982" t="s">
        <v>921</v>
      </c>
      <c r="C982" t="s">
        <v>924</v>
      </c>
      <c r="D982" t="s">
        <v>618</v>
      </c>
      <c r="E982" t="s">
        <v>925</v>
      </c>
      <c r="F982" t="s">
        <v>420</v>
      </c>
      <c r="G982">
        <v>933028</v>
      </c>
      <c r="H982" t="s">
        <v>415</v>
      </c>
      <c r="I982" s="4">
        <v>1512</v>
      </c>
      <c r="J982" s="4">
        <v>915.25139999999999</v>
      </c>
    </row>
    <row r="983" spans="1:10" x14ac:dyDescent="0.35">
      <c r="A983">
        <v>3151271969</v>
      </c>
      <c r="B983" t="s">
        <v>921</v>
      </c>
      <c r="C983" t="s">
        <v>926</v>
      </c>
      <c r="D983" t="s">
        <v>618</v>
      </c>
      <c r="E983" t="s">
        <v>927</v>
      </c>
      <c r="F983" t="s">
        <v>420</v>
      </c>
      <c r="G983">
        <v>932463</v>
      </c>
      <c r="H983" t="s">
        <v>517</v>
      </c>
      <c r="I983" s="4">
        <v>2268</v>
      </c>
      <c r="J983" s="4">
        <v>1372.8771000000002</v>
      </c>
    </row>
    <row r="984" spans="1:10" x14ac:dyDescent="0.35">
      <c r="A984">
        <v>3151271965</v>
      </c>
      <c r="B984" t="s">
        <v>921</v>
      </c>
      <c r="C984" t="s">
        <v>926</v>
      </c>
      <c r="D984" t="s">
        <v>618</v>
      </c>
      <c r="E984" t="s">
        <v>927</v>
      </c>
      <c r="F984" t="s">
        <v>420</v>
      </c>
      <c r="G984">
        <v>932463</v>
      </c>
      <c r="H984" t="s">
        <v>517</v>
      </c>
      <c r="I984" s="4">
        <v>2268</v>
      </c>
      <c r="J984" s="4">
        <v>1372.8771000000002</v>
      </c>
    </row>
    <row r="985" spans="1:10" x14ac:dyDescent="0.35">
      <c r="A985">
        <v>3151271964</v>
      </c>
      <c r="B985" t="s">
        <v>921</v>
      </c>
      <c r="C985" t="s">
        <v>926</v>
      </c>
      <c r="D985" t="s">
        <v>618</v>
      </c>
      <c r="E985" t="s">
        <v>927</v>
      </c>
      <c r="F985" t="s">
        <v>420</v>
      </c>
      <c r="G985">
        <v>932463</v>
      </c>
      <c r="H985" t="s">
        <v>517</v>
      </c>
      <c r="I985" s="4">
        <v>2268</v>
      </c>
      <c r="J985" s="4">
        <v>1372.8771000000002</v>
      </c>
    </row>
    <row r="986" spans="1:10" x14ac:dyDescent="0.35">
      <c r="A986">
        <v>3151271967</v>
      </c>
      <c r="B986" t="s">
        <v>921</v>
      </c>
      <c r="C986" t="s">
        <v>926</v>
      </c>
      <c r="D986" t="s">
        <v>618</v>
      </c>
      <c r="E986" t="s">
        <v>927</v>
      </c>
      <c r="F986" t="s">
        <v>420</v>
      </c>
      <c r="G986">
        <v>932463</v>
      </c>
      <c r="H986" t="s">
        <v>517</v>
      </c>
      <c r="I986" s="4">
        <v>2268</v>
      </c>
      <c r="J986" s="4">
        <v>1372.8771000000002</v>
      </c>
    </row>
    <row r="987" spans="1:10" x14ac:dyDescent="0.35">
      <c r="A987">
        <v>3151271966</v>
      </c>
      <c r="B987" t="s">
        <v>921</v>
      </c>
      <c r="C987" t="s">
        <v>926</v>
      </c>
      <c r="D987" t="s">
        <v>618</v>
      </c>
      <c r="E987" t="s">
        <v>927</v>
      </c>
      <c r="F987" t="s">
        <v>420</v>
      </c>
      <c r="G987">
        <v>932463</v>
      </c>
      <c r="H987" t="s">
        <v>517</v>
      </c>
      <c r="I987" s="4">
        <v>2268</v>
      </c>
      <c r="J987" s="4">
        <v>1372.8771000000002</v>
      </c>
    </row>
    <row r="988" spans="1:10" x14ac:dyDescent="0.35">
      <c r="A988">
        <v>3151271968</v>
      </c>
      <c r="B988" t="s">
        <v>921</v>
      </c>
      <c r="C988" t="s">
        <v>926</v>
      </c>
      <c r="D988" t="s">
        <v>618</v>
      </c>
      <c r="E988" t="s">
        <v>927</v>
      </c>
      <c r="F988" t="s">
        <v>420</v>
      </c>
      <c r="G988">
        <v>932463</v>
      </c>
      <c r="H988" t="s">
        <v>517</v>
      </c>
      <c r="I988" s="4">
        <v>2268</v>
      </c>
      <c r="J988" s="4">
        <v>1372.8771000000002</v>
      </c>
    </row>
    <row r="989" spans="1:10" x14ac:dyDescent="0.35">
      <c r="A989">
        <v>3151271970</v>
      </c>
      <c r="B989" t="s">
        <v>921</v>
      </c>
      <c r="C989" t="s">
        <v>926</v>
      </c>
      <c r="D989" t="s">
        <v>618</v>
      </c>
      <c r="E989" t="s">
        <v>927</v>
      </c>
      <c r="F989" t="s">
        <v>420</v>
      </c>
      <c r="G989">
        <v>932463</v>
      </c>
      <c r="H989" t="s">
        <v>517</v>
      </c>
      <c r="I989" s="4">
        <v>2268</v>
      </c>
      <c r="J989" s="4">
        <v>1372.8771000000002</v>
      </c>
    </row>
    <row r="990" spans="1:10" x14ac:dyDescent="0.35">
      <c r="A990">
        <v>3151271969</v>
      </c>
      <c r="B990" t="s">
        <v>921</v>
      </c>
      <c r="C990" t="s">
        <v>928</v>
      </c>
      <c r="D990" t="s">
        <v>618</v>
      </c>
      <c r="E990" t="s">
        <v>929</v>
      </c>
      <c r="F990" t="s">
        <v>420</v>
      </c>
      <c r="G990">
        <v>932464</v>
      </c>
      <c r="H990" t="s">
        <v>517</v>
      </c>
      <c r="I990" s="4">
        <v>1512</v>
      </c>
      <c r="J990" s="4">
        <v>915.25139999999999</v>
      </c>
    </row>
    <row r="991" spans="1:10" x14ac:dyDescent="0.35">
      <c r="A991">
        <v>3151271965</v>
      </c>
      <c r="B991" t="s">
        <v>921</v>
      </c>
      <c r="C991" t="s">
        <v>928</v>
      </c>
      <c r="D991" t="s">
        <v>618</v>
      </c>
      <c r="E991" t="s">
        <v>929</v>
      </c>
      <c r="F991" t="s">
        <v>420</v>
      </c>
      <c r="G991">
        <v>932464</v>
      </c>
      <c r="H991" t="s">
        <v>517</v>
      </c>
      <c r="I991" s="4">
        <v>1512</v>
      </c>
      <c r="J991" s="4">
        <v>915.25139999999999</v>
      </c>
    </row>
    <row r="992" spans="1:10" x14ac:dyDescent="0.35">
      <c r="A992">
        <v>3151271964</v>
      </c>
      <c r="B992" t="s">
        <v>921</v>
      </c>
      <c r="C992" t="s">
        <v>928</v>
      </c>
      <c r="D992" t="s">
        <v>618</v>
      </c>
      <c r="E992" t="s">
        <v>929</v>
      </c>
      <c r="F992" t="s">
        <v>420</v>
      </c>
      <c r="G992">
        <v>932464</v>
      </c>
      <c r="H992" t="s">
        <v>517</v>
      </c>
      <c r="I992" s="4">
        <v>1512</v>
      </c>
      <c r="J992" s="4">
        <v>915.25139999999999</v>
      </c>
    </row>
    <row r="993" spans="1:10" x14ac:dyDescent="0.35">
      <c r="A993">
        <v>3151271967</v>
      </c>
      <c r="B993" t="s">
        <v>921</v>
      </c>
      <c r="C993" t="s">
        <v>928</v>
      </c>
      <c r="D993" t="s">
        <v>618</v>
      </c>
      <c r="E993" t="s">
        <v>929</v>
      </c>
      <c r="F993" t="s">
        <v>420</v>
      </c>
      <c r="G993">
        <v>932464</v>
      </c>
      <c r="H993" t="s">
        <v>517</v>
      </c>
      <c r="I993" s="4">
        <v>1512</v>
      </c>
      <c r="J993" s="4">
        <v>915.25139999999999</v>
      </c>
    </row>
    <row r="994" spans="1:10" x14ac:dyDescent="0.35">
      <c r="A994">
        <v>3151271966</v>
      </c>
      <c r="B994" t="s">
        <v>921</v>
      </c>
      <c r="C994" t="s">
        <v>928</v>
      </c>
      <c r="D994" t="s">
        <v>618</v>
      </c>
      <c r="E994" t="s">
        <v>929</v>
      </c>
      <c r="F994" t="s">
        <v>420</v>
      </c>
      <c r="G994">
        <v>932464</v>
      </c>
      <c r="H994" t="s">
        <v>517</v>
      </c>
      <c r="I994" s="4">
        <v>1512</v>
      </c>
      <c r="J994" s="4">
        <v>915.25139999999999</v>
      </c>
    </row>
    <row r="995" spans="1:10" x14ac:dyDescent="0.35">
      <c r="A995">
        <v>3151271968</v>
      </c>
      <c r="B995" t="s">
        <v>921</v>
      </c>
      <c r="C995" t="s">
        <v>928</v>
      </c>
      <c r="D995" t="s">
        <v>618</v>
      </c>
      <c r="E995" t="s">
        <v>929</v>
      </c>
      <c r="F995" t="s">
        <v>420</v>
      </c>
      <c r="G995">
        <v>932464</v>
      </c>
      <c r="H995" t="s">
        <v>517</v>
      </c>
      <c r="I995" s="4">
        <v>1512</v>
      </c>
      <c r="J995" s="4">
        <v>915.25139999999999</v>
      </c>
    </row>
    <row r="996" spans="1:10" x14ac:dyDescent="0.35">
      <c r="A996">
        <v>3151271970</v>
      </c>
      <c r="B996" t="s">
        <v>921</v>
      </c>
      <c r="C996" t="s">
        <v>928</v>
      </c>
      <c r="D996" t="s">
        <v>618</v>
      </c>
      <c r="E996" t="s">
        <v>929</v>
      </c>
      <c r="F996" t="s">
        <v>420</v>
      </c>
      <c r="G996">
        <v>932464</v>
      </c>
      <c r="H996" t="s">
        <v>517</v>
      </c>
      <c r="I996" s="4">
        <v>1512</v>
      </c>
      <c r="J996" s="4">
        <v>915.25139999999999</v>
      </c>
    </row>
    <row r="997" spans="1:10" x14ac:dyDescent="0.35">
      <c r="A997">
        <v>3151271969</v>
      </c>
      <c r="B997" t="s">
        <v>921</v>
      </c>
      <c r="C997" t="s">
        <v>930</v>
      </c>
      <c r="D997" t="s">
        <v>618</v>
      </c>
      <c r="E997" t="s">
        <v>931</v>
      </c>
      <c r="F997" t="s">
        <v>420</v>
      </c>
      <c r="G997">
        <v>932462</v>
      </c>
      <c r="H997" t="s">
        <v>517</v>
      </c>
      <c r="I997" s="4">
        <v>2268</v>
      </c>
      <c r="J997" s="4">
        <v>1372.8771000000002</v>
      </c>
    </row>
    <row r="998" spans="1:10" x14ac:dyDescent="0.35">
      <c r="A998">
        <v>3151271965</v>
      </c>
      <c r="B998" t="s">
        <v>921</v>
      </c>
      <c r="C998" t="s">
        <v>930</v>
      </c>
      <c r="D998" t="s">
        <v>618</v>
      </c>
      <c r="E998" t="s">
        <v>931</v>
      </c>
      <c r="F998" t="s">
        <v>420</v>
      </c>
      <c r="G998">
        <v>932462</v>
      </c>
      <c r="H998" t="s">
        <v>517</v>
      </c>
      <c r="I998" s="4">
        <v>2268</v>
      </c>
      <c r="J998" s="4">
        <v>1372.8771000000002</v>
      </c>
    </row>
    <row r="999" spans="1:10" x14ac:dyDescent="0.35">
      <c r="A999">
        <v>3151271964</v>
      </c>
      <c r="B999" t="s">
        <v>921</v>
      </c>
      <c r="C999" t="s">
        <v>930</v>
      </c>
      <c r="D999" t="s">
        <v>618</v>
      </c>
      <c r="E999" t="s">
        <v>931</v>
      </c>
      <c r="F999" t="s">
        <v>420</v>
      </c>
      <c r="G999">
        <v>932462</v>
      </c>
      <c r="H999" t="s">
        <v>517</v>
      </c>
      <c r="I999" s="4">
        <v>2268</v>
      </c>
      <c r="J999" s="4">
        <v>1372.8771000000002</v>
      </c>
    </row>
    <row r="1000" spans="1:10" x14ac:dyDescent="0.35">
      <c r="A1000">
        <v>3151271967</v>
      </c>
      <c r="B1000" t="s">
        <v>921</v>
      </c>
      <c r="C1000" t="s">
        <v>930</v>
      </c>
      <c r="D1000" t="s">
        <v>618</v>
      </c>
      <c r="E1000" t="s">
        <v>931</v>
      </c>
      <c r="F1000" t="s">
        <v>420</v>
      </c>
      <c r="G1000">
        <v>932462</v>
      </c>
      <c r="H1000" t="s">
        <v>517</v>
      </c>
      <c r="I1000" s="4">
        <v>2268</v>
      </c>
      <c r="J1000" s="4">
        <v>1372.8771000000002</v>
      </c>
    </row>
    <row r="1001" spans="1:10" x14ac:dyDescent="0.35">
      <c r="A1001">
        <v>3151271966</v>
      </c>
      <c r="B1001" t="s">
        <v>921</v>
      </c>
      <c r="C1001" t="s">
        <v>930</v>
      </c>
      <c r="D1001" t="s">
        <v>618</v>
      </c>
      <c r="E1001" t="s">
        <v>931</v>
      </c>
      <c r="F1001" t="s">
        <v>420</v>
      </c>
      <c r="G1001">
        <v>932462</v>
      </c>
      <c r="H1001" t="s">
        <v>517</v>
      </c>
      <c r="I1001" s="4">
        <v>2268</v>
      </c>
      <c r="J1001" s="4">
        <v>1372.8771000000002</v>
      </c>
    </row>
    <row r="1002" spans="1:10" x14ac:dyDescent="0.35">
      <c r="A1002">
        <v>3151271968</v>
      </c>
      <c r="B1002" t="s">
        <v>921</v>
      </c>
      <c r="C1002" t="s">
        <v>930</v>
      </c>
      <c r="D1002" t="s">
        <v>618</v>
      </c>
      <c r="E1002" t="s">
        <v>931</v>
      </c>
      <c r="F1002" t="s">
        <v>420</v>
      </c>
      <c r="G1002">
        <v>932462</v>
      </c>
      <c r="H1002" t="s">
        <v>517</v>
      </c>
      <c r="I1002" s="4">
        <v>2268</v>
      </c>
      <c r="J1002" s="4">
        <v>1372.8771000000002</v>
      </c>
    </row>
    <row r="1003" spans="1:10" x14ac:dyDescent="0.35">
      <c r="A1003">
        <v>3151271970</v>
      </c>
      <c r="B1003" t="s">
        <v>921</v>
      </c>
      <c r="C1003" t="s">
        <v>930</v>
      </c>
      <c r="D1003" t="s">
        <v>618</v>
      </c>
      <c r="E1003" t="s">
        <v>931</v>
      </c>
      <c r="F1003" t="s">
        <v>420</v>
      </c>
      <c r="G1003">
        <v>932462</v>
      </c>
      <c r="H1003" t="s">
        <v>517</v>
      </c>
      <c r="I1003" s="4">
        <v>2268</v>
      </c>
      <c r="J1003" s="4">
        <v>1372.8771000000002</v>
      </c>
    </row>
    <row r="1004" spans="1:10" x14ac:dyDescent="0.35">
      <c r="A1004">
        <v>3151270639</v>
      </c>
      <c r="B1004" t="s">
        <v>932</v>
      </c>
      <c r="C1004" t="s">
        <v>933</v>
      </c>
      <c r="D1004" t="s">
        <v>473</v>
      </c>
      <c r="E1004" t="s">
        <v>934</v>
      </c>
      <c r="F1004" t="s">
        <v>201</v>
      </c>
      <c r="G1004">
        <v>939146</v>
      </c>
      <c r="H1004" t="s">
        <v>433</v>
      </c>
      <c r="I1004" s="4">
        <v>120</v>
      </c>
      <c r="J1004" s="4">
        <v>7.8408000000000007</v>
      </c>
    </row>
    <row r="1005" spans="1:10" x14ac:dyDescent="0.35">
      <c r="A1005">
        <v>3151272808</v>
      </c>
      <c r="B1005" t="s">
        <v>932</v>
      </c>
      <c r="C1005" t="s">
        <v>933</v>
      </c>
      <c r="D1005" t="s">
        <v>473</v>
      </c>
      <c r="E1005" t="s">
        <v>934</v>
      </c>
      <c r="G1005">
        <v>939146</v>
      </c>
      <c r="H1005" t="s">
        <v>433</v>
      </c>
      <c r="I1005" s="4">
        <v>600</v>
      </c>
      <c r="J1005" s="4">
        <v>39.204000000000001</v>
      </c>
    </row>
    <row r="1006" spans="1:10" x14ac:dyDescent="0.35">
      <c r="A1006">
        <v>3151272811</v>
      </c>
      <c r="B1006" t="s">
        <v>932</v>
      </c>
      <c r="C1006" t="s">
        <v>933</v>
      </c>
      <c r="D1006" t="s">
        <v>473</v>
      </c>
      <c r="E1006" t="s">
        <v>934</v>
      </c>
      <c r="G1006">
        <v>939146</v>
      </c>
      <c r="H1006" t="s">
        <v>433</v>
      </c>
      <c r="I1006" s="4">
        <v>120</v>
      </c>
      <c r="J1006" s="4">
        <v>7.8408000000000007</v>
      </c>
    </row>
    <row r="1007" spans="1:10" x14ac:dyDescent="0.35">
      <c r="A1007">
        <v>3151270639</v>
      </c>
      <c r="B1007" t="s">
        <v>932</v>
      </c>
      <c r="C1007" t="s">
        <v>933</v>
      </c>
      <c r="D1007" t="s">
        <v>935</v>
      </c>
      <c r="E1007" t="s">
        <v>936</v>
      </c>
      <c r="F1007" t="s">
        <v>201</v>
      </c>
      <c r="G1007">
        <v>939145</v>
      </c>
      <c r="H1007" t="s">
        <v>412</v>
      </c>
      <c r="I1007" s="4">
        <v>104</v>
      </c>
      <c r="J1007" s="4">
        <v>18.251999999999999</v>
      </c>
    </row>
    <row r="1008" spans="1:10" x14ac:dyDescent="0.35">
      <c r="A1008">
        <v>3151272808</v>
      </c>
      <c r="B1008" t="s">
        <v>932</v>
      </c>
      <c r="C1008" t="s">
        <v>933</v>
      </c>
      <c r="D1008" t="s">
        <v>935</v>
      </c>
      <c r="E1008" t="s">
        <v>936</v>
      </c>
      <c r="G1008">
        <v>939145</v>
      </c>
      <c r="H1008" t="s">
        <v>412</v>
      </c>
      <c r="I1008" s="4">
        <v>400</v>
      </c>
      <c r="J1008" s="4">
        <v>70.2</v>
      </c>
    </row>
    <row r="1009" spans="1:10" x14ac:dyDescent="0.35">
      <c r="A1009">
        <v>3151272811</v>
      </c>
      <c r="B1009" t="s">
        <v>932</v>
      </c>
      <c r="C1009" t="s">
        <v>933</v>
      </c>
      <c r="D1009" t="s">
        <v>935</v>
      </c>
      <c r="E1009" t="s">
        <v>936</v>
      </c>
      <c r="G1009">
        <v>939145</v>
      </c>
      <c r="H1009" t="s">
        <v>412</v>
      </c>
      <c r="I1009" s="4">
        <v>184</v>
      </c>
      <c r="J1009" s="4">
        <v>32.292000000000002</v>
      </c>
    </row>
    <row r="1010" spans="1:10" x14ac:dyDescent="0.35">
      <c r="A1010">
        <v>3151270639</v>
      </c>
      <c r="B1010" t="s">
        <v>932</v>
      </c>
      <c r="C1010" t="s">
        <v>933</v>
      </c>
      <c r="D1010" t="s">
        <v>937</v>
      </c>
      <c r="E1010" t="s">
        <v>938</v>
      </c>
      <c r="F1010" t="s">
        <v>201</v>
      </c>
      <c r="G1010">
        <v>939149</v>
      </c>
      <c r="H1010" t="s">
        <v>614</v>
      </c>
      <c r="I1010" s="4">
        <v>102</v>
      </c>
      <c r="J1010" s="4">
        <v>37.944000000000003</v>
      </c>
    </row>
    <row r="1011" spans="1:10" x14ac:dyDescent="0.35">
      <c r="A1011">
        <v>3151272808</v>
      </c>
      <c r="B1011" t="s">
        <v>932</v>
      </c>
      <c r="C1011" t="s">
        <v>933</v>
      </c>
      <c r="D1011" t="s">
        <v>937</v>
      </c>
      <c r="E1011" t="s">
        <v>938</v>
      </c>
      <c r="G1011">
        <v>939149</v>
      </c>
      <c r="H1011" t="s">
        <v>614</v>
      </c>
      <c r="I1011" s="4">
        <v>210</v>
      </c>
      <c r="J1011" s="4">
        <v>78.12</v>
      </c>
    </row>
    <row r="1012" spans="1:10" x14ac:dyDescent="0.35">
      <c r="A1012">
        <v>3151272811</v>
      </c>
      <c r="B1012" t="s">
        <v>932</v>
      </c>
      <c r="C1012" t="s">
        <v>933</v>
      </c>
      <c r="D1012" t="s">
        <v>937</v>
      </c>
      <c r="E1012" t="s">
        <v>938</v>
      </c>
      <c r="G1012">
        <v>939149</v>
      </c>
      <c r="H1012" t="s">
        <v>614</v>
      </c>
      <c r="I1012" s="4">
        <v>252</v>
      </c>
      <c r="J1012" s="4">
        <v>93.744</v>
      </c>
    </row>
    <row r="1013" spans="1:10" x14ac:dyDescent="0.35">
      <c r="A1013">
        <v>3151270639</v>
      </c>
      <c r="B1013" t="s">
        <v>932</v>
      </c>
      <c r="C1013" t="s">
        <v>933</v>
      </c>
      <c r="D1013" t="s">
        <v>449</v>
      </c>
      <c r="E1013" t="s">
        <v>939</v>
      </c>
      <c r="F1013" t="s">
        <v>201</v>
      </c>
      <c r="G1013">
        <v>939142</v>
      </c>
      <c r="H1013" t="s">
        <v>415</v>
      </c>
      <c r="I1013" s="4">
        <v>40</v>
      </c>
      <c r="J1013" s="4">
        <v>23.52</v>
      </c>
    </row>
    <row r="1014" spans="1:10" x14ac:dyDescent="0.35">
      <c r="A1014">
        <v>3151272808</v>
      </c>
      <c r="B1014" t="s">
        <v>932</v>
      </c>
      <c r="C1014" t="s">
        <v>933</v>
      </c>
      <c r="D1014" t="s">
        <v>449</v>
      </c>
      <c r="E1014" t="s">
        <v>939</v>
      </c>
      <c r="G1014">
        <v>939142</v>
      </c>
      <c r="H1014" t="s">
        <v>415</v>
      </c>
      <c r="I1014" s="4">
        <v>400</v>
      </c>
      <c r="J1014" s="4">
        <v>235.20000000000002</v>
      </c>
    </row>
    <row r="1015" spans="1:10" x14ac:dyDescent="0.35">
      <c r="A1015">
        <v>3151272811</v>
      </c>
      <c r="B1015" t="s">
        <v>932</v>
      </c>
      <c r="C1015" t="s">
        <v>933</v>
      </c>
      <c r="D1015" t="s">
        <v>449</v>
      </c>
      <c r="E1015" t="s">
        <v>939</v>
      </c>
      <c r="G1015">
        <v>939142</v>
      </c>
      <c r="H1015" t="s">
        <v>415</v>
      </c>
      <c r="I1015" s="4">
        <v>224</v>
      </c>
      <c r="J1015" s="4">
        <v>131.71199999999999</v>
      </c>
    </row>
    <row r="1016" spans="1:10" x14ac:dyDescent="0.35">
      <c r="A1016">
        <v>3151270639</v>
      </c>
      <c r="B1016" t="s">
        <v>932</v>
      </c>
      <c r="C1016" t="s">
        <v>933</v>
      </c>
      <c r="D1016" t="s">
        <v>940</v>
      </c>
      <c r="E1016" t="s">
        <v>941</v>
      </c>
      <c r="F1016" t="s">
        <v>201</v>
      </c>
      <c r="G1016">
        <v>939144</v>
      </c>
      <c r="H1016" t="s">
        <v>421</v>
      </c>
      <c r="I1016" s="4">
        <v>102</v>
      </c>
      <c r="J1016" s="4">
        <v>93.00564</v>
      </c>
    </row>
    <row r="1017" spans="1:10" x14ac:dyDescent="0.35">
      <c r="A1017">
        <v>3151272808</v>
      </c>
      <c r="B1017" t="s">
        <v>932</v>
      </c>
      <c r="C1017" t="s">
        <v>933</v>
      </c>
      <c r="D1017" t="s">
        <v>940</v>
      </c>
      <c r="E1017" t="s">
        <v>941</v>
      </c>
      <c r="G1017">
        <v>939144</v>
      </c>
      <c r="H1017" t="s">
        <v>421</v>
      </c>
      <c r="I1017" s="4">
        <v>240</v>
      </c>
      <c r="J1017" s="4">
        <v>218.83680000000001</v>
      </c>
    </row>
    <row r="1018" spans="1:10" x14ac:dyDescent="0.35">
      <c r="A1018">
        <v>3151272811</v>
      </c>
      <c r="B1018" t="s">
        <v>932</v>
      </c>
      <c r="C1018" t="s">
        <v>933</v>
      </c>
      <c r="D1018" t="s">
        <v>940</v>
      </c>
      <c r="E1018" t="s">
        <v>941</v>
      </c>
      <c r="G1018">
        <v>939144</v>
      </c>
      <c r="H1018" t="s">
        <v>421</v>
      </c>
      <c r="I1018" s="4">
        <v>120</v>
      </c>
      <c r="J1018" s="4">
        <v>109.41840000000001</v>
      </c>
    </row>
    <row r="1019" spans="1:10" x14ac:dyDescent="0.35">
      <c r="A1019">
        <v>3151271166</v>
      </c>
      <c r="B1019" t="s">
        <v>932</v>
      </c>
      <c r="C1019" t="s">
        <v>942</v>
      </c>
      <c r="D1019" t="s">
        <v>943</v>
      </c>
      <c r="E1019" t="s">
        <v>944</v>
      </c>
      <c r="F1019" t="s">
        <v>420</v>
      </c>
      <c r="G1019">
        <v>938786</v>
      </c>
      <c r="H1019" t="s">
        <v>412</v>
      </c>
      <c r="I1019" s="4">
        <v>400</v>
      </c>
      <c r="J1019" s="4">
        <v>73.320000000000007</v>
      </c>
    </row>
    <row r="1020" spans="1:10" x14ac:dyDescent="0.35">
      <c r="A1020">
        <v>3151271139</v>
      </c>
      <c r="B1020" t="s">
        <v>932</v>
      </c>
      <c r="C1020" t="s">
        <v>942</v>
      </c>
      <c r="D1020" t="s">
        <v>943</v>
      </c>
      <c r="E1020" t="s">
        <v>944</v>
      </c>
      <c r="F1020" t="s">
        <v>420</v>
      </c>
      <c r="G1020">
        <v>938786</v>
      </c>
      <c r="H1020" t="s">
        <v>412</v>
      </c>
      <c r="I1020" s="4">
        <v>2104</v>
      </c>
      <c r="J1020" s="4">
        <v>385.66320000000002</v>
      </c>
    </row>
    <row r="1021" spans="1:10" x14ac:dyDescent="0.35">
      <c r="A1021">
        <v>3151271399</v>
      </c>
      <c r="B1021" t="s">
        <v>932</v>
      </c>
      <c r="C1021" t="s">
        <v>942</v>
      </c>
      <c r="D1021" t="s">
        <v>449</v>
      </c>
      <c r="E1021" t="s">
        <v>945</v>
      </c>
      <c r="F1021" t="s">
        <v>420</v>
      </c>
      <c r="G1021">
        <v>938783</v>
      </c>
      <c r="H1021" t="s">
        <v>415</v>
      </c>
      <c r="I1021" s="4">
        <v>2504</v>
      </c>
      <c r="J1021" s="4">
        <v>1472.3520000000001</v>
      </c>
    </row>
    <row r="1022" spans="1:10" x14ac:dyDescent="0.35">
      <c r="A1022">
        <v>3151271166</v>
      </c>
      <c r="B1022" t="s">
        <v>932</v>
      </c>
      <c r="C1022" t="s">
        <v>942</v>
      </c>
      <c r="D1022" t="s">
        <v>449</v>
      </c>
      <c r="E1022" t="s">
        <v>945</v>
      </c>
      <c r="F1022" t="s">
        <v>420</v>
      </c>
      <c r="G1022">
        <v>938783</v>
      </c>
      <c r="H1022" t="s">
        <v>415</v>
      </c>
      <c r="I1022" s="4">
        <v>504</v>
      </c>
      <c r="J1022" s="4">
        <v>296.35200000000003</v>
      </c>
    </row>
    <row r="1023" spans="1:10" x14ac:dyDescent="0.35">
      <c r="A1023">
        <v>3151271139</v>
      </c>
      <c r="B1023" t="s">
        <v>932</v>
      </c>
      <c r="C1023" t="s">
        <v>942</v>
      </c>
      <c r="D1023" t="s">
        <v>449</v>
      </c>
      <c r="E1023" t="s">
        <v>945</v>
      </c>
      <c r="F1023" t="s">
        <v>420</v>
      </c>
      <c r="G1023">
        <v>938783</v>
      </c>
      <c r="H1023" t="s">
        <v>415</v>
      </c>
      <c r="I1023" s="4">
        <v>2000</v>
      </c>
      <c r="J1023" s="4">
        <v>1176</v>
      </c>
    </row>
    <row r="1024" spans="1:10" x14ac:dyDescent="0.35">
      <c r="A1024">
        <v>3151271399</v>
      </c>
      <c r="B1024" t="s">
        <v>932</v>
      </c>
      <c r="C1024" t="s">
        <v>942</v>
      </c>
      <c r="D1024" t="s">
        <v>940</v>
      </c>
      <c r="E1024" t="s">
        <v>946</v>
      </c>
      <c r="F1024" t="s">
        <v>420</v>
      </c>
      <c r="G1024">
        <v>938782</v>
      </c>
      <c r="H1024" t="s">
        <v>421</v>
      </c>
      <c r="I1024" s="4">
        <v>1200</v>
      </c>
      <c r="J1024" s="4">
        <v>1094.184</v>
      </c>
    </row>
    <row r="1025" spans="1:10" x14ac:dyDescent="0.35">
      <c r="A1025">
        <v>3151271139</v>
      </c>
      <c r="B1025" t="s">
        <v>932</v>
      </c>
      <c r="C1025" t="s">
        <v>947</v>
      </c>
      <c r="D1025" t="s">
        <v>943</v>
      </c>
      <c r="E1025" t="s">
        <v>944</v>
      </c>
      <c r="F1025" t="s">
        <v>440</v>
      </c>
      <c r="G1025">
        <v>938793</v>
      </c>
      <c r="H1025" t="s">
        <v>412</v>
      </c>
      <c r="I1025" s="4">
        <v>2504</v>
      </c>
      <c r="J1025" s="4">
        <v>458.98320000000001</v>
      </c>
    </row>
    <row r="1026" spans="1:10" x14ac:dyDescent="0.35">
      <c r="A1026">
        <v>3151271829</v>
      </c>
      <c r="B1026" t="s">
        <v>932</v>
      </c>
      <c r="C1026" t="s">
        <v>947</v>
      </c>
      <c r="D1026" t="s">
        <v>449</v>
      </c>
      <c r="E1026" t="s">
        <v>945</v>
      </c>
      <c r="F1026" t="s">
        <v>440</v>
      </c>
      <c r="G1026">
        <v>938791</v>
      </c>
      <c r="H1026" t="s">
        <v>415</v>
      </c>
      <c r="I1026" s="4">
        <v>2504</v>
      </c>
      <c r="J1026" s="4">
        <v>1472.3520000000001</v>
      </c>
    </row>
    <row r="1027" spans="1:10" x14ac:dyDescent="0.35">
      <c r="A1027">
        <v>3151271139</v>
      </c>
      <c r="B1027" t="s">
        <v>932</v>
      </c>
      <c r="C1027" t="s">
        <v>947</v>
      </c>
      <c r="D1027" t="s">
        <v>449</v>
      </c>
      <c r="E1027" t="s">
        <v>945</v>
      </c>
      <c r="F1027" t="s">
        <v>440</v>
      </c>
      <c r="G1027">
        <v>938791</v>
      </c>
      <c r="H1027" t="s">
        <v>415</v>
      </c>
      <c r="I1027" s="4">
        <v>3896</v>
      </c>
      <c r="J1027" s="4">
        <v>2290.848</v>
      </c>
    </row>
    <row r="1028" spans="1:10" x14ac:dyDescent="0.35">
      <c r="A1028">
        <v>3151271139</v>
      </c>
      <c r="B1028" t="s">
        <v>932</v>
      </c>
      <c r="C1028" t="s">
        <v>947</v>
      </c>
      <c r="D1028" t="s">
        <v>940</v>
      </c>
      <c r="E1028" t="s">
        <v>946</v>
      </c>
      <c r="F1028" t="s">
        <v>440</v>
      </c>
      <c r="G1028">
        <v>938789</v>
      </c>
      <c r="H1028" t="s">
        <v>421</v>
      </c>
      <c r="I1028" s="4">
        <v>1200</v>
      </c>
      <c r="J1028" s="4">
        <v>1094.184</v>
      </c>
    </row>
    <row r="1029" spans="1:10" x14ac:dyDescent="0.35">
      <c r="A1029">
        <v>3151271399</v>
      </c>
      <c r="B1029" t="s">
        <v>932</v>
      </c>
      <c r="C1029" t="s">
        <v>948</v>
      </c>
      <c r="D1029" t="s">
        <v>937</v>
      </c>
      <c r="E1029" t="s">
        <v>949</v>
      </c>
      <c r="F1029" t="s">
        <v>420</v>
      </c>
      <c r="G1029">
        <v>938788</v>
      </c>
      <c r="H1029" t="s">
        <v>614</v>
      </c>
      <c r="I1029" s="4">
        <v>1002</v>
      </c>
      <c r="J1029" s="4">
        <v>373.24099199999995</v>
      </c>
    </row>
    <row r="1030" spans="1:10" x14ac:dyDescent="0.35">
      <c r="A1030">
        <v>3151271139</v>
      </c>
      <c r="B1030" t="s">
        <v>932</v>
      </c>
      <c r="C1030" t="s">
        <v>950</v>
      </c>
      <c r="D1030" t="s">
        <v>937</v>
      </c>
      <c r="E1030" t="s">
        <v>949</v>
      </c>
      <c r="F1030" t="s">
        <v>440</v>
      </c>
      <c r="G1030">
        <v>938797</v>
      </c>
      <c r="H1030" t="s">
        <v>614</v>
      </c>
      <c r="I1030" s="4">
        <v>1002</v>
      </c>
      <c r="J1030" s="4">
        <v>373.24099199999995</v>
      </c>
    </row>
    <row r="1031" spans="1:10" x14ac:dyDescent="0.35">
      <c r="A1031">
        <v>3151272277</v>
      </c>
      <c r="B1031" t="s">
        <v>932</v>
      </c>
      <c r="C1031" t="s">
        <v>951</v>
      </c>
      <c r="D1031" t="s">
        <v>952</v>
      </c>
      <c r="E1031" t="s">
        <v>953</v>
      </c>
      <c r="F1031" t="s">
        <v>201</v>
      </c>
      <c r="G1031">
        <v>918039</v>
      </c>
      <c r="H1031" t="s">
        <v>614</v>
      </c>
      <c r="I1031" s="4">
        <v>54</v>
      </c>
      <c r="J1031" s="4">
        <v>20.736000000000001</v>
      </c>
    </row>
    <row r="1032" spans="1:10" x14ac:dyDescent="0.35">
      <c r="A1032">
        <v>3151272277</v>
      </c>
      <c r="B1032" t="s">
        <v>932</v>
      </c>
      <c r="C1032" t="s">
        <v>954</v>
      </c>
      <c r="D1032" t="s">
        <v>473</v>
      </c>
      <c r="E1032" t="s">
        <v>955</v>
      </c>
      <c r="F1032" t="s">
        <v>201</v>
      </c>
      <c r="G1032">
        <v>932422</v>
      </c>
      <c r="H1032" t="s">
        <v>433</v>
      </c>
      <c r="I1032" s="4">
        <v>336</v>
      </c>
      <c r="J1032" s="4">
        <v>19.027008000000002</v>
      </c>
    </row>
    <row r="1033" spans="1:10" x14ac:dyDescent="0.35">
      <c r="A1033">
        <v>3151272277</v>
      </c>
      <c r="B1033" t="s">
        <v>932</v>
      </c>
      <c r="C1033" t="s">
        <v>954</v>
      </c>
      <c r="D1033" t="s">
        <v>935</v>
      </c>
      <c r="E1033" t="s">
        <v>956</v>
      </c>
      <c r="F1033" t="s">
        <v>201</v>
      </c>
      <c r="G1033">
        <v>932419</v>
      </c>
      <c r="H1033" t="s">
        <v>412</v>
      </c>
      <c r="I1033" s="4">
        <v>904</v>
      </c>
      <c r="J1033" s="4">
        <v>137.4984</v>
      </c>
    </row>
    <row r="1034" spans="1:10" x14ac:dyDescent="0.35">
      <c r="A1034">
        <v>3151272277</v>
      </c>
      <c r="B1034" t="s">
        <v>932</v>
      </c>
      <c r="C1034" t="s">
        <v>954</v>
      </c>
      <c r="D1034" t="s">
        <v>957</v>
      </c>
      <c r="E1034" t="s">
        <v>958</v>
      </c>
      <c r="F1034" t="s">
        <v>201</v>
      </c>
      <c r="G1034">
        <v>932418</v>
      </c>
      <c r="H1034" t="s">
        <v>415</v>
      </c>
      <c r="I1034" s="4">
        <v>600</v>
      </c>
      <c r="J1034" s="4">
        <v>365.14800000000002</v>
      </c>
    </row>
    <row r="1035" spans="1:10" x14ac:dyDescent="0.35">
      <c r="A1035">
        <v>3151272277</v>
      </c>
      <c r="B1035" t="s">
        <v>932</v>
      </c>
      <c r="C1035" t="s">
        <v>954</v>
      </c>
      <c r="D1035" t="s">
        <v>940</v>
      </c>
      <c r="E1035" t="s">
        <v>959</v>
      </c>
      <c r="F1035" t="s">
        <v>201</v>
      </c>
      <c r="G1035">
        <v>932421</v>
      </c>
      <c r="H1035" t="s">
        <v>421</v>
      </c>
      <c r="I1035" s="4">
        <v>480</v>
      </c>
      <c r="J1035" s="4">
        <v>459.55727999999999</v>
      </c>
    </row>
    <row r="1036" spans="1:10" x14ac:dyDescent="0.35">
      <c r="A1036">
        <v>3151272136</v>
      </c>
      <c r="B1036" t="s">
        <v>932</v>
      </c>
      <c r="C1036" t="s">
        <v>960</v>
      </c>
      <c r="D1036" t="s">
        <v>473</v>
      </c>
      <c r="E1036" t="s">
        <v>961</v>
      </c>
      <c r="F1036" t="s">
        <v>201</v>
      </c>
      <c r="G1036">
        <v>692527</v>
      </c>
      <c r="H1036" t="s">
        <v>433</v>
      </c>
      <c r="I1036" s="4">
        <v>528</v>
      </c>
      <c r="J1036" s="4">
        <v>30.474576000000003</v>
      </c>
    </row>
    <row r="1037" spans="1:10" x14ac:dyDescent="0.35">
      <c r="A1037">
        <v>3151272287</v>
      </c>
      <c r="B1037" t="s">
        <v>932</v>
      </c>
      <c r="C1037" t="s">
        <v>960</v>
      </c>
      <c r="D1037" t="s">
        <v>473</v>
      </c>
      <c r="E1037" t="s">
        <v>961</v>
      </c>
      <c r="F1037" t="s">
        <v>201</v>
      </c>
      <c r="G1037">
        <v>692527</v>
      </c>
      <c r="H1037" t="s">
        <v>433</v>
      </c>
      <c r="I1037" s="4">
        <v>984</v>
      </c>
      <c r="J1037" s="4">
        <v>56.793528000000002</v>
      </c>
    </row>
    <row r="1038" spans="1:10" x14ac:dyDescent="0.35">
      <c r="A1038">
        <v>3151272136</v>
      </c>
      <c r="B1038" t="s">
        <v>932</v>
      </c>
      <c r="C1038" t="s">
        <v>960</v>
      </c>
      <c r="D1038" t="s">
        <v>935</v>
      </c>
      <c r="E1038" t="s">
        <v>962</v>
      </c>
      <c r="F1038" t="s">
        <v>201</v>
      </c>
      <c r="G1038">
        <v>692520</v>
      </c>
      <c r="H1038" t="s">
        <v>412</v>
      </c>
      <c r="I1038" s="4">
        <v>600</v>
      </c>
      <c r="J1038" s="4">
        <v>91.26</v>
      </c>
    </row>
    <row r="1039" spans="1:10" x14ac:dyDescent="0.35">
      <c r="A1039">
        <v>3151272287</v>
      </c>
      <c r="B1039" t="s">
        <v>932</v>
      </c>
      <c r="C1039" t="s">
        <v>960</v>
      </c>
      <c r="D1039" t="s">
        <v>935</v>
      </c>
      <c r="E1039" t="s">
        <v>962</v>
      </c>
      <c r="F1039" t="s">
        <v>201</v>
      </c>
      <c r="G1039">
        <v>692520</v>
      </c>
      <c r="H1039" t="s">
        <v>412</v>
      </c>
      <c r="I1039" s="4">
        <v>1312</v>
      </c>
      <c r="J1039" s="4">
        <v>199.55519999999999</v>
      </c>
    </row>
    <row r="1040" spans="1:10" x14ac:dyDescent="0.35">
      <c r="A1040">
        <v>3151272136</v>
      </c>
      <c r="B1040" t="s">
        <v>932</v>
      </c>
      <c r="C1040" t="s">
        <v>960</v>
      </c>
      <c r="D1040" t="s">
        <v>952</v>
      </c>
      <c r="E1040" t="s">
        <v>963</v>
      </c>
      <c r="F1040" t="s">
        <v>201</v>
      </c>
      <c r="G1040">
        <v>933547</v>
      </c>
      <c r="H1040" t="s">
        <v>614</v>
      </c>
      <c r="I1040" s="4">
        <v>240</v>
      </c>
      <c r="J1040" s="4">
        <v>97.92</v>
      </c>
    </row>
    <row r="1041" spans="1:10" x14ac:dyDescent="0.35">
      <c r="A1041">
        <v>3151272287</v>
      </c>
      <c r="B1041" t="s">
        <v>932</v>
      </c>
      <c r="C1041" t="s">
        <v>960</v>
      </c>
      <c r="D1041" t="s">
        <v>952</v>
      </c>
      <c r="E1041" t="s">
        <v>963</v>
      </c>
      <c r="F1041" t="s">
        <v>201</v>
      </c>
      <c r="G1041">
        <v>933547</v>
      </c>
      <c r="H1041" t="s">
        <v>614</v>
      </c>
      <c r="I1041" s="4">
        <v>768</v>
      </c>
      <c r="J1041" s="4">
        <v>313.34399999999999</v>
      </c>
    </row>
    <row r="1042" spans="1:10" x14ac:dyDescent="0.35">
      <c r="A1042">
        <v>3151272136</v>
      </c>
      <c r="B1042" t="s">
        <v>932</v>
      </c>
      <c r="C1042" t="s">
        <v>960</v>
      </c>
      <c r="D1042" t="s">
        <v>957</v>
      </c>
      <c r="E1042" t="s">
        <v>964</v>
      </c>
      <c r="F1042" t="s">
        <v>201</v>
      </c>
      <c r="G1042">
        <v>692518</v>
      </c>
      <c r="H1042" t="s">
        <v>415</v>
      </c>
      <c r="I1042" s="4">
        <v>1152</v>
      </c>
      <c r="J1042" s="4">
        <v>667.69920000000013</v>
      </c>
    </row>
    <row r="1043" spans="1:10" x14ac:dyDescent="0.35">
      <c r="A1043">
        <v>3151272287</v>
      </c>
      <c r="B1043" t="s">
        <v>932</v>
      </c>
      <c r="C1043" t="s">
        <v>960</v>
      </c>
      <c r="D1043" t="s">
        <v>957</v>
      </c>
      <c r="E1043" t="s">
        <v>964</v>
      </c>
      <c r="F1043" t="s">
        <v>201</v>
      </c>
      <c r="G1043">
        <v>692518</v>
      </c>
      <c r="H1043" t="s">
        <v>415</v>
      </c>
      <c r="I1043" s="4">
        <v>1976</v>
      </c>
      <c r="J1043" s="4">
        <v>1145.2896000000001</v>
      </c>
    </row>
    <row r="1044" spans="1:10" x14ac:dyDescent="0.35">
      <c r="A1044">
        <v>3151272136</v>
      </c>
      <c r="B1044" t="s">
        <v>932</v>
      </c>
      <c r="C1044" t="s">
        <v>960</v>
      </c>
      <c r="D1044" t="s">
        <v>940</v>
      </c>
      <c r="E1044" t="s">
        <v>965</v>
      </c>
      <c r="F1044" t="s">
        <v>201</v>
      </c>
      <c r="G1044">
        <v>692524</v>
      </c>
      <c r="H1044" t="s">
        <v>421</v>
      </c>
      <c r="I1044" s="4">
        <v>342</v>
      </c>
      <c r="J1044" s="4">
        <v>311.84244000000001</v>
      </c>
    </row>
    <row r="1045" spans="1:10" x14ac:dyDescent="0.35">
      <c r="A1045">
        <v>3151272287</v>
      </c>
      <c r="B1045" t="s">
        <v>932</v>
      </c>
      <c r="C1045" t="s">
        <v>960</v>
      </c>
      <c r="D1045" t="s">
        <v>940</v>
      </c>
      <c r="E1045" t="s">
        <v>965</v>
      </c>
      <c r="F1045" t="s">
        <v>201</v>
      </c>
      <c r="G1045">
        <v>692524</v>
      </c>
      <c r="H1045" t="s">
        <v>421</v>
      </c>
      <c r="I1045" s="4">
        <v>330</v>
      </c>
      <c r="J1045" s="4">
        <v>300.90060000000005</v>
      </c>
    </row>
    <row r="1046" spans="1:10" x14ac:dyDescent="0.35">
      <c r="A1046">
        <v>3151272039</v>
      </c>
      <c r="B1046" t="s">
        <v>932</v>
      </c>
      <c r="C1046" t="s">
        <v>966</v>
      </c>
      <c r="D1046" t="s">
        <v>473</v>
      </c>
      <c r="E1046" t="s">
        <v>967</v>
      </c>
      <c r="G1046">
        <v>903544</v>
      </c>
      <c r="H1046" t="s">
        <v>433</v>
      </c>
      <c r="I1046" s="4">
        <v>720</v>
      </c>
      <c r="J1046" s="4">
        <v>50.181119999999993</v>
      </c>
    </row>
    <row r="1047" spans="1:10" x14ac:dyDescent="0.35">
      <c r="A1047">
        <v>3151272275</v>
      </c>
      <c r="B1047" t="s">
        <v>932</v>
      </c>
      <c r="C1047" t="s">
        <v>966</v>
      </c>
      <c r="D1047" t="s">
        <v>473</v>
      </c>
      <c r="E1047" t="s">
        <v>967</v>
      </c>
      <c r="F1047" t="s">
        <v>201</v>
      </c>
      <c r="G1047">
        <v>903544</v>
      </c>
      <c r="H1047" t="s">
        <v>433</v>
      </c>
      <c r="I1047" s="4">
        <v>696</v>
      </c>
      <c r="J1047" s="4">
        <v>48.508415999999997</v>
      </c>
    </row>
    <row r="1048" spans="1:10" x14ac:dyDescent="0.35">
      <c r="A1048">
        <v>3151272272</v>
      </c>
      <c r="B1048" t="s">
        <v>932</v>
      </c>
      <c r="C1048" t="s">
        <v>966</v>
      </c>
      <c r="D1048" t="s">
        <v>473</v>
      </c>
      <c r="E1048" t="s">
        <v>967</v>
      </c>
      <c r="F1048" t="s">
        <v>201</v>
      </c>
      <c r="G1048">
        <v>903544</v>
      </c>
      <c r="H1048" t="s">
        <v>433</v>
      </c>
      <c r="I1048" s="4">
        <v>264</v>
      </c>
      <c r="J1048" s="4">
        <v>18.399743999999998</v>
      </c>
    </row>
    <row r="1049" spans="1:10" x14ac:dyDescent="0.35">
      <c r="A1049">
        <v>3151272132</v>
      </c>
      <c r="B1049" t="s">
        <v>932</v>
      </c>
      <c r="C1049" t="s">
        <v>966</v>
      </c>
      <c r="D1049" t="s">
        <v>473</v>
      </c>
      <c r="E1049" t="s">
        <v>967</v>
      </c>
      <c r="F1049" t="s">
        <v>201</v>
      </c>
      <c r="G1049">
        <v>903544</v>
      </c>
      <c r="H1049" t="s">
        <v>433</v>
      </c>
      <c r="I1049" s="4">
        <v>2040</v>
      </c>
      <c r="J1049" s="4">
        <v>142.17984000000001</v>
      </c>
    </row>
    <row r="1050" spans="1:10" x14ac:dyDescent="0.35">
      <c r="A1050">
        <v>3151272043</v>
      </c>
      <c r="B1050" t="s">
        <v>932</v>
      </c>
      <c r="C1050" t="s">
        <v>966</v>
      </c>
      <c r="D1050" t="s">
        <v>473</v>
      </c>
      <c r="E1050" t="s">
        <v>967</v>
      </c>
      <c r="G1050">
        <v>903544</v>
      </c>
      <c r="H1050" t="s">
        <v>433</v>
      </c>
      <c r="I1050" s="4">
        <v>216</v>
      </c>
      <c r="J1050" s="4">
        <v>15.054335999999999</v>
      </c>
    </row>
    <row r="1051" spans="1:10" x14ac:dyDescent="0.35">
      <c r="A1051">
        <v>3151272344</v>
      </c>
      <c r="B1051" t="s">
        <v>932</v>
      </c>
      <c r="C1051" t="s">
        <v>966</v>
      </c>
      <c r="D1051" t="s">
        <v>473</v>
      </c>
      <c r="E1051" t="s">
        <v>967</v>
      </c>
      <c r="F1051" t="s">
        <v>201</v>
      </c>
      <c r="G1051">
        <v>903544</v>
      </c>
      <c r="H1051" t="s">
        <v>433</v>
      </c>
      <c r="I1051" s="4">
        <v>288</v>
      </c>
      <c r="J1051" s="4">
        <v>20.072448000000001</v>
      </c>
    </row>
    <row r="1052" spans="1:10" x14ac:dyDescent="0.35">
      <c r="A1052">
        <v>3151272346</v>
      </c>
      <c r="B1052" t="s">
        <v>932</v>
      </c>
      <c r="C1052" t="s">
        <v>966</v>
      </c>
      <c r="D1052" t="s">
        <v>473</v>
      </c>
      <c r="E1052" t="s">
        <v>967</v>
      </c>
      <c r="F1052" t="s">
        <v>201</v>
      </c>
      <c r="G1052">
        <v>903544</v>
      </c>
      <c r="H1052" t="s">
        <v>433</v>
      </c>
      <c r="I1052" s="4">
        <v>72</v>
      </c>
      <c r="J1052" s="4">
        <v>5.0181120000000004</v>
      </c>
    </row>
    <row r="1053" spans="1:10" x14ac:dyDescent="0.35">
      <c r="A1053">
        <v>3151272347</v>
      </c>
      <c r="B1053" t="s">
        <v>932</v>
      </c>
      <c r="C1053" t="s">
        <v>966</v>
      </c>
      <c r="D1053" t="s">
        <v>473</v>
      </c>
      <c r="E1053" t="s">
        <v>967</v>
      </c>
      <c r="F1053" t="s">
        <v>201</v>
      </c>
      <c r="G1053">
        <v>903544</v>
      </c>
      <c r="H1053" t="s">
        <v>433</v>
      </c>
      <c r="I1053" s="4">
        <v>48</v>
      </c>
      <c r="J1053" s="4">
        <v>3.3454079999999999</v>
      </c>
    </row>
    <row r="1054" spans="1:10" x14ac:dyDescent="0.35">
      <c r="A1054">
        <v>3151272348</v>
      </c>
      <c r="B1054" t="s">
        <v>932</v>
      </c>
      <c r="C1054" t="s">
        <v>966</v>
      </c>
      <c r="D1054" t="s">
        <v>473</v>
      </c>
      <c r="E1054" t="s">
        <v>967</v>
      </c>
      <c r="F1054" t="s">
        <v>201</v>
      </c>
      <c r="G1054">
        <v>903544</v>
      </c>
      <c r="H1054" t="s">
        <v>433</v>
      </c>
      <c r="I1054" s="4">
        <v>48</v>
      </c>
      <c r="J1054" s="4">
        <v>3.3454079999999999</v>
      </c>
    </row>
    <row r="1055" spans="1:10" x14ac:dyDescent="0.35">
      <c r="A1055">
        <v>3151272349</v>
      </c>
      <c r="B1055" t="s">
        <v>932</v>
      </c>
      <c r="C1055" t="s">
        <v>966</v>
      </c>
      <c r="D1055" t="s">
        <v>473</v>
      </c>
      <c r="E1055" t="s">
        <v>967</v>
      </c>
      <c r="F1055" t="s">
        <v>201</v>
      </c>
      <c r="G1055">
        <v>903544</v>
      </c>
      <c r="H1055" t="s">
        <v>433</v>
      </c>
      <c r="I1055" s="4">
        <v>72</v>
      </c>
      <c r="J1055" s="4">
        <v>5.0181120000000004</v>
      </c>
    </row>
    <row r="1056" spans="1:10" x14ac:dyDescent="0.35">
      <c r="A1056">
        <v>3151272810</v>
      </c>
      <c r="B1056" t="s">
        <v>932</v>
      </c>
      <c r="C1056" t="s">
        <v>966</v>
      </c>
      <c r="D1056" t="s">
        <v>473</v>
      </c>
      <c r="E1056" t="s">
        <v>967</v>
      </c>
      <c r="G1056">
        <v>903544</v>
      </c>
      <c r="H1056" t="s">
        <v>433</v>
      </c>
      <c r="I1056" s="4">
        <v>144</v>
      </c>
      <c r="J1056" s="4">
        <v>10.036224000000001</v>
      </c>
    </row>
    <row r="1057" spans="1:10" x14ac:dyDescent="0.35">
      <c r="A1057">
        <v>3151272291</v>
      </c>
      <c r="B1057" t="s">
        <v>932</v>
      </c>
      <c r="C1057" t="s">
        <v>966</v>
      </c>
      <c r="D1057" t="s">
        <v>473</v>
      </c>
      <c r="E1057" t="s">
        <v>967</v>
      </c>
      <c r="F1057" t="s">
        <v>201</v>
      </c>
      <c r="G1057">
        <v>903544</v>
      </c>
      <c r="H1057" t="s">
        <v>433</v>
      </c>
      <c r="I1057" s="4">
        <v>384</v>
      </c>
      <c r="J1057" s="4">
        <v>26.763263999999999</v>
      </c>
    </row>
    <row r="1058" spans="1:10" x14ac:dyDescent="0.35">
      <c r="A1058">
        <v>3151272039</v>
      </c>
      <c r="B1058" t="s">
        <v>932</v>
      </c>
      <c r="C1058" t="s">
        <v>966</v>
      </c>
      <c r="D1058" t="s">
        <v>935</v>
      </c>
      <c r="E1058" t="s">
        <v>968</v>
      </c>
      <c r="G1058">
        <v>903541</v>
      </c>
      <c r="H1058" t="s">
        <v>412</v>
      </c>
      <c r="I1058" s="4">
        <v>824</v>
      </c>
      <c r="J1058" s="4">
        <v>154.25279999999998</v>
      </c>
    </row>
    <row r="1059" spans="1:10" x14ac:dyDescent="0.35">
      <c r="A1059">
        <v>3151272272</v>
      </c>
      <c r="B1059" t="s">
        <v>932</v>
      </c>
      <c r="C1059" t="s">
        <v>966</v>
      </c>
      <c r="D1059" t="s">
        <v>935</v>
      </c>
      <c r="E1059" t="s">
        <v>968</v>
      </c>
      <c r="F1059" t="s">
        <v>201</v>
      </c>
      <c r="G1059">
        <v>903541</v>
      </c>
      <c r="H1059" t="s">
        <v>412</v>
      </c>
      <c r="I1059" s="4">
        <v>384</v>
      </c>
      <c r="J1059" s="4">
        <v>71.884799999999984</v>
      </c>
    </row>
    <row r="1060" spans="1:10" x14ac:dyDescent="0.35">
      <c r="A1060">
        <v>3151272132</v>
      </c>
      <c r="B1060" t="s">
        <v>932</v>
      </c>
      <c r="C1060" t="s">
        <v>966</v>
      </c>
      <c r="D1060" t="s">
        <v>935</v>
      </c>
      <c r="E1060" t="s">
        <v>968</v>
      </c>
      <c r="F1060" t="s">
        <v>201</v>
      </c>
      <c r="G1060">
        <v>903541</v>
      </c>
      <c r="H1060" t="s">
        <v>412</v>
      </c>
      <c r="I1060" s="4">
        <v>2640</v>
      </c>
      <c r="J1060" s="4">
        <v>494.20799999999997</v>
      </c>
    </row>
    <row r="1061" spans="1:10" x14ac:dyDescent="0.35">
      <c r="A1061">
        <v>3151272043</v>
      </c>
      <c r="B1061" t="s">
        <v>932</v>
      </c>
      <c r="C1061" t="s">
        <v>966</v>
      </c>
      <c r="D1061" t="s">
        <v>935</v>
      </c>
      <c r="E1061" t="s">
        <v>968</v>
      </c>
      <c r="G1061">
        <v>903541</v>
      </c>
      <c r="H1061" t="s">
        <v>412</v>
      </c>
      <c r="I1061" s="4">
        <v>400</v>
      </c>
      <c r="J1061" s="4">
        <v>74.88</v>
      </c>
    </row>
    <row r="1062" spans="1:10" x14ac:dyDescent="0.35">
      <c r="A1062">
        <v>3151272346</v>
      </c>
      <c r="B1062" t="s">
        <v>932</v>
      </c>
      <c r="C1062" t="s">
        <v>966</v>
      </c>
      <c r="D1062" t="s">
        <v>935</v>
      </c>
      <c r="E1062" t="s">
        <v>968</v>
      </c>
      <c r="F1062" t="s">
        <v>201</v>
      </c>
      <c r="G1062">
        <v>903541</v>
      </c>
      <c r="H1062" t="s">
        <v>412</v>
      </c>
      <c r="I1062" s="4">
        <v>64</v>
      </c>
      <c r="J1062" s="4">
        <v>11.9808</v>
      </c>
    </row>
    <row r="1063" spans="1:10" x14ac:dyDescent="0.35">
      <c r="A1063">
        <v>3151272347</v>
      </c>
      <c r="B1063" t="s">
        <v>932</v>
      </c>
      <c r="C1063" t="s">
        <v>966</v>
      </c>
      <c r="D1063" t="s">
        <v>935</v>
      </c>
      <c r="E1063" t="s">
        <v>968</v>
      </c>
      <c r="F1063" t="s">
        <v>201</v>
      </c>
      <c r="G1063">
        <v>903541</v>
      </c>
      <c r="H1063" t="s">
        <v>412</v>
      </c>
      <c r="I1063" s="4">
        <v>160</v>
      </c>
      <c r="J1063" s="4">
        <v>29.952000000000002</v>
      </c>
    </row>
    <row r="1064" spans="1:10" x14ac:dyDescent="0.35">
      <c r="A1064">
        <v>3151272348</v>
      </c>
      <c r="B1064" t="s">
        <v>932</v>
      </c>
      <c r="C1064" t="s">
        <v>966</v>
      </c>
      <c r="D1064" t="s">
        <v>935</v>
      </c>
      <c r="E1064" t="s">
        <v>968</v>
      </c>
      <c r="F1064" t="s">
        <v>201</v>
      </c>
      <c r="G1064">
        <v>903541</v>
      </c>
      <c r="H1064" t="s">
        <v>412</v>
      </c>
      <c r="I1064" s="4">
        <v>56</v>
      </c>
      <c r="J1064" s="4">
        <v>10.483199999999998</v>
      </c>
    </row>
    <row r="1065" spans="1:10" x14ac:dyDescent="0.35">
      <c r="A1065">
        <v>3151272349</v>
      </c>
      <c r="B1065" t="s">
        <v>932</v>
      </c>
      <c r="C1065" t="s">
        <v>966</v>
      </c>
      <c r="D1065" t="s">
        <v>935</v>
      </c>
      <c r="E1065" t="s">
        <v>968</v>
      </c>
      <c r="F1065" t="s">
        <v>201</v>
      </c>
      <c r="G1065">
        <v>903541</v>
      </c>
      <c r="H1065" t="s">
        <v>412</v>
      </c>
      <c r="I1065" s="4">
        <v>56</v>
      </c>
      <c r="J1065" s="4">
        <v>10.483199999999998</v>
      </c>
    </row>
    <row r="1066" spans="1:10" x14ac:dyDescent="0.35">
      <c r="A1066">
        <v>3151272810</v>
      </c>
      <c r="B1066" t="s">
        <v>932</v>
      </c>
      <c r="C1066" t="s">
        <v>966</v>
      </c>
      <c r="D1066" t="s">
        <v>935</v>
      </c>
      <c r="E1066" t="s">
        <v>968</v>
      </c>
      <c r="G1066">
        <v>903541</v>
      </c>
      <c r="H1066" t="s">
        <v>412</v>
      </c>
      <c r="I1066" s="4">
        <v>112</v>
      </c>
      <c r="J1066" s="4">
        <v>20.966399999999997</v>
      </c>
    </row>
    <row r="1067" spans="1:10" x14ac:dyDescent="0.35">
      <c r="A1067">
        <v>3151272291</v>
      </c>
      <c r="B1067" t="s">
        <v>932</v>
      </c>
      <c r="C1067" t="s">
        <v>966</v>
      </c>
      <c r="D1067" t="s">
        <v>935</v>
      </c>
      <c r="E1067" t="s">
        <v>968</v>
      </c>
      <c r="F1067" t="s">
        <v>201</v>
      </c>
      <c r="G1067">
        <v>903541</v>
      </c>
      <c r="H1067" t="s">
        <v>412</v>
      </c>
      <c r="I1067" s="4">
        <v>440</v>
      </c>
      <c r="J1067" s="4">
        <v>82.367999999999995</v>
      </c>
    </row>
    <row r="1068" spans="1:10" x14ac:dyDescent="0.35">
      <c r="A1068">
        <v>3151272503</v>
      </c>
      <c r="B1068" t="s">
        <v>932</v>
      </c>
      <c r="C1068" t="s">
        <v>966</v>
      </c>
      <c r="D1068" t="s">
        <v>935</v>
      </c>
      <c r="E1068" t="s">
        <v>968</v>
      </c>
      <c r="F1068" t="s">
        <v>201</v>
      </c>
      <c r="G1068">
        <v>903541</v>
      </c>
      <c r="H1068" t="s">
        <v>412</v>
      </c>
      <c r="I1068" s="4">
        <v>520</v>
      </c>
      <c r="J1068" s="4">
        <v>97.344000000000008</v>
      </c>
    </row>
    <row r="1069" spans="1:10" x14ac:dyDescent="0.35">
      <c r="A1069">
        <v>3151272042</v>
      </c>
      <c r="B1069" t="s">
        <v>932</v>
      </c>
      <c r="C1069" t="s">
        <v>966</v>
      </c>
      <c r="D1069" t="s">
        <v>935</v>
      </c>
      <c r="E1069" t="s">
        <v>968</v>
      </c>
      <c r="G1069">
        <v>903541</v>
      </c>
      <c r="H1069" t="s">
        <v>412</v>
      </c>
      <c r="I1069" s="4">
        <v>42</v>
      </c>
      <c r="J1069" s="4">
        <v>7.8624000000000001</v>
      </c>
    </row>
    <row r="1070" spans="1:10" x14ac:dyDescent="0.35">
      <c r="A1070">
        <v>3151272345</v>
      </c>
      <c r="B1070" t="s">
        <v>932</v>
      </c>
      <c r="C1070" t="s">
        <v>966</v>
      </c>
      <c r="D1070" t="s">
        <v>447</v>
      </c>
      <c r="E1070" t="s">
        <v>969</v>
      </c>
      <c r="F1070" t="s">
        <v>201</v>
      </c>
      <c r="G1070">
        <v>925654</v>
      </c>
      <c r="H1070" t="s">
        <v>412</v>
      </c>
      <c r="I1070" s="4">
        <v>224</v>
      </c>
      <c r="J1070" s="4">
        <v>71.680000000000007</v>
      </c>
    </row>
    <row r="1071" spans="1:10" x14ac:dyDescent="0.35">
      <c r="A1071">
        <v>3151272039</v>
      </c>
      <c r="B1071" t="s">
        <v>932</v>
      </c>
      <c r="C1071" t="s">
        <v>966</v>
      </c>
      <c r="D1071" t="s">
        <v>970</v>
      </c>
      <c r="E1071" t="s">
        <v>971</v>
      </c>
      <c r="G1071">
        <v>918029</v>
      </c>
      <c r="H1071" t="s">
        <v>614</v>
      </c>
      <c r="I1071" s="4">
        <v>438</v>
      </c>
      <c r="J1071" s="4">
        <v>244.79819999999998</v>
      </c>
    </row>
    <row r="1072" spans="1:10" x14ac:dyDescent="0.35">
      <c r="A1072">
        <v>3151272275</v>
      </c>
      <c r="B1072" t="s">
        <v>932</v>
      </c>
      <c r="C1072" t="s">
        <v>966</v>
      </c>
      <c r="D1072" t="s">
        <v>970</v>
      </c>
      <c r="E1072" t="s">
        <v>971</v>
      </c>
      <c r="F1072" t="s">
        <v>201</v>
      </c>
      <c r="G1072">
        <v>918029</v>
      </c>
      <c r="H1072" t="s">
        <v>614</v>
      </c>
      <c r="I1072" s="4">
        <v>204</v>
      </c>
      <c r="J1072" s="4">
        <v>114.01559999999999</v>
      </c>
    </row>
    <row r="1073" spans="1:10" x14ac:dyDescent="0.35">
      <c r="A1073">
        <v>3151272272</v>
      </c>
      <c r="B1073" t="s">
        <v>932</v>
      </c>
      <c r="C1073" t="s">
        <v>966</v>
      </c>
      <c r="D1073" t="s">
        <v>970</v>
      </c>
      <c r="E1073" t="s">
        <v>971</v>
      </c>
      <c r="F1073" t="s">
        <v>201</v>
      </c>
      <c r="G1073">
        <v>918029</v>
      </c>
      <c r="H1073" t="s">
        <v>614</v>
      </c>
      <c r="I1073" s="4">
        <v>252</v>
      </c>
      <c r="J1073" s="4">
        <v>140.84279999999998</v>
      </c>
    </row>
    <row r="1074" spans="1:10" x14ac:dyDescent="0.35">
      <c r="A1074">
        <v>3151272132</v>
      </c>
      <c r="B1074" t="s">
        <v>932</v>
      </c>
      <c r="C1074" t="s">
        <v>966</v>
      </c>
      <c r="D1074" t="s">
        <v>970</v>
      </c>
      <c r="E1074" t="s">
        <v>971</v>
      </c>
      <c r="F1074" t="s">
        <v>201</v>
      </c>
      <c r="G1074">
        <v>918029</v>
      </c>
      <c r="H1074" t="s">
        <v>614</v>
      </c>
      <c r="I1074" s="4">
        <v>1734</v>
      </c>
      <c r="J1074" s="4">
        <v>969.13260000000002</v>
      </c>
    </row>
    <row r="1075" spans="1:10" x14ac:dyDescent="0.35">
      <c r="A1075">
        <v>3151272043</v>
      </c>
      <c r="B1075" t="s">
        <v>932</v>
      </c>
      <c r="C1075" t="s">
        <v>966</v>
      </c>
      <c r="D1075" t="s">
        <v>970</v>
      </c>
      <c r="E1075" t="s">
        <v>971</v>
      </c>
      <c r="G1075">
        <v>918029</v>
      </c>
      <c r="H1075" t="s">
        <v>614</v>
      </c>
      <c r="I1075" s="4">
        <v>180</v>
      </c>
      <c r="J1075" s="4">
        <v>100.602</v>
      </c>
    </row>
    <row r="1076" spans="1:10" x14ac:dyDescent="0.35">
      <c r="A1076">
        <v>3151272345</v>
      </c>
      <c r="B1076" t="s">
        <v>932</v>
      </c>
      <c r="C1076" t="s">
        <v>966</v>
      </c>
      <c r="D1076" t="s">
        <v>970</v>
      </c>
      <c r="E1076" t="s">
        <v>971</v>
      </c>
      <c r="F1076" t="s">
        <v>201</v>
      </c>
      <c r="G1076">
        <v>918029</v>
      </c>
      <c r="H1076" t="s">
        <v>614</v>
      </c>
      <c r="I1076" s="4">
        <v>90</v>
      </c>
      <c r="J1076" s="4">
        <v>50.301000000000002</v>
      </c>
    </row>
    <row r="1077" spans="1:10" x14ac:dyDescent="0.35">
      <c r="A1077">
        <v>3151272810</v>
      </c>
      <c r="B1077" t="s">
        <v>932</v>
      </c>
      <c r="C1077" t="s">
        <v>966</v>
      </c>
      <c r="D1077" t="s">
        <v>970</v>
      </c>
      <c r="E1077" t="s">
        <v>971</v>
      </c>
      <c r="G1077">
        <v>918029</v>
      </c>
      <c r="H1077" t="s">
        <v>614</v>
      </c>
      <c r="I1077" s="4">
        <v>102</v>
      </c>
      <c r="J1077" s="4">
        <v>57.007799999999996</v>
      </c>
    </row>
    <row r="1078" spans="1:10" x14ac:dyDescent="0.35">
      <c r="A1078">
        <v>3151272291</v>
      </c>
      <c r="B1078" t="s">
        <v>932</v>
      </c>
      <c r="C1078" t="s">
        <v>966</v>
      </c>
      <c r="D1078" t="s">
        <v>970</v>
      </c>
      <c r="E1078" t="s">
        <v>971</v>
      </c>
      <c r="F1078" t="s">
        <v>201</v>
      </c>
      <c r="G1078">
        <v>918029</v>
      </c>
      <c r="H1078" t="s">
        <v>614</v>
      </c>
      <c r="I1078" s="4">
        <v>204</v>
      </c>
      <c r="J1078" s="4">
        <v>114.01559999999999</v>
      </c>
    </row>
    <row r="1079" spans="1:10" x14ac:dyDescent="0.35">
      <c r="A1079">
        <v>3151272503</v>
      </c>
      <c r="B1079" t="s">
        <v>932</v>
      </c>
      <c r="C1079" t="s">
        <v>966</v>
      </c>
      <c r="D1079" t="s">
        <v>970</v>
      </c>
      <c r="E1079" t="s">
        <v>971</v>
      </c>
      <c r="F1079" t="s">
        <v>201</v>
      </c>
      <c r="G1079">
        <v>918029</v>
      </c>
      <c r="H1079" t="s">
        <v>614</v>
      </c>
      <c r="I1079" s="4">
        <v>600</v>
      </c>
      <c r="J1079" s="4">
        <v>335.34000000000003</v>
      </c>
    </row>
    <row r="1080" spans="1:10" x14ac:dyDescent="0.35">
      <c r="A1080">
        <v>3151272039</v>
      </c>
      <c r="B1080" t="s">
        <v>932</v>
      </c>
      <c r="C1080" t="s">
        <v>966</v>
      </c>
      <c r="D1080" t="s">
        <v>957</v>
      </c>
      <c r="E1080" t="s">
        <v>972</v>
      </c>
      <c r="G1080">
        <v>903540</v>
      </c>
      <c r="H1080" t="s">
        <v>415</v>
      </c>
      <c r="I1080" s="4">
        <v>1480</v>
      </c>
      <c r="J1080" s="4">
        <v>943.58879999999999</v>
      </c>
    </row>
    <row r="1081" spans="1:10" x14ac:dyDescent="0.35">
      <c r="A1081">
        <v>3151272275</v>
      </c>
      <c r="B1081" t="s">
        <v>932</v>
      </c>
      <c r="C1081" t="s">
        <v>966</v>
      </c>
      <c r="D1081" t="s">
        <v>957</v>
      </c>
      <c r="E1081" t="s">
        <v>972</v>
      </c>
      <c r="F1081" t="s">
        <v>201</v>
      </c>
      <c r="G1081">
        <v>903540</v>
      </c>
      <c r="H1081" t="s">
        <v>415</v>
      </c>
      <c r="I1081" s="4">
        <v>1320</v>
      </c>
      <c r="J1081" s="4">
        <v>841.57920000000001</v>
      </c>
    </row>
    <row r="1082" spans="1:10" x14ac:dyDescent="0.35">
      <c r="A1082">
        <v>3151272272</v>
      </c>
      <c r="B1082" t="s">
        <v>932</v>
      </c>
      <c r="C1082" t="s">
        <v>966</v>
      </c>
      <c r="D1082" t="s">
        <v>957</v>
      </c>
      <c r="E1082" t="s">
        <v>972</v>
      </c>
      <c r="F1082" t="s">
        <v>201</v>
      </c>
      <c r="G1082">
        <v>903540</v>
      </c>
      <c r="H1082" t="s">
        <v>415</v>
      </c>
      <c r="I1082" s="4">
        <v>856</v>
      </c>
      <c r="J1082" s="4">
        <v>545.75135999999998</v>
      </c>
    </row>
    <row r="1083" spans="1:10" x14ac:dyDescent="0.35">
      <c r="A1083">
        <v>3151272132</v>
      </c>
      <c r="B1083" t="s">
        <v>932</v>
      </c>
      <c r="C1083" t="s">
        <v>966</v>
      </c>
      <c r="D1083" t="s">
        <v>957</v>
      </c>
      <c r="E1083" t="s">
        <v>972</v>
      </c>
      <c r="F1083" t="s">
        <v>201</v>
      </c>
      <c r="G1083">
        <v>903540</v>
      </c>
      <c r="H1083" t="s">
        <v>415</v>
      </c>
      <c r="I1083" s="4">
        <v>6456</v>
      </c>
      <c r="J1083" s="4">
        <v>4116.0873599999995</v>
      </c>
    </row>
    <row r="1084" spans="1:10" x14ac:dyDescent="0.35">
      <c r="A1084">
        <v>3151272043</v>
      </c>
      <c r="B1084" t="s">
        <v>932</v>
      </c>
      <c r="C1084" t="s">
        <v>966</v>
      </c>
      <c r="D1084" t="s">
        <v>957</v>
      </c>
      <c r="E1084" t="s">
        <v>972</v>
      </c>
      <c r="G1084">
        <v>903540</v>
      </c>
      <c r="H1084" t="s">
        <v>415</v>
      </c>
      <c r="I1084" s="4">
        <v>552</v>
      </c>
      <c r="J1084" s="4">
        <v>351.93312000000003</v>
      </c>
    </row>
    <row r="1085" spans="1:10" x14ac:dyDescent="0.35">
      <c r="A1085">
        <v>3151272345</v>
      </c>
      <c r="B1085" t="s">
        <v>932</v>
      </c>
      <c r="C1085" t="s">
        <v>966</v>
      </c>
      <c r="D1085" t="s">
        <v>957</v>
      </c>
      <c r="E1085" t="s">
        <v>972</v>
      </c>
      <c r="F1085" t="s">
        <v>201</v>
      </c>
      <c r="G1085">
        <v>903540</v>
      </c>
      <c r="H1085" t="s">
        <v>415</v>
      </c>
      <c r="I1085" s="4">
        <v>224</v>
      </c>
      <c r="J1085" s="4">
        <v>142.81344000000001</v>
      </c>
    </row>
    <row r="1086" spans="1:10" x14ac:dyDescent="0.35">
      <c r="A1086">
        <v>3151272346</v>
      </c>
      <c r="B1086" t="s">
        <v>932</v>
      </c>
      <c r="C1086" t="s">
        <v>966</v>
      </c>
      <c r="D1086" t="s">
        <v>957</v>
      </c>
      <c r="E1086" t="s">
        <v>972</v>
      </c>
      <c r="F1086" t="s">
        <v>201</v>
      </c>
      <c r="G1086">
        <v>903540</v>
      </c>
      <c r="H1086" t="s">
        <v>415</v>
      </c>
      <c r="I1086" s="4">
        <v>96</v>
      </c>
      <c r="J1086" s="4">
        <v>61.205759999999998</v>
      </c>
    </row>
    <row r="1087" spans="1:10" x14ac:dyDescent="0.35">
      <c r="A1087">
        <v>3151272347</v>
      </c>
      <c r="B1087" t="s">
        <v>932</v>
      </c>
      <c r="C1087" t="s">
        <v>966</v>
      </c>
      <c r="D1087" t="s">
        <v>957</v>
      </c>
      <c r="E1087" t="s">
        <v>972</v>
      </c>
      <c r="F1087" t="s">
        <v>201</v>
      </c>
      <c r="G1087">
        <v>903540</v>
      </c>
      <c r="H1087" t="s">
        <v>415</v>
      </c>
      <c r="I1087" s="4">
        <v>120</v>
      </c>
      <c r="J1087" s="4">
        <v>76.507199999999997</v>
      </c>
    </row>
    <row r="1088" spans="1:10" x14ac:dyDescent="0.35">
      <c r="A1088">
        <v>3151272348</v>
      </c>
      <c r="B1088" t="s">
        <v>932</v>
      </c>
      <c r="C1088" t="s">
        <v>966</v>
      </c>
      <c r="D1088" t="s">
        <v>957</v>
      </c>
      <c r="E1088" t="s">
        <v>972</v>
      </c>
      <c r="F1088" t="s">
        <v>201</v>
      </c>
      <c r="G1088">
        <v>903540</v>
      </c>
      <c r="H1088" t="s">
        <v>415</v>
      </c>
      <c r="I1088" s="4">
        <v>96</v>
      </c>
      <c r="J1088" s="4">
        <v>61.205759999999998</v>
      </c>
    </row>
    <row r="1089" spans="1:10" x14ac:dyDescent="0.35">
      <c r="A1089">
        <v>3151272349</v>
      </c>
      <c r="B1089" t="s">
        <v>932</v>
      </c>
      <c r="C1089" t="s">
        <v>966</v>
      </c>
      <c r="D1089" t="s">
        <v>957</v>
      </c>
      <c r="E1089" t="s">
        <v>972</v>
      </c>
      <c r="F1089" t="s">
        <v>201</v>
      </c>
      <c r="G1089">
        <v>903540</v>
      </c>
      <c r="H1089" t="s">
        <v>415</v>
      </c>
      <c r="I1089" s="4">
        <v>80</v>
      </c>
      <c r="J1089" s="4">
        <v>51.004799999999996</v>
      </c>
    </row>
    <row r="1090" spans="1:10" x14ac:dyDescent="0.35">
      <c r="A1090">
        <v>3151272810</v>
      </c>
      <c r="B1090" t="s">
        <v>932</v>
      </c>
      <c r="C1090" t="s">
        <v>966</v>
      </c>
      <c r="D1090" t="s">
        <v>957</v>
      </c>
      <c r="E1090" t="s">
        <v>972</v>
      </c>
      <c r="G1090">
        <v>903540</v>
      </c>
      <c r="H1090" t="s">
        <v>415</v>
      </c>
      <c r="I1090" s="4">
        <v>272</v>
      </c>
      <c r="J1090" s="4">
        <v>173.41631999999998</v>
      </c>
    </row>
    <row r="1091" spans="1:10" x14ac:dyDescent="0.35">
      <c r="A1091">
        <v>3151272291</v>
      </c>
      <c r="B1091" t="s">
        <v>932</v>
      </c>
      <c r="C1091" t="s">
        <v>966</v>
      </c>
      <c r="D1091" t="s">
        <v>957</v>
      </c>
      <c r="E1091" t="s">
        <v>972</v>
      </c>
      <c r="F1091" t="s">
        <v>201</v>
      </c>
      <c r="G1091">
        <v>903540</v>
      </c>
      <c r="H1091" t="s">
        <v>415</v>
      </c>
      <c r="I1091" s="4">
        <v>1048</v>
      </c>
      <c r="J1091" s="4">
        <v>668.16287999999986</v>
      </c>
    </row>
    <row r="1092" spans="1:10" x14ac:dyDescent="0.35">
      <c r="A1092">
        <v>3151272503</v>
      </c>
      <c r="B1092" t="s">
        <v>932</v>
      </c>
      <c r="C1092" t="s">
        <v>966</v>
      </c>
      <c r="D1092" t="s">
        <v>957</v>
      </c>
      <c r="E1092" t="s">
        <v>972</v>
      </c>
      <c r="F1092" t="s">
        <v>201</v>
      </c>
      <c r="G1092">
        <v>903540</v>
      </c>
      <c r="H1092" t="s">
        <v>415</v>
      </c>
      <c r="I1092" s="4">
        <v>400</v>
      </c>
      <c r="J1092" s="4">
        <v>255.02399999999997</v>
      </c>
    </row>
    <row r="1093" spans="1:10" x14ac:dyDescent="0.35">
      <c r="A1093">
        <v>3151272042</v>
      </c>
      <c r="B1093" t="s">
        <v>932</v>
      </c>
      <c r="C1093" t="s">
        <v>966</v>
      </c>
      <c r="D1093" t="s">
        <v>957</v>
      </c>
      <c r="E1093" t="s">
        <v>972</v>
      </c>
      <c r="G1093">
        <v>903540</v>
      </c>
      <c r="H1093" t="s">
        <v>415</v>
      </c>
      <c r="I1093" s="4">
        <v>84</v>
      </c>
      <c r="J1093" s="4">
        <v>53.555039999999998</v>
      </c>
    </row>
    <row r="1094" spans="1:10" x14ac:dyDescent="0.35">
      <c r="A1094">
        <v>3151272039</v>
      </c>
      <c r="B1094" t="s">
        <v>932</v>
      </c>
      <c r="C1094" t="s">
        <v>966</v>
      </c>
      <c r="D1094" t="s">
        <v>940</v>
      </c>
      <c r="E1094" t="s">
        <v>973</v>
      </c>
      <c r="G1094">
        <v>903543</v>
      </c>
      <c r="H1094" t="s">
        <v>421</v>
      </c>
      <c r="I1094" s="4">
        <v>342</v>
      </c>
      <c r="J1094" s="4">
        <v>343.02668399999999</v>
      </c>
    </row>
    <row r="1095" spans="1:10" x14ac:dyDescent="0.35">
      <c r="A1095">
        <v>3151272272</v>
      </c>
      <c r="B1095" t="s">
        <v>932</v>
      </c>
      <c r="C1095" t="s">
        <v>966</v>
      </c>
      <c r="D1095" t="s">
        <v>940</v>
      </c>
      <c r="E1095" t="s">
        <v>973</v>
      </c>
      <c r="F1095" t="s">
        <v>201</v>
      </c>
      <c r="G1095">
        <v>903543</v>
      </c>
      <c r="H1095" t="s">
        <v>421</v>
      </c>
      <c r="I1095" s="4">
        <v>402</v>
      </c>
      <c r="J1095" s="4">
        <v>403.20680400000003</v>
      </c>
    </row>
    <row r="1096" spans="1:10" x14ac:dyDescent="0.35">
      <c r="A1096">
        <v>3151272132</v>
      </c>
      <c r="B1096" t="s">
        <v>932</v>
      </c>
      <c r="C1096" t="s">
        <v>966</v>
      </c>
      <c r="D1096" t="s">
        <v>940</v>
      </c>
      <c r="E1096" t="s">
        <v>973</v>
      </c>
      <c r="F1096" t="s">
        <v>201</v>
      </c>
      <c r="G1096">
        <v>903543</v>
      </c>
      <c r="H1096" t="s">
        <v>421</v>
      </c>
      <c r="I1096" s="4">
        <v>1962</v>
      </c>
      <c r="J1096" s="4">
        <v>1967.8899239999998</v>
      </c>
    </row>
    <row r="1097" spans="1:10" x14ac:dyDescent="0.35">
      <c r="A1097">
        <v>3151272043</v>
      </c>
      <c r="B1097" t="s">
        <v>932</v>
      </c>
      <c r="C1097" t="s">
        <v>966</v>
      </c>
      <c r="D1097" t="s">
        <v>940</v>
      </c>
      <c r="E1097" t="s">
        <v>973</v>
      </c>
      <c r="G1097">
        <v>903543</v>
      </c>
      <c r="H1097" t="s">
        <v>421</v>
      </c>
      <c r="I1097" s="4">
        <v>150</v>
      </c>
      <c r="J1097" s="4">
        <v>150.4503</v>
      </c>
    </row>
    <row r="1098" spans="1:10" x14ac:dyDescent="0.35">
      <c r="A1098">
        <v>3151272345</v>
      </c>
      <c r="B1098" t="s">
        <v>932</v>
      </c>
      <c r="C1098" t="s">
        <v>966</v>
      </c>
      <c r="D1098" t="s">
        <v>940</v>
      </c>
      <c r="E1098" t="s">
        <v>973</v>
      </c>
      <c r="F1098" t="s">
        <v>201</v>
      </c>
      <c r="G1098">
        <v>903543</v>
      </c>
      <c r="H1098" t="s">
        <v>421</v>
      </c>
      <c r="I1098" s="4">
        <v>174</v>
      </c>
      <c r="J1098" s="4">
        <v>174.52234799999999</v>
      </c>
    </row>
    <row r="1099" spans="1:10" x14ac:dyDescent="0.35">
      <c r="A1099">
        <v>3151272348</v>
      </c>
      <c r="B1099" t="s">
        <v>932</v>
      </c>
      <c r="C1099" t="s">
        <v>966</v>
      </c>
      <c r="D1099" t="s">
        <v>940</v>
      </c>
      <c r="E1099" t="s">
        <v>973</v>
      </c>
      <c r="F1099" t="s">
        <v>201</v>
      </c>
      <c r="G1099">
        <v>903543</v>
      </c>
      <c r="H1099" t="s">
        <v>421</v>
      </c>
      <c r="I1099" s="4">
        <v>48.1</v>
      </c>
      <c r="J1099" s="4">
        <v>48.244396199999997</v>
      </c>
    </row>
    <row r="1100" spans="1:10" x14ac:dyDescent="0.35">
      <c r="A1100">
        <v>3151272810</v>
      </c>
      <c r="B1100" t="s">
        <v>932</v>
      </c>
      <c r="C1100" t="s">
        <v>966</v>
      </c>
      <c r="D1100" t="s">
        <v>940</v>
      </c>
      <c r="E1100" t="s">
        <v>973</v>
      </c>
      <c r="G1100">
        <v>903543</v>
      </c>
      <c r="H1100" t="s">
        <v>421</v>
      </c>
      <c r="I1100" s="4">
        <v>162</v>
      </c>
      <c r="J1100" s="4">
        <v>162.486324</v>
      </c>
    </row>
    <row r="1101" spans="1:10" x14ac:dyDescent="0.35">
      <c r="A1101">
        <v>3151272291</v>
      </c>
      <c r="B1101" t="s">
        <v>932</v>
      </c>
      <c r="C1101" t="s">
        <v>966</v>
      </c>
      <c r="D1101" t="s">
        <v>940</v>
      </c>
      <c r="E1101" t="s">
        <v>973</v>
      </c>
      <c r="F1101" t="s">
        <v>201</v>
      </c>
      <c r="G1101">
        <v>903543</v>
      </c>
      <c r="H1101" t="s">
        <v>421</v>
      </c>
      <c r="I1101" s="4">
        <v>282</v>
      </c>
      <c r="J1101" s="4">
        <v>282.846564</v>
      </c>
    </row>
    <row r="1102" spans="1:10" x14ac:dyDescent="0.35">
      <c r="A1102">
        <v>3151272503</v>
      </c>
      <c r="B1102" t="s">
        <v>932</v>
      </c>
      <c r="C1102" t="s">
        <v>966</v>
      </c>
      <c r="D1102" t="s">
        <v>940</v>
      </c>
      <c r="E1102" t="s">
        <v>973</v>
      </c>
      <c r="F1102" t="s">
        <v>201</v>
      </c>
      <c r="G1102">
        <v>903543</v>
      </c>
      <c r="H1102" t="s">
        <v>421</v>
      </c>
      <c r="I1102" s="4">
        <v>378</v>
      </c>
      <c r="J1102" s="4">
        <v>379.13475599999998</v>
      </c>
    </row>
    <row r="1103" spans="1:10" x14ac:dyDescent="0.35">
      <c r="A1103">
        <v>3151272128</v>
      </c>
      <c r="B1103" t="s">
        <v>932</v>
      </c>
      <c r="C1103" t="s">
        <v>974</v>
      </c>
      <c r="D1103" t="s">
        <v>943</v>
      </c>
      <c r="E1103" t="s">
        <v>975</v>
      </c>
      <c r="F1103" t="s">
        <v>420</v>
      </c>
      <c r="G1103">
        <v>948910</v>
      </c>
      <c r="H1103" t="s">
        <v>412</v>
      </c>
      <c r="I1103" s="4">
        <v>1616</v>
      </c>
      <c r="J1103" s="4">
        <v>271.488</v>
      </c>
    </row>
    <row r="1104" spans="1:10" x14ac:dyDescent="0.35">
      <c r="A1104">
        <v>3151272128</v>
      </c>
      <c r="B1104" t="s">
        <v>932</v>
      </c>
      <c r="C1104" t="s">
        <v>974</v>
      </c>
      <c r="D1104" t="s">
        <v>449</v>
      </c>
      <c r="E1104" t="s">
        <v>976</v>
      </c>
      <c r="F1104" t="s">
        <v>420</v>
      </c>
      <c r="G1104">
        <v>948909</v>
      </c>
      <c r="H1104" t="s">
        <v>415</v>
      </c>
      <c r="I1104" s="4">
        <v>1722</v>
      </c>
      <c r="J1104" s="4">
        <v>928.15800000000002</v>
      </c>
    </row>
    <row r="1105" spans="1:10" x14ac:dyDescent="0.35">
      <c r="A1105">
        <v>3151272128</v>
      </c>
      <c r="B1105" t="s">
        <v>932</v>
      </c>
      <c r="C1105" t="s">
        <v>977</v>
      </c>
      <c r="D1105" t="s">
        <v>943</v>
      </c>
      <c r="E1105" t="s">
        <v>975</v>
      </c>
      <c r="F1105" t="s">
        <v>440</v>
      </c>
      <c r="G1105">
        <v>948917</v>
      </c>
      <c r="H1105" t="s">
        <v>412</v>
      </c>
      <c r="I1105" s="4">
        <v>1512</v>
      </c>
      <c r="J1105" s="4">
        <v>254.01599999999999</v>
      </c>
    </row>
    <row r="1106" spans="1:10" x14ac:dyDescent="0.35">
      <c r="A1106">
        <v>3151272128</v>
      </c>
      <c r="B1106" t="s">
        <v>932</v>
      </c>
      <c r="C1106" t="s">
        <v>977</v>
      </c>
      <c r="D1106" t="s">
        <v>449</v>
      </c>
      <c r="E1106" t="s">
        <v>976</v>
      </c>
      <c r="F1106" t="s">
        <v>440</v>
      </c>
      <c r="G1106">
        <v>948914</v>
      </c>
      <c r="H1106" t="s">
        <v>415</v>
      </c>
      <c r="I1106" s="4">
        <v>1932</v>
      </c>
      <c r="J1106" s="4">
        <v>1041.348</v>
      </c>
    </row>
    <row r="1107" spans="1:10" x14ac:dyDescent="0.35">
      <c r="A1107">
        <v>3151272278</v>
      </c>
      <c r="B1107" t="s">
        <v>932</v>
      </c>
      <c r="C1107" t="s">
        <v>978</v>
      </c>
      <c r="D1107" t="s">
        <v>473</v>
      </c>
      <c r="E1107" t="s">
        <v>979</v>
      </c>
      <c r="F1107" t="s">
        <v>201</v>
      </c>
      <c r="G1107">
        <v>937329</v>
      </c>
      <c r="H1107" t="s">
        <v>433</v>
      </c>
      <c r="I1107" s="4">
        <v>600</v>
      </c>
      <c r="J1107" s="4">
        <v>34.303800000000003</v>
      </c>
    </row>
    <row r="1108" spans="1:10" x14ac:dyDescent="0.35">
      <c r="A1108">
        <v>3151272835</v>
      </c>
      <c r="B1108" t="s">
        <v>932</v>
      </c>
      <c r="C1108" t="s">
        <v>978</v>
      </c>
      <c r="D1108" t="s">
        <v>473</v>
      </c>
      <c r="E1108" t="s">
        <v>979</v>
      </c>
      <c r="F1108" t="s">
        <v>201</v>
      </c>
      <c r="G1108">
        <v>937329</v>
      </c>
      <c r="H1108" t="s">
        <v>433</v>
      </c>
      <c r="I1108" s="4">
        <v>1056</v>
      </c>
      <c r="J1108" s="4">
        <v>60.374688000000006</v>
      </c>
    </row>
    <row r="1109" spans="1:10" x14ac:dyDescent="0.35">
      <c r="A1109">
        <v>3151272502</v>
      </c>
      <c r="B1109" t="s">
        <v>932</v>
      </c>
      <c r="C1109" t="s">
        <v>978</v>
      </c>
      <c r="D1109" t="s">
        <v>473</v>
      </c>
      <c r="E1109" t="s">
        <v>979</v>
      </c>
      <c r="F1109" t="s">
        <v>201</v>
      </c>
      <c r="G1109">
        <v>937329</v>
      </c>
      <c r="H1109" t="s">
        <v>433</v>
      </c>
      <c r="I1109" s="4">
        <v>408</v>
      </c>
      <c r="J1109" s="4">
        <v>23.326584000000004</v>
      </c>
    </row>
    <row r="1110" spans="1:10" x14ac:dyDescent="0.35">
      <c r="A1110">
        <v>3151272278</v>
      </c>
      <c r="B1110" t="s">
        <v>932</v>
      </c>
      <c r="C1110" t="s">
        <v>978</v>
      </c>
      <c r="D1110" t="s">
        <v>935</v>
      </c>
      <c r="E1110" t="s">
        <v>980</v>
      </c>
      <c r="F1110" t="s">
        <v>201</v>
      </c>
      <c r="G1110">
        <v>937327</v>
      </c>
      <c r="H1110" t="s">
        <v>412</v>
      </c>
      <c r="I1110" s="4">
        <v>264</v>
      </c>
      <c r="J1110" s="4">
        <v>38.61</v>
      </c>
    </row>
    <row r="1111" spans="1:10" x14ac:dyDescent="0.35">
      <c r="A1111">
        <v>3151272835</v>
      </c>
      <c r="B1111" t="s">
        <v>932</v>
      </c>
      <c r="C1111" t="s">
        <v>978</v>
      </c>
      <c r="D1111" t="s">
        <v>935</v>
      </c>
      <c r="E1111" t="s">
        <v>980</v>
      </c>
      <c r="F1111" t="s">
        <v>201</v>
      </c>
      <c r="G1111">
        <v>937327</v>
      </c>
      <c r="H1111" t="s">
        <v>412</v>
      </c>
      <c r="I1111" s="4">
        <v>1672</v>
      </c>
      <c r="J1111" s="4">
        <v>244.53</v>
      </c>
    </row>
    <row r="1112" spans="1:10" x14ac:dyDescent="0.35">
      <c r="A1112">
        <v>3151272502</v>
      </c>
      <c r="B1112" t="s">
        <v>932</v>
      </c>
      <c r="C1112" t="s">
        <v>978</v>
      </c>
      <c r="D1112" t="s">
        <v>935</v>
      </c>
      <c r="E1112" t="s">
        <v>980</v>
      </c>
      <c r="F1112" t="s">
        <v>201</v>
      </c>
      <c r="G1112">
        <v>937327</v>
      </c>
      <c r="H1112" t="s">
        <v>412</v>
      </c>
      <c r="I1112" s="4">
        <v>752</v>
      </c>
      <c r="J1112" s="4">
        <v>109.98</v>
      </c>
    </row>
    <row r="1113" spans="1:10" x14ac:dyDescent="0.35">
      <c r="A1113">
        <v>3151272278</v>
      </c>
      <c r="B1113" t="s">
        <v>932</v>
      </c>
      <c r="C1113" t="s">
        <v>978</v>
      </c>
      <c r="D1113" t="s">
        <v>981</v>
      </c>
      <c r="E1113" t="s">
        <v>982</v>
      </c>
      <c r="F1113" t="s">
        <v>201</v>
      </c>
      <c r="G1113">
        <v>904614</v>
      </c>
      <c r="H1113" t="s">
        <v>614</v>
      </c>
      <c r="I1113" s="4">
        <v>684</v>
      </c>
      <c r="J1113" s="4">
        <v>246.24</v>
      </c>
    </row>
    <row r="1114" spans="1:10" x14ac:dyDescent="0.35">
      <c r="A1114">
        <v>3151272835</v>
      </c>
      <c r="B1114" t="s">
        <v>932</v>
      </c>
      <c r="C1114" t="s">
        <v>978</v>
      </c>
      <c r="D1114" t="s">
        <v>981</v>
      </c>
      <c r="E1114" t="s">
        <v>982</v>
      </c>
      <c r="F1114" t="s">
        <v>201</v>
      </c>
      <c r="G1114">
        <v>904614</v>
      </c>
      <c r="H1114" t="s">
        <v>614</v>
      </c>
      <c r="I1114" s="4">
        <v>804</v>
      </c>
      <c r="J1114" s="4">
        <v>289.44</v>
      </c>
    </row>
    <row r="1115" spans="1:10" x14ac:dyDescent="0.35">
      <c r="A1115">
        <v>3151272502</v>
      </c>
      <c r="B1115" t="s">
        <v>932</v>
      </c>
      <c r="C1115" t="s">
        <v>978</v>
      </c>
      <c r="D1115" t="s">
        <v>981</v>
      </c>
      <c r="E1115" t="s">
        <v>982</v>
      </c>
      <c r="F1115" t="s">
        <v>201</v>
      </c>
      <c r="G1115">
        <v>904614</v>
      </c>
      <c r="H1115" t="s">
        <v>614</v>
      </c>
      <c r="I1115" s="4">
        <v>192</v>
      </c>
      <c r="J1115" s="4">
        <v>69.12</v>
      </c>
    </row>
    <row r="1116" spans="1:10" x14ac:dyDescent="0.35">
      <c r="A1116">
        <v>3151272835</v>
      </c>
      <c r="B1116" t="s">
        <v>932</v>
      </c>
      <c r="C1116" t="s">
        <v>978</v>
      </c>
      <c r="D1116" t="s">
        <v>957</v>
      </c>
      <c r="E1116" t="s">
        <v>983</v>
      </c>
      <c r="F1116" t="s">
        <v>201</v>
      </c>
      <c r="G1116">
        <v>937328</v>
      </c>
      <c r="H1116" t="s">
        <v>415</v>
      </c>
      <c r="I1116" s="4">
        <v>3000</v>
      </c>
      <c r="J1116" s="4">
        <v>1449</v>
      </c>
    </row>
    <row r="1117" spans="1:10" x14ac:dyDescent="0.35">
      <c r="A1117">
        <v>3151272502</v>
      </c>
      <c r="B1117" t="s">
        <v>932</v>
      </c>
      <c r="C1117" t="s">
        <v>978</v>
      </c>
      <c r="D1117" t="s">
        <v>957</v>
      </c>
      <c r="E1117" t="s">
        <v>983</v>
      </c>
      <c r="F1117" t="s">
        <v>201</v>
      </c>
      <c r="G1117">
        <v>937328</v>
      </c>
      <c r="H1117" t="s">
        <v>415</v>
      </c>
      <c r="I1117" s="4">
        <v>1304</v>
      </c>
      <c r="J1117" s="4">
        <v>629.83199999999999</v>
      </c>
    </row>
    <row r="1118" spans="1:10" x14ac:dyDescent="0.35">
      <c r="A1118">
        <v>3151272278</v>
      </c>
      <c r="B1118" t="s">
        <v>932</v>
      </c>
      <c r="C1118" t="s">
        <v>978</v>
      </c>
      <c r="D1118" t="s">
        <v>940</v>
      </c>
      <c r="E1118" t="s">
        <v>984</v>
      </c>
      <c r="F1118" t="s">
        <v>201</v>
      </c>
      <c r="G1118">
        <v>937330</v>
      </c>
      <c r="H1118" t="s">
        <v>421</v>
      </c>
      <c r="I1118" s="4">
        <v>906</v>
      </c>
      <c r="J1118" s="4">
        <v>688.42409999999995</v>
      </c>
    </row>
    <row r="1119" spans="1:10" x14ac:dyDescent="0.35">
      <c r="A1119">
        <v>3151272835</v>
      </c>
      <c r="B1119" t="s">
        <v>932</v>
      </c>
      <c r="C1119" t="s">
        <v>978</v>
      </c>
      <c r="D1119" t="s">
        <v>940</v>
      </c>
      <c r="E1119" t="s">
        <v>984</v>
      </c>
      <c r="F1119" t="s">
        <v>201</v>
      </c>
      <c r="G1119">
        <v>937330</v>
      </c>
      <c r="H1119" t="s">
        <v>421</v>
      </c>
      <c r="I1119" s="4">
        <v>1014</v>
      </c>
      <c r="J1119" s="4">
        <v>770.48790000000008</v>
      </c>
    </row>
    <row r="1120" spans="1:10" x14ac:dyDescent="0.35">
      <c r="A1120">
        <v>3151272502</v>
      </c>
      <c r="B1120" t="s">
        <v>932</v>
      </c>
      <c r="C1120" t="s">
        <v>978</v>
      </c>
      <c r="D1120" t="s">
        <v>940</v>
      </c>
      <c r="E1120" t="s">
        <v>984</v>
      </c>
      <c r="F1120" t="s">
        <v>201</v>
      </c>
      <c r="G1120">
        <v>937330</v>
      </c>
      <c r="H1120" t="s">
        <v>421</v>
      </c>
      <c r="I1120" s="4">
        <v>324</v>
      </c>
      <c r="J1120" s="4">
        <v>246.19139999999999</v>
      </c>
    </row>
    <row r="1121" spans="1:10" x14ac:dyDescent="0.35">
      <c r="A1121">
        <v>3151272131</v>
      </c>
      <c r="B1121" t="s">
        <v>932</v>
      </c>
      <c r="C1121" t="s">
        <v>985</v>
      </c>
      <c r="D1121" t="s">
        <v>473</v>
      </c>
      <c r="E1121" t="s">
        <v>986</v>
      </c>
      <c r="F1121" t="s">
        <v>201</v>
      </c>
      <c r="G1121">
        <v>933509</v>
      </c>
      <c r="H1121" t="s">
        <v>433</v>
      </c>
      <c r="I1121" s="4">
        <v>1728</v>
      </c>
      <c r="J1121" s="4">
        <v>94.089600000000004</v>
      </c>
    </row>
    <row r="1122" spans="1:10" x14ac:dyDescent="0.35">
      <c r="A1122">
        <v>3151272131</v>
      </c>
      <c r="B1122" t="s">
        <v>932</v>
      </c>
      <c r="C1122" t="s">
        <v>985</v>
      </c>
      <c r="D1122" t="s">
        <v>987</v>
      </c>
      <c r="E1122" t="s">
        <v>988</v>
      </c>
      <c r="F1122" t="s">
        <v>201</v>
      </c>
      <c r="G1122">
        <v>933506</v>
      </c>
      <c r="H1122" t="s">
        <v>412</v>
      </c>
      <c r="I1122" s="4">
        <v>1832</v>
      </c>
      <c r="J1122" s="4">
        <v>244.114</v>
      </c>
    </row>
    <row r="1123" spans="1:10" x14ac:dyDescent="0.35">
      <c r="A1123">
        <v>3151272131</v>
      </c>
      <c r="B1123" t="s">
        <v>932</v>
      </c>
      <c r="C1123" t="s">
        <v>985</v>
      </c>
      <c r="D1123" t="s">
        <v>957</v>
      </c>
      <c r="E1123" t="s">
        <v>989</v>
      </c>
      <c r="F1123" t="s">
        <v>201</v>
      </c>
      <c r="G1123">
        <v>933505</v>
      </c>
      <c r="H1123" t="s">
        <v>415</v>
      </c>
      <c r="I1123" s="4">
        <v>3520</v>
      </c>
      <c r="J1123" s="4">
        <v>1700.16</v>
      </c>
    </row>
    <row r="1124" spans="1:10" x14ac:dyDescent="0.35">
      <c r="A1124">
        <v>3151272131</v>
      </c>
      <c r="B1124" t="s">
        <v>932</v>
      </c>
      <c r="C1124" t="s">
        <v>985</v>
      </c>
      <c r="D1124" t="s">
        <v>940</v>
      </c>
      <c r="E1124" t="s">
        <v>990</v>
      </c>
      <c r="F1124" t="s">
        <v>201</v>
      </c>
      <c r="G1124">
        <v>933508</v>
      </c>
      <c r="H1124" t="s">
        <v>421</v>
      </c>
      <c r="I1124" s="4">
        <v>1020</v>
      </c>
      <c r="J1124" s="4">
        <v>775.04700000000003</v>
      </c>
    </row>
    <row r="1125" spans="1:10" x14ac:dyDescent="0.35">
      <c r="A1125">
        <v>3151272131</v>
      </c>
      <c r="B1125" t="s">
        <v>932</v>
      </c>
      <c r="C1125" t="s">
        <v>991</v>
      </c>
      <c r="D1125" t="s">
        <v>952</v>
      </c>
      <c r="E1125" t="s">
        <v>992</v>
      </c>
      <c r="F1125" t="s">
        <v>201</v>
      </c>
      <c r="G1125">
        <v>904617</v>
      </c>
      <c r="H1125" t="s">
        <v>614</v>
      </c>
      <c r="I1125" s="4">
        <v>1230</v>
      </c>
      <c r="J1125" s="4">
        <v>442.8</v>
      </c>
    </row>
    <row r="1126" spans="1:10" x14ac:dyDescent="0.35">
      <c r="A1126">
        <v>3151272092</v>
      </c>
      <c r="B1126" t="s">
        <v>932</v>
      </c>
      <c r="C1126" t="s">
        <v>993</v>
      </c>
      <c r="D1126" t="s">
        <v>431</v>
      </c>
      <c r="E1126" t="s">
        <v>994</v>
      </c>
      <c r="F1126" t="s">
        <v>778</v>
      </c>
      <c r="G1126">
        <v>804741</v>
      </c>
      <c r="H1126" t="s">
        <v>433</v>
      </c>
      <c r="I1126" s="4">
        <v>4584</v>
      </c>
      <c r="J1126" s="4">
        <v>355.03996799999999</v>
      </c>
    </row>
    <row r="1127" spans="1:10" x14ac:dyDescent="0.35">
      <c r="A1127">
        <v>3151272091</v>
      </c>
      <c r="B1127" t="s">
        <v>932</v>
      </c>
      <c r="C1127" t="s">
        <v>993</v>
      </c>
      <c r="D1127" t="s">
        <v>431</v>
      </c>
      <c r="E1127" t="s">
        <v>994</v>
      </c>
      <c r="F1127" t="s">
        <v>778</v>
      </c>
      <c r="G1127">
        <v>804741</v>
      </c>
      <c r="H1127" t="s">
        <v>433</v>
      </c>
      <c r="I1127" s="4">
        <v>408</v>
      </c>
      <c r="J1127" s="4">
        <v>31.600415999999999</v>
      </c>
    </row>
    <row r="1128" spans="1:10" x14ac:dyDescent="0.35">
      <c r="A1128">
        <v>3151272092</v>
      </c>
      <c r="B1128" t="s">
        <v>932</v>
      </c>
      <c r="C1128" t="s">
        <v>993</v>
      </c>
      <c r="D1128" t="s">
        <v>943</v>
      </c>
      <c r="E1128" t="s">
        <v>995</v>
      </c>
      <c r="F1128" t="s">
        <v>778</v>
      </c>
      <c r="G1128">
        <v>804739</v>
      </c>
      <c r="H1128" t="s">
        <v>412</v>
      </c>
      <c r="I1128" s="4">
        <v>2500</v>
      </c>
      <c r="J1128" s="4">
        <v>511.71250000000003</v>
      </c>
    </row>
    <row r="1129" spans="1:10" x14ac:dyDescent="0.35">
      <c r="A1129">
        <v>3151272092</v>
      </c>
      <c r="B1129" t="s">
        <v>932</v>
      </c>
      <c r="C1129" t="s">
        <v>993</v>
      </c>
      <c r="D1129" t="s">
        <v>937</v>
      </c>
      <c r="E1129" t="s">
        <v>996</v>
      </c>
      <c r="F1129" t="s">
        <v>778</v>
      </c>
      <c r="G1129">
        <v>804740</v>
      </c>
      <c r="H1129" t="s">
        <v>614</v>
      </c>
      <c r="I1129" s="4">
        <v>1200</v>
      </c>
      <c r="J1129" s="4">
        <v>595.20000000000005</v>
      </c>
    </row>
    <row r="1130" spans="1:10" x14ac:dyDescent="0.35">
      <c r="A1130">
        <v>3151272092</v>
      </c>
      <c r="B1130" t="s">
        <v>932</v>
      </c>
      <c r="C1130" t="s">
        <v>993</v>
      </c>
      <c r="D1130" t="s">
        <v>449</v>
      </c>
      <c r="E1130" t="s">
        <v>997</v>
      </c>
      <c r="F1130" t="s">
        <v>778</v>
      </c>
      <c r="G1130">
        <v>804737</v>
      </c>
      <c r="H1130" t="s">
        <v>415</v>
      </c>
      <c r="I1130" s="4">
        <v>3056</v>
      </c>
      <c r="J1130" s="4">
        <v>2006.5696</v>
      </c>
    </row>
    <row r="1131" spans="1:10" x14ac:dyDescent="0.35">
      <c r="A1131">
        <v>3151272092</v>
      </c>
      <c r="B1131" t="s">
        <v>932</v>
      </c>
      <c r="C1131" t="s">
        <v>993</v>
      </c>
      <c r="D1131" t="s">
        <v>940</v>
      </c>
      <c r="E1131" t="s">
        <v>998</v>
      </c>
      <c r="F1131" t="s">
        <v>778</v>
      </c>
      <c r="G1131">
        <v>804738</v>
      </c>
      <c r="H1131" t="s">
        <v>421</v>
      </c>
      <c r="I1131" s="4">
        <v>1200</v>
      </c>
      <c r="J1131" s="4">
        <v>1221.8388</v>
      </c>
    </row>
    <row r="1132" spans="1:10" x14ac:dyDescent="0.35">
      <c r="A1132">
        <v>3151270793</v>
      </c>
      <c r="B1132" t="s">
        <v>932</v>
      </c>
      <c r="C1132" t="s">
        <v>999</v>
      </c>
      <c r="D1132" t="s">
        <v>473</v>
      </c>
      <c r="E1132" t="s">
        <v>1000</v>
      </c>
      <c r="F1132" t="s">
        <v>201</v>
      </c>
      <c r="G1132">
        <v>932759</v>
      </c>
      <c r="H1132" t="s">
        <v>433</v>
      </c>
      <c r="I1132" s="4">
        <v>72</v>
      </c>
      <c r="J1132" s="4">
        <v>5.0181120000000004</v>
      </c>
    </row>
    <row r="1133" spans="1:10" x14ac:dyDescent="0.35">
      <c r="A1133">
        <v>3151272550</v>
      </c>
      <c r="B1133" t="s">
        <v>932</v>
      </c>
      <c r="C1133" t="s">
        <v>999</v>
      </c>
      <c r="D1133" t="s">
        <v>473</v>
      </c>
      <c r="E1133" t="s">
        <v>1000</v>
      </c>
      <c r="F1133" t="s">
        <v>201</v>
      </c>
      <c r="G1133">
        <v>932759</v>
      </c>
      <c r="H1133" t="s">
        <v>433</v>
      </c>
      <c r="I1133" s="4">
        <v>576</v>
      </c>
      <c r="J1133" s="4">
        <v>40.144896000000003</v>
      </c>
    </row>
    <row r="1134" spans="1:10" x14ac:dyDescent="0.35">
      <c r="A1134">
        <v>3151272041</v>
      </c>
      <c r="B1134" t="s">
        <v>932</v>
      </c>
      <c r="C1134" t="s">
        <v>999</v>
      </c>
      <c r="D1134" t="s">
        <v>473</v>
      </c>
      <c r="E1134" t="s">
        <v>1000</v>
      </c>
      <c r="G1134">
        <v>932759</v>
      </c>
      <c r="H1134" t="s">
        <v>433</v>
      </c>
      <c r="I1134" s="4">
        <v>648</v>
      </c>
      <c r="J1134" s="4">
        <v>45.163008000000005</v>
      </c>
    </row>
    <row r="1135" spans="1:10" x14ac:dyDescent="0.35">
      <c r="A1135">
        <v>3151272038</v>
      </c>
      <c r="B1135" t="s">
        <v>932</v>
      </c>
      <c r="C1135" t="s">
        <v>999</v>
      </c>
      <c r="D1135" t="s">
        <v>473</v>
      </c>
      <c r="E1135" t="s">
        <v>1000</v>
      </c>
      <c r="G1135">
        <v>932759</v>
      </c>
      <c r="H1135" t="s">
        <v>433</v>
      </c>
      <c r="I1135" s="4">
        <v>3552</v>
      </c>
      <c r="J1135" s="4">
        <v>247.56019199999997</v>
      </c>
    </row>
    <row r="1136" spans="1:10" x14ac:dyDescent="0.35">
      <c r="A1136">
        <v>3151272130</v>
      </c>
      <c r="B1136" t="s">
        <v>932</v>
      </c>
      <c r="C1136" t="s">
        <v>999</v>
      </c>
      <c r="D1136" t="s">
        <v>473</v>
      </c>
      <c r="E1136" t="s">
        <v>1000</v>
      </c>
      <c r="F1136" t="s">
        <v>201</v>
      </c>
      <c r="G1136">
        <v>932759</v>
      </c>
      <c r="H1136" t="s">
        <v>433</v>
      </c>
      <c r="I1136" s="4">
        <v>504</v>
      </c>
      <c r="J1136" s="4">
        <v>35.126784000000001</v>
      </c>
    </row>
    <row r="1137" spans="1:10" x14ac:dyDescent="0.35">
      <c r="A1137">
        <v>3151272140</v>
      </c>
      <c r="B1137" t="s">
        <v>932</v>
      </c>
      <c r="C1137" t="s">
        <v>999</v>
      </c>
      <c r="D1137" t="s">
        <v>473</v>
      </c>
      <c r="E1137" t="s">
        <v>1000</v>
      </c>
      <c r="G1137">
        <v>932759</v>
      </c>
      <c r="H1137" t="s">
        <v>433</v>
      </c>
      <c r="I1137" s="4">
        <v>192</v>
      </c>
      <c r="J1137" s="4">
        <v>13.381632</v>
      </c>
    </row>
    <row r="1138" spans="1:10" x14ac:dyDescent="0.35">
      <c r="A1138">
        <v>3151272144</v>
      </c>
      <c r="B1138" t="s">
        <v>932</v>
      </c>
      <c r="C1138" t="s">
        <v>999</v>
      </c>
      <c r="D1138" t="s">
        <v>473</v>
      </c>
      <c r="E1138" t="s">
        <v>1000</v>
      </c>
      <c r="G1138">
        <v>932759</v>
      </c>
      <c r="H1138" t="s">
        <v>433</v>
      </c>
      <c r="I1138" s="4">
        <v>72</v>
      </c>
      <c r="J1138" s="4">
        <v>5.0181120000000004</v>
      </c>
    </row>
    <row r="1139" spans="1:10" x14ac:dyDescent="0.35">
      <c r="A1139">
        <v>3151272276</v>
      </c>
      <c r="B1139" t="s">
        <v>932</v>
      </c>
      <c r="C1139" t="s">
        <v>999</v>
      </c>
      <c r="D1139" t="s">
        <v>473</v>
      </c>
      <c r="E1139" t="s">
        <v>1000</v>
      </c>
      <c r="F1139" t="s">
        <v>201</v>
      </c>
      <c r="G1139">
        <v>932759</v>
      </c>
      <c r="H1139" t="s">
        <v>433</v>
      </c>
      <c r="I1139" s="4">
        <v>240</v>
      </c>
      <c r="J1139" s="4">
        <v>16.727040000000002</v>
      </c>
    </row>
    <row r="1140" spans="1:10" x14ac:dyDescent="0.35">
      <c r="A1140">
        <v>3151272273</v>
      </c>
      <c r="B1140" t="s">
        <v>932</v>
      </c>
      <c r="C1140" t="s">
        <v>999</v>
      </c>
      <c r="D1140" t="s">
        <v>473</v>
      </c>
      <c r="E1140" t="s">
        <v>1000</v>
      </c>
      <c r="F1140" t="s">
        <v>201</v>
      </c>
      <c r="G1140">
        <v>932759</v>
      </c>
      <c r="H1140" t="s">
        <v>433</v>
      </c>
      <c r="I1140" s="4">
        <v>2592</v>
      </c>
      <c r="J1140" s="4">
        <v>180.65203200000002</v>
      </c>
    </row>
    <row r="1141" spans="1:10" x14ac:dyDescent="0.35">
      <c r="A1141">
        <v>3151272351</v>
      </c>
      <c r="B1141" t="s">
        <v>932</v>
      </c>
      <c r="C1141" t="s">
        <v>999</v>
      </c>
      <c r="D1141" t="s">
        <v>473</v>
      </c>
      <c r="E1141" t="s">
        <v>1000</v>
      </c>
      <c r="F1141" t="s">
        <v>201</v>
      </c>
      <c r="G1141">
        <v>932759</v>
      </c>
      <c r="H1141" t="s">
        <v>433</v>
      </c>
      <c r="I1141" s="4">
        <v>744</v>
      </c>
      <c r="J1141" s="4">
        <v>51.853824000000003</v>
      </c>
    </row>
    <row r="1142" spans="1:10" x14ac:dyDescent="0.35">
      <c r="A1142">
        <v>3151272352</v>
      </c>
      <c r="B1142" t="s">
        <v>932</v>
      </c>
      <c r="C1142" t="s">
        <v>999</v>
      </c>
      <c r="D1142" t="s">
        <v>473</v>
      </c>
      <c r="E1142" t="s">
        <v>1000</v>
      </c>
      <c r="F1142" t="s">
        <v>201</v>
      </c>
      <c r="G1142">
        <v>932759</v>
      </c>
      <c r="H1142" t="s">
        <v>433</v>
      </c>
      <c r="I1142" s="4">
        <v>216</v>
      </c>
      <c r="J1142" s="4">
        <v>15.054335999999999</v>
      </c>
    </row>
    <row r="1143" spans="1:10" x14ac:dyDescent="0.35">
      <c r="A1143">
        <v>3151272809</v>
      </c>
      <c r="B1143" t="s">
        <v>932</v>
      </c>
      <c r="C1143" t="s">
        <v>999</v>
      </c>
      <c r="D1143" t="s">
        <v>473</v>
      </c>
      <c r="E1143" t="s">
        <v>1000</v>
      </c>
      <c r="G1143">
        <v>932759</v>
      </c>
      <c r="H1143" t="s">
        <v>433</v>
      </c>
      <c r="I1143" s="4">
        <v>1104</v>
      </c>
      <c r="J1143" s="4">
        <v>76.944383999999999</v>
      </c>
    </row>
    <row r="1144" spans="1:10" x14ac:dyDescent="0.35">
      <c r="A1144">
        <v>3151272501</v>
      </c>
      <c r="B1144" t="s">
        <v>932</v>
      </c>
      <c r="C1144" t="s">
        <v>999</v>
      </c>
      <c r="D1144" t="s">
        <v>473</v>
      </c>
      <c r="E1144" t="s">
        <v>1000</v>
      </c>
      <c r="F1144" t="s">
        <v>201</v>
      </c>
      <c r="G1144">
        <v>932759</v>
      </c>
      <c r="H1144" t="s">
        <v>433</v>
      </c>
      <c r="I1144" s="4">
        <v>2112</v>
      </c>
      <c r="J1144" s="4">
        <v>147.19795199999999</v>
      </c>
    </row>
    <row r="1145" spans="1:10" x14ac:dyDescent="0.35">
      <c r="A1145">
        <v>3151270793</v>
      </c>
      <c r="B1145" t="s">
        <v>932</v>
      </c>
      <c r="C1145" t="s">
        <v>999</v>
      </c>
      <c r="D1145" t="s">
        <v>935</v>
      </c>
      <c r="E1145" t="s">
        <v>1001</v>
      </c>
      <c r="F1145" t="s">
        <v>201</v>
      </c>
      <c r="G1145">
        <v>932757</v>
      </c>
      <c r="H1145" t="s">
        <v>412</v>
      </c>
      <c r="I1145" s="4">
        <v>56</v>
      </c>
      <c r="J1145" s="4">
        <v>10.974600000000001</v>
      </c>
    </row>
    <row r="1146" spans="1:10" x14ac:dyDescent="0.35">
      <c r="A1146">
        <v>3151272550</v>
      </c>
      <c r="B1146" t="s">
        <v>932</v>
      </c>
      <c r="C1146" t="s">
        <v>999</v>
      </c>
      <c r="D1146" t="s">
        <v>935</v>
      </c>
      <c r="E1146" t="s">
        <v>1001</v>
      </c>
      <c r="F1146" t="s">
        <v>201</v>
      </c>
      <c r="G1146">
        <v>932757</v>
      </c>
      <c r="H1146" t="s">
        <v>412</v>
      </c>
      <c r="I1146" s="4">
        <v>824</v>
      </c>
      <c r="J1146" s="4">
        <v>161.48339999999999</v>
      </c>
    </row>
    <row r="1147" spans="1:10" x14ac:dyDescent="0.35">
      <c r="A1147">
        <v>3151272041</v>
      </c>
      <c r="B1147" t="s">
        <v>932</v>
      </c>
      <c r="C1147" t="s">
        <v>999</v>
      </c>
      <c r="D1147" t="s">
        <v>935</v>
      </c>
      <c r="E1147" t="s">
        <v>1001</v>
      </c>
      <c r="G1147">
        <v>932757</v>
      </c>
      <c r="H1147" t="s">
        <v>412</v>
      </c>
      <c r="I1147" s="4">
        <v>1128</v>
      </c>
      <c r="J1147" s="4">
        <v>221.0598</v>
      </c>
    </row>
    <row r="1148" spans="1:10" x14ac:dyDescent="0.35">
      <c r="A1148">
        <v>3151272038</v>
      </c>
      <c r="B1148" t="s">
        <v>932</v>
      </c>
      <c r="C1148" t="s">
        <v>999</v>
      </c>
      <c r="D1148" t="s">
        <v>935</v>
      </c>
      <c r="E1148" t="s">
        <v>1001</v>
      </c>
      <c r="G1148">
        <v>932757</v>
      </c>
      <c r="H1148" t="s">
        <v>412</v>
      </c>
      <c r="I1148" s="4">
        <v>3512</v>
      </c>
      <c r="J1148" s="4">
        <v>688.26419999999996</v>
      </c>
    </row>
    <row r="1149" spans="1:10" x14ac:dyDescent="0.35">
      <c r="A1149">
        <v>3151272130</v>
      </c>
      <c r="B1149" t="s">
        <v>932</v>
      </c>
      <c r="C1149" t="s">
        <v>999</v>
      </c>
      <c r="D1149" t="s">
        <v>935</v>
      </c>
      <c r="E1149" t="s">
        <v>1001</v>
      </c>
      <c r="F1149" t="s">
        <v>201</v>
      </c>
      <c r="G1149">
        <v>932757</v>
      </c>
      <c r="H1149" t="s">
        <v>412</v>
      </c>
      <c r="I1149" s="4">
        <v>704</v>
      </c>
      <c r="J1149" s="4">
        <v>137.96639999999999</v>
      </c>
    </row>
    <row r="1150" spans="1:10" x14ac:dyDescent="0.35">
      <c r="A1150">
        <v>3151272144</v>
      </c>
      <c r="B1150" t="s">
        <v>932</v>
      </c>
      <c r="C1150" t="s">
        <v>999</v>
      </c>
      <c r="D1150" t="s">
        <v>935</v>
      </c>
      <c r="E1150" t="s">
        <v>1001</v>
      </c>
      <c r="G1150">
        <v>932757</v>
      </c>
      <c r="H1150" t="s">
        <v>412</v>
      </c>
      <c r="I1150" s="4">
        <v>64</v>
      </c>
      <c r="J1150" s="4">
        <v>12.542400000000001</v>
      </c>
    </row>
    <row r="1151" spans="1:10" x14ac:dyDescent="0.35">
      <c r="A1151">
        <v>3151272276</v>
      </c>
      <c r="B1151" t="s">
        <v>932</v>
      </c>
      <c r="C1151" t="s">
        <v>999</v>
      </c>
      <c r="D1151" t="s">
        <v>935</v>
      </c>
      <c r="E1151" t="s">
        <v>1001</v>
      </c>
      <c r="F1151" t="s">
        <v>201</v>
      </c>
      <c r="G1151">
        <v>932757</v>
      </c>
      <c r="H1151" t="s">
        <v>412</v>
      </c>
      <c r="I1151" s="4">
        <v>496</v>
      </c>
      <c r="J1151" s="4">
        <v>97.203599999999994</v>
      </c>
    </row>
    <row r="1152" spans="1:10" x14ac:dyDescent="0.35">
      <c r="A1152">
        <v>3151272273</v>
      </c>
      <c r="B1152" t="s">
        <v>932</v>
      </c>
      <c r="C1152" t="s">
        <v>999</v>
      </c>
      <c r="D1152" t="s">
        <v>935</v>
      </c>
      <c r="E1152" t="s">
        <v>1001</v>
      </c>
      <c r="F1152" t="s">
        <v>201</v>
      </c>
      <c r="G1152">
        <v>932757</v>
      </c>
      <c r="H1152" t="s">
        <v>412</v>
      </c>
      <c r="I1152" s="4">
        <v>9944</v>
      </c>
      <c r="J1152" s="4">
        <v>1948.7754</v>
      </c>
    </row>
    <row r="1153" spans="1:10" x14ac:dyDescent="0.35">
      <c r="A1153">
        <v>3151272352</v>
      </c>
      <c r="B1153" t="s">
        <v>932</v>
      </c>
      <c r="C1153" t="s">
        <v>999</v>
      </c>
      <c r="D1153" t="s">
        <v>935</v>
      </c>
      <c r="E1153" t="s">
        <v>1001</v>
      </c>
      <c r="F1153" t="s">
        <v>201</v>
      </c>
      <c r="G1153">
        <v>932757</v>
      </c>
      <c r="H1153" t="s">
        <v>412</v>
      </c>
      <c r="I1153" s="4">
        <v>176</v>
      </c>
      <c r="J1153" s="4">
        <v>34.491599999999998</v>
      </c>
    </row>
    <row r="1154" spans="1:10" x14ac:dyDescent="0.35">
      <c r="A1154">
        <v>3151272809</v>
      </c>
      <c r="B1154" t="s">
        <v>932</v>
      </c>
      <c r="C1154" t="s">
        <v>999</v>
      </c>
      <c r="D1154" t="s">
        <v>935</v>
      </c>
      <c r="E1154" t="s">
        <v>1001</v>
      </c>
      <c r="G1154">
        <v>932757</v>
      </c>
      <c r="H1154" t="s">
        <v>412</v>
      </c>
      <c r="I1154" s="4">
        <v>800</v>
      </c>
      <c r="J1154" s="4">
        <v>156.78</v>
      </c>
    </row>
    <row r="1155" spans="1:10" x14ac:dyDescent="0.35">
      <c r="A1155">
        <v>3151272501</v>
      </c>
      <c r="B1155" t="s">
        <v>932</v>
      </c>
      <c r="C1155" t="s">
        <v>999</v>
      </c>
      <c r="D1155" t="s">
        <v>935</v>
      </c>
      <c r="E1155" t="s">
        <v>1001</v>
      </c>
      <c r="F1155" t="s">
        <v>201</v>
      </c>
      <c r="G1155">
        <v>932757</v>
      </c>
      <c r="H1155" t="s">
        <v>412</v>
      </c>
      <c r="I1155" s="4">
        <v>4784</v>
      </c>
      <c r="J1155" s="4">
        <v>937.5444</v>
      </c>
    </row>
    <row r="1156" spans="1:10" x14ac:dyDescent="0.35">
      <c r="A1156">
        <v>3151272141</v>
      </c>
      <c r="B1156" t="s">
        <v>932</v>
      </c>
      <c r="C1156" t="s">
        <v>999</v>
      </c>
      <c r="D1156" t="s">
        <v>447</v>
      </c>
      <c r="E1156" t="s">
        <v>1002</v>
      </c>
      <c r="G1156">
        <v>932761</v>
      </c>
      <c r="H1156" t="s">
        <v>412</v>
      </c>
      <c r="I1156" s="4">
        <v>136</v>
      </c>
      <c r="J1156" s="4">
        <v>45.56</v>
      </c>
    </row>
    <row r="1157" spans="1:10" x14ac:dyDescent="0.35">
      <c r="A1157">
        <v>3151272350</v>
      </c>
      <c r="B1157" t="s">
        <v>932</v>
      </c>
      <c r="C1157" t="s">
        <v>999</v>
      </c>
      <c r="D1157" t="s">
        <v>447</v>
      </c>
      <c r="E1157" t="s">
        <v>1002</v>
      </c>
      <c r="F1157" t="s">
        <v>201</v>
      </c>
      <c r="G1157">
        <v>932761</v>
      </c>
      <c r="H1157" t="s">
        <v>412</v>
      </c>
      <c r="I1157" s="4">
        <v>448</v>
      </c>
      <c r="J1157" s="4">
        <v>150.08000000000001</v>
      </c>
    </row>
    <row r="1158" spans="1:10" x14ac:dyDescent="0.35">
      <c r="A1158">
        <v>3151270793</v>
      </c>
      <c r="B1158" t="s">
        <v>932</v>
      </c>
      <c r="C1158" t="s">
        <v>999</v>
      </c>
      <c r="D1158" t="s">
        <v>952</v>
      </c>
      <c r="E1158" t="s">
        <v>1003</v>
      </c>
      <c r="F1158" t="s">
        <v>201</v>
      </c>
      <c r="G1158">
        <v>933523</v>
      </c>
      <c r="H1158" t="s">
        <v>614</v>
      </c>
      <c r="I1158" s="4">
        <v>300</v>
      </c>
      <c r="J1158" s="4">
        <v>144</v>
      </c>
    </row>
    <row r="1159" spans="1:10" x14ac:dyDescent="0.35">
      <c r="A1159">
        <v>3151272550</v>
      </c>
      <c r="B1159" t="s">
        <v>932</v>
      </c>
      <c r="C1159" t="s">
        <v>999</v>
      </c>
      <c r="D1159" t="s">
        <v>952</v>
      </c>
      <c r="E1159" t="s">
        <v>1003</v>
      </c>
      <c r="F1159" t="s">
        <v>201</v>
      </c>
      <c r="G1159">
        <v>933523</v>
      </c>
      <c r="H1159" t="s">
        <v>614</v>
      </c>
      <c r="I1159" s="4">
        <v>294</v>
      </c>
      <c r="J1159" s="4">
        <v>141.12</v>
      </c>
    </row>
    <row r="1160" spans="1:10" x14ac:dyDescent="0.35">
      <c r="A1160">
        <v>3151272041</v>
      </c>
      <c r="B1160" t="s">
        <v>932</v>
      </c>
      <c r="C1160" t="s">
        <v>999</v>
      </c>
      <c r="D1160" t="s">
        <v>952</v>
      </c>
      <c r="E1160" t="s">
        <v>1003</v>
      </c>
      <c r="G1160">
        <v>933523</v>
      </c>
      <c r="H1160" t="s">
        <v>614</v>
      </c>
      <c r="I1160" s="4">
        <v>438</v>
      </c>
      <c r="J1160" s="4">
        <v>210.24</v>
      </c>
    </row>
    <row r="1161" spans="1:10" x14ac:dyDescent="0.35">
      <c r="A1161">
        <v>3151272038</v>
      </c>
      <c r="B1161" t="s">
        <v>932</v>
      </c>
      <c r="C1161" t="s">
        <v>999</v>
      </c>
      <c r="D1161" t="s">
        <v>952</v>
      </c>
      <c r="E1161" t="s">
        <v>1003</v>
      </c>
      <c r="G1161">
        <v>933523</v>
      </c>
      <c r="H1161" t="s">
        <v>614</v>
      </c>
      <c r="I1161" s="4">
        <v>1644</v>
      </c>
      <c r="J1161" s="4">
        <v>789.12</v>
      </c>
    </row>
    <row r="1162" spans="1:10" x14ac:dyDescent="0.35">
      <c r="A1162">
        <v>3151272130</v>
      </c>
      <c r="B1162" t="s">
        <v>932</v>
      </c>
      <c r="C1162" t="s">
        <v>999</v>
      </c>
      <c r="D1162" t="s">
        <v>952</v>
      </c>
      <c r="E1162" t="s">
        <v>1003</v>
      </c>
      <c r="F1162" t="s">
        <v>201</v>
      </c>
      <c r="G1162">
        <v>933523</v>
      </c>
      <c r="H1162" t="s">
        <v>614</v>
      </c>
      <c r="I1162" s="4">
        <v>240</v>
      </c>
      <c r="J1162" s="4">
        <v>115.2</v>
      </c>
    </row>
    <row r="1163" spans="1:10" x14ac:dyDescent="0.35">
      <c r="A1163">
        <v>3151272141</v>
      </c>
      <c r="B1163" t="s">
        <v>932</v>
      </c>
      <c r="C1163" t="s">
        <v>999</v>
      </c>
      <c r="D1163" t="s">
        <v>952</v>
      </c>
      <c r="E1163" t="s">
        <v>1003</v>
      </c>
      <c r="G1163">
        <v>933523</v>
      </c>
      <c r="H1163" t="s">
        <v>614</v>
      </c>
      <c r="I1163" s="4">
        <v>48</v>
      </c>
      <c r="J1163" s="4">
        <v>23.04</v>
      </c>
    </row>
    <row r="1164" spans="1:10" x14ac:dyDescent="0.35">
      <c r="A1164">
        <v>3151272276</v>
      </c>
      <c r="B1164" t="s">
        <v>932</v>
      </c>
      <c r="C1164" t="s">
        <v>999</v>
      </c>
      <c r="D1164" t="s">
        <v>952</v>
      </c>
      <c r="E1164" t="s">
        <v>1003</v>
      </c>
      <c r="F1164" t="s">
        <v>201</v>
      </c>
      <c r="G1164">
        <v>933523</v>
      </c>
      <c r="H1164" t="s">
        <v>614</v>
      </c>
      <c r="I1164" s="4">
        <v>108</v>
      </c>
      <c r="J1164" s="4">
        <v>51.84</v>
      </c>
    </row>
    <row r="1165" spans="1:10" x14ac:dyDescent="0.35">
      <c r="A1165">
        <v>3151272273</v>
      </c>
      <c r="B1165" t="s">
        <v>932</v>
      </c>
      <c r="C1165" t="s">
        <v>999</v>
      </c>
      <c r="D1165" t="s">
        <v>952</v>
      </c>
      <c r="E1165" t="s">
        <v>1003</v>
      </c>
      <c r="F1165" t="s">
        <v>201</v>
      </c>
      <c r="G1165">
        <v>933523</v>
      </c>
      <c r="H1165" t="s">
        <v>614</v>
      </c>
      <c r="I1165" s="4">
        <v>1266</v>
      </c>
      <c r="J1165" s="4">
        <v>607.68000000000006</v>
      </c>
    </row>
    <row r="1166" spans="1:10" x14ac:dyDescent="0.35">
      <c r="A1166">
        <v>3151272350</v>
      </c>
      <c r="B1166" t="s">
        <v>932</v>
      </c>
      <c r="C1166" t="s">
        <v>999</v>
      </c>
      <c r="D1166" t="s">
        <v>952</v>
      </c>
      <c r="E1166" t="s">
        <v>1003</v>
      </c>
      <c r="F1166" t="s">
        <v>201</v>
      </c>
      <c r="G1166">
        <v>933523</v>
      </c>
      <c r="H1166" t="s">
        <v>614</v>
      </c>
      <c r="I1166" s="4">
        <v>186</v>
      </c>
      <c r="J1166" s="4">
        <v>89.28</v>
      </c>
    </row>
    <row r="1167" spans="1:10" x14ac:dyDescent="0.35">
      <c r="A1167">
        <v>3151272809</v>
      </c>
      <c r="B1167" t="s">
        <v>932</v>
      </c>
      <c r="C1167" t="s">
        <v>999</v>
      </c>
      <c r="D1167" t="s">
        <v>952</v>
      </c>
      <c r="E1167" t="s">
        <v>1003</v>
      </c>
      <c r="G1167">
        <v>933523</v>
      </c>
      <c r="H1167" t="s">
        <v>614</v>
      </c>
      <c r="I1167" s="4">
        <v>504</v>
      </c>
      <c r="J1167" s="4">
        <v>241.92000000000002</v>
      </c>
    </row>
    <row r="1168" spans="1:10" x14ac:dyDescent="0.35">
      <c r="A1168">
        <v>3151272501</v>
      </c>
      <c r="B1168" t="s">
        <v>932</v>
      </c>
      <c r="C1168" t="s">
        <v>999</v>
      </c>
      <c r="D1168" t="s">
        <v>952</v>
      </c>
      <c r="E1168" t="s">
        <v>1003</v>
      </c>
      <c r="F1168" t="s">
        <v>201</v>
      </c>
      <c r="G1168">
        <v>933523</v>
      </c>
      <c r="H1168" t="s">
        <v>614</v>
      </c>
      <c r="I1168" s="4">
        <v>954</v>
      </c>
      <c r="J1168" s="4">
        <v>457.92</v>
      </c>
    </row>
    <row r="1169" spans="1:10" x14ac:dyDescent="0.35">
      <c r="A1169">
        <v>3151272550</v>
      </c>
      <c r="B1169" t="s">
        <v>932</v>
      </c>
      <c r="C1169" t="s">
        <v>999</v>
      </c>
      <c r="D1169" t="s">
        <v>957</v>
      </c>
      <c r="E1169" t="s">
        <v>1004</v>
      </c>
      <c r="F1169" t="s">
        <v>201</v>
      </c>
      <c r="G1169">
        <v>932755</v>
      </c>
      <c r="H1169" t="s">
        <v>415</v>
      </c>
      <c r="I1169" s="4">
        <v>960</v>
      </c>
      <c r="J1169" s="4">
        <v>621.33120000000008</v>
      </c>
    </row>
    <row r="1170" spans="1:10" x14ac:dyDescent="0.35">
      <c r="A1170">
        <v>3151272041</v>
      </c>
      <c r="B1170" t="s">
        <v>932</v>
      </c>
      <c r="C1170" t="s">
        <v>999</v>
      </c>
      <c r="D1170" t="s">
        <v>957</v>
      </c>
      <c r="E1170" t="s">
        <v>1004</v>
      </c>
      <c r="G1170">
        <v>932755</v>
      </c>
      <c r="H1170" t="s">
        <v>415</v>
      </c>
      <c r="I1170" s="4">
        <v>2112</v>
      </c>
      <c r="J1170" s="4">
        <v>1366.9286400000001</v>
      </c>
    </row>
    <row r="1171" spans="1:10" x14ac:dyDescent="0.35">
      <c r="A1171">
        <v>3151272038</v>
      </c>
      <c r="B1171" t="s">
        <v>932</v>
      </c>
      <c r="C1171" t="s">
        <v>999</v>
      </c>
      <c r="D1171" t="s">
        <v>957</v>
      </c>
      <c r="E1171" t="s">
        <v>1004</v>
      </c>
      <c r="G1171">
        <v>932755</v>
      </c>
      <c r="H1171" t="s">
        <v>415</v>
      </c>
      <c r="I1171" s="4">
        <v>5400</v>
      </c>
      <c r="J1171" s="4">
        <v>3494.9880000000003</v>
      </c>
    </row>
    <row r="1172" spans="1:10" x14ac:dyDescent="0.35">
      <c r="A1172">
        <v>3151272130</v>
      </c>
      <c r="B1172" t="s">
        <v>932</v>
      </c>
      <c r="C1172" t="s">
        <v>999</v>
      </c>
      <c r="D1172" t="s">
        <v>957</v>
      </c>
      <c r="E1172" t="s">
        <v>1004</v>
      </c>
      <c r="F1172" t="s">
        <v>201</v>
      </c>
      <c r="G1172">
        <v>932755</v>
      </c>
      <c r="H1172" t="s">
        <v>415</v>
      </c>
      <c r="I1172" s="4">
        <v>800</v>
      </c>
      <c r="J1172" s="4">
        <v>517.77600000000007</v>
      </c>
    </row>
    <row r="1173" spans="1:10" x14ac:dyDescent="0.35">
      <c r="A1173">
        <v>3151272141</v>
      </c>
      <c r="B1173" t="s">
        <v>932</v>
      </c>
      <c r="C1173" t="s">
        <v>999</v>
      </c>
      <c r="D1173" t="s">
        <v>957</v>
      </c>
      <c r="E1173" t="s">
        <v>1004</v>
      </c>
      <c r="G1173">
        <v>932755</v>
      </c>
      <c r="H1173" t="s">
        <v>415</v>
      </c>
      <c r="I1173" s="4">
        <v>128</v>
      </c>
      <c r="J1173" s="4">
        <v>82.844160000000002</v>
      </c>
    </row>
    <row r="1174" spans="1:10" x14ac:dyDescent="0.35">
      <c r="A1174">
        <v>3151272144</v>
      </c>
      <c r="B1174" t="s">
        <v>932</v>
      </c>
      <c r="C1174" t="s">
        <v>999</v>
      </c>
      <c r="D1174" t="s">
        <v>957</v>
      </c>
      <c r="E1174" t="s">
        <v>1004</v>
      </c>
      <c r="G1174">
        <v>932755</v>
      </c>
      <c r="H1174" t="s">
        <v>415</v>
      </c>
      <c r="I1174" s="4">
        <v>96</v>
      </c>
      <c r="J1174" s="4">
        <v>62.133120000000005</v>
      </c>
    </row>
    <row r="1175" spans="1:10" x14ac:dyDescent="0.35">
      <c r="A1175">
        <v>3151272276</v>
      </c>
      <c r="B1175" t="s">
        <v>932</v>
      </c>
      <c r="C1175" t="s">
        <v>999</v>
      </c>
      <c r="D1175" t="s">
        <v>957</v>
      </c>
      <c r="E1175" t="s">
        <v>1004</v>
      </c>
      <c r="F1175" t="s">
        <v>201</v>
      </c>
      <c r="G1175">
        <v>932755</v>
      </c>
      <c r="H1175" t="s">
        <v>415</v>
      </c>
      <c r="I1175" s="4">
        <v>1312</v>
      </c>
      <c r="J1175" s="4">
        <v>849.15264000000002</v>
      </c>
    </row>
    <row r="1176" spans="1:10" x14ac:dyDescent="0.35">
      <c r="A1176">
        <v>3151272273</v>
      </c>
      <c r="B1176" t="s">
        <v>932</v>
      </c>
      <c r="C1176" t="s">
        <v>999</v>
      </c>
      <c r="D1176" t="s">
        <v>957</v>
      </c>
      <c r="E1176" t="s">
        <v>1004</v>
      </c>
      <c r="F1176" t="s">
        <v>201</v>
      </c>
      <c r="G1176">
        <v>932755</v>
      </c>
      <c r="H1176" t="s">
        <v>415</v>
      </c>
      <c r="I1176" s="4">
        <v>3816</v>
      </c>
      <c r="J1176" s="4">
        <v>2469.7915200000002</v>
      </c>
    </row>
    <row r="1177" spans="1:10" x14ac:dyDescent="0.35">
      <c r="A1177">
        <v>3151272350</v>
      </c>
      <c r="B1177" t="s">
        <v>932</v>
      </c>
      <c r="C1177" t="s">
        <v>999</v>
      </c>
      <c r="D1177" t="s">
        <v>957</v>
      </c>
      <c r="E1177" t="s">
        <v>1004</v>
      </c>
      <c r="F1177" t="s">
        <v>201</v>
      </c>
      <c r="G1177">
        <v>932755</v>
      </c>
      <c r="H1177" t="s">
        <v>415</v>
      </c>
      <c r="I1177" s="4">
        <v>472</v>
      </c>
      <c r="J1177" s="4">
        <v>305.48784000000001</v>
      </c>
    </row>
    <row r="1178" spans="1:10" x14ac:dyDescent="0.35">
      <c r="A1178">
        <v>3151272352</v>
      </c>
      <c r="B1178" t="s">
        <v>932</v>
      </c>
      <c r="C1178" t="s">
        <v>999</v>
      </c>
      <c r="D1178" t="s">
        <v>957</v>
      </c>
      <c r="E1178" t="s">
        <v>1004</v>
      </c>
      <c r="F1178" t="s">
        <v>201</v>
      </c>
      <c r="G1178">
        <v>932755</v>
      </c>
      <c r="H1178" t="s">
        <v>415</v>
      </c>
      <c r="I1178" s="4">
        <v>208</v>
      </c>
      <c r="J1178" s="4">
        <v>134.62176000000002</v>
      </c>
    </row>
    <row r="1179" spans="1:10" x14ac:dyDescent="0.35">
      <c r="A1179">
        <v>3151272809</v>
      </c>
      <c r="B1179" t="s">
        <v>932</v>
      </c>
      <c r="C1179" t="s">
        <v>999</v>
      </c>
      <c r="D1179" t="s">
        <v>957</v>
      </c>
      <c r="E1179" t="s">
        <v>1004</v>
      </c>
      <c r="G1179">
        <v>932755</v>
      </c>
      <c r="H1179" t="s">
        <v>415</v>
      </c>
      <c r="I1179" s="4">
        <v>800</v>
      </c>
      <c r="J1179" s="4">
        <v>517.77600000000007</v>
      </c>
    </row>
    <row r="1180" spans="1:10" x14ac:dyDescent="0.35">
      <c r="A1180">
        <v>3151272501</v>
      </c>
      <c r="B1180" t="s">
        <v>932</v>
      </c>
      <c r="C1180" t="s">
        <v>999</v>
      </c>
      <c r="D1180" t="s">
        <v>957</v>
      </c>
      <c r="E1180" t="s">
        <v>1004</v>
      </c>
      <c r="F1180" t="s">
        <v>201</v>
      </c>
      <c r="G1180">
        <v>932755</v>
      </c>
      <c r="H1180" t="s">
        <v>415</v>
      </c>
      <c r="I1180" s="4">
        <v>1968</v>
      </c>
      <c r="J1180" s="4">
        <v>1273.7289599999999</v>
      </c>
    </row>
    <row r="1181" spans="1:10" x14ac:dyDescent="0.35">
      <c r="A1181">
        <v>3151270793</v>
      </c>
      <c r="B1181" t="s">
        <v>932</v>
      </c>
      <c r="C1181" t="s">
        <v>999</v>
      </c>
      <c r="D1181" t="s">
        <v>940</v>
      </c>
      <c r="E1181" t="s">
        <v>1005</v>
      </c>
      <c r="F1181" t="s">
        <v>201</v>
      </c>
      <c r="G1181">
        <v>932762</v>
      </c>
      <c r="H1181" t="s">
        <v>421</v>
      </c>
      <c r="I1181" s="4">
        <v>54</v>
      </c>
      <c r="J1181" s="4">
        <v>54.982745999999999</v>
      </c>
    </row>
    <row r="1182" spans="1:10" x14ac:dyDescent="0.35">
      <c r="A1182">
        <v>3151272550</v>
      </c>
      <c r="B1182" t="s">
        <v>932</v>
      </c>
      <c r="C1182" t="s">
        <v>999</v>
      </c>
      <c r="D1182" t="s">
        <v>940</v>
      </c>
      <c r="E1182" t="s">
        <v>1005</v>
      </c>
      <c r="F1182" t="s">
        <v>201</v>
      </c>
      <c r="G1182">
        <v>932762</v>
      </c>
      <c r="H1182" t="s">
        <v>421</v>
      </c>
      <c r="I1182" s="4">
        <v>426</v>
      </c>
      <c r="J1182" s="4">
        <v>433.75277399999999</v>
      </c>
    </row>
    <row r="1183" spans="1:10" x14ac:dyDescent="0.35">
      <c r="A1183">
        <v>3151272041</v>
      </c>
      <c r="B1183" t="s">
        <v>932</v>
      </c>
      <c r="C1183" t="s">
        <v>999</v>
      </c>
      <c r="D1183" t="s">
        <v>940</v>
      </c>
      <c r="E1183" t="s">
        <v>1005</v>
      </c>
      <c r="G1183">
        <v>932762</v>
      </c>
      <c r="H1183" t="s">
        <v>421</v>
      </c>
      <c r="I1183" s="4">
        <v>570</v>
      </c>
      <c r="J1183" s="4">
        <v>580.37342999999998</v>
      </c>
    </row>
    <row r="1184" spans="1:10" x14ac:dyDescent="0.35">
      <c r="A1184">
        <v>3151272038</v>
      </c>
      <c r="B1184" t="s">
        <v>932</v>
      </c>
      <c r="C1184" t="s">
        <v>999</v>
      </c>
      <c r="D1184" t="s">
        <v>940</v>
      </c>
      <c r="E1184" t="s">
        <v>1005</v>
      </c>
      <c r="G1184">
        <v>932762</v>
      </c>
      <c r="H1184" t="s">
        <v>421</v>
      </c>
      <c r="I1184" s="4">
        <v>1206</v>
      </c>
      <c r="J1184" s="4">
        <v>1227.9479939999999</v>
      </c>
    </row>
    <row r="1185" spans="1:10" x14ac:dyDescent="0.35">
      <c r="A1185">
        <v>3151272130</v>
      </c>
      <c r="B1185" t="s">
        <v>932</v>
      </c>
      <c r="C1185" t="s">
        <v>999</v>
      </c>
      <c r="D1185" t="s">
        <v>940</v>
      </c>
      <c r="E1185" t="s">
        <v>1005</v>
      </c>
      <c r="F1185" t="s">
        <v>201</v>
      </c>
      <c r="G1185">
        <v>932762</v>
      </c>
      <c r="H1185" t="s">
        <v>421</v>
      </c>
      <c r="I1185" s="4">
        <v>204</v>
      </c>
      <c r="J1185" s="4">
        <v>207.71259599999999</v>
      </c>
    </row>
    <row r="1186" spans="1:10" x14ac:dyDescent="0.35">
      <c r="A1186">
        <v>3151272141</v>
      </c>
      <c r="B1186" t="s">
        <v>932</v>
      </c>
      <c r="C1186" t="s">
        <v>999</v>
      </c>
      <c r="D1186" t="s">
        <v>940</v>
      </c>
      <c r="E1186" t="s">
        <v>1005</v>
      </c>
      <c r="G1186">
        <v>932762</v>
      </c>
      <c r="H1186" t="s">
        <v>421</v>
      </c>
      <c r="I1186" s="4">
        <v>132</v>
      </c>
      <c r="J1186" s="4">
        <v>134.40226799999999</v>
      </c>
    </row>
    <row r="1187" spans="1:10" x14ac:dyDescent="0.35">
      <c r="A1187">
        <v>3151272276</v>
      </c>
      <c r="B1187" t="s">
        <v>932</v>
      </c>
      <c r="C1187" t="s">
        <v>999</v>
      </c>
      <c r="D1187" t="s">
        <v>940</v>
      </c>
      <c r="E1187" t="s">
        <v>1005</v>
      </c>
      <c r="F1187" t="s">
        <v>201</v>
      </c>
      <c r="G1187">
        <v>932762</v>
      </c>
      <c r="H1187" t="s">
        <v>421</v>
      </c>
      <c r="I1187" s="4">
        <v>168</v>
      </c>
      <c r="J1187" s="4">
        <v>171.05743200000001</v>
      </c>
    </row>
    <row r="1188" spans="1:10" x14ac:dyDescent="0.35">
      <c r="A1188">
        <v>3151272273</v>
      </c>
      <c r="B1188" t="s">
        <v>932</v>
      </c>
      <c r="C1188" t="s">
        <v>999</v>
      </c>
      <c r="D1188" t="s">
        <v>940</v>
      </c>
      <c r="E1188" t="s">
        <v>1005</v>
      </c>
      <c r="F1188" t="s">
        <v>201</v>
      </c>
      <c r="G1188">
        <v>932762</v>
      </c>
      <c r="H1188" t="s">
        <v>421</v>
      </c>
      <c r="I1188" s="4">
        <v>1158</v>
      </c>
      <c r="J1188" s="4">
        <v>1179.0744420000001</v>
      </c>
    </row>
    <row r="1189" spans="1:10" x14ac:dyDescent="0.35">
      <c r="A1189">
        <v>3151272350</v>
      </c>
      <c r="B1189" t="s">
        <v>932</v>
      </c>
      <c r="C1189" t="s">
        <v>999</v>
      </c>
      <c r="D1189" t="s">
        <v>940</v>
      </c>
      <c r="E1189" t="s">
        <v>1005</v>
      </c>
      <c r="F1189" t="s">
        <v>201</v>
      </c>
      <c r="G1189">
        <v>932762</v>
      </c>
      <c r="H1189" t="s">
        <v>421</v>
      </c>
      <c r="I1189" s="4">
        <v>474</v>
      </c>
      <c r="J1189" s="4">
        <v>482.62632600000001</v>
      </c>
    </row>
    <row r="1190" spans="1:10" x14ac:dyDescent="0.35">
      <c r="A1190">
        <v>3151272809</v>
      </c>
      <c r="B1190" t="s">
        <v>932</v>
      </c>
      <c r="C1190" t="s">
        <v>999</v>
      </c>
      <c r="D1190" t="s">
        <v>940</v>
      </c>
      <c r="E1190" t="s">
        <v>1005</v>
      </c>
      <c r="G1190">
        <v>932762</v>
      </c>
      <c r="H1190" t="s">
        <v>421</v>
      </c>
      <c r="I1190" s="4">
        <v>402</v>
      </c>
      <c r="J1190" s="4">
        <v>409.31599799999998</v>
      </c>
    </row>
    <row r="1191" spans="1:10" x14ac:dyDescent="0.35">
      <c r="A1191">
        <v>3151272501</v>
      </c>
      <c r="B1191" t="s">
        <v>932</v>
      </c>
      <c r="C1191" t="s">
        <v>999</v>
      </c>
      <c r="D1191" t="s">
        <v>940</v>
      </c>
      <c r="E1191" t="s">
        <v>1005</v>
      </c>
      <c r="F1191" t="s">
        <v>201</v>
      </c>
      <c r="G1191">
        <v>932762</v>
      </c>
      <c r="H1191" t="s">
        <v>421</v>
      </c>
      <c r="I1191" s="4">
        <v>924</v>
      </c>
      <c r="J1191" s="4">
        <v>940.815876</v>
      </c>
    </row>
    <row r="1192" spans="1:10" x14ac:dyDescent="0.35">
      <c r="A1192">
        <v>3151271979</v>
      </c>
      <c r="B1192" t="s">
        <v>932</v>
      </c>
      <c r="C1192" t="s">
        <v>1006</v>
      </c>
      <c r="D1192" t="s">
        <v>473</v>
      </c>
      <c r="E1192" t="s">
        <v>1007</v>
      </c>
      <c r="F1192" t="s">
        <v>201</v>
      </c>
      <c r="G1192">
        <v>933504</v>
      </c>
      <c r="H1192" t="s">
        <v>433</v>
      </c>
      <c r="I1192" s="4">
        <v>168</v>
      </c>
      <c r="J1192" s="4">
        <v>8.2328399999999995</v>
      </c>
    </row>
    <row r="1193" spans="1:10" x14ac:dyDescent="0.35">
      <c r="A1193">
        <v>3151272274</v>
      </c>
      <c r="B1193" t="s">
        <v>932</v>
      </c>
      <c r="C1193" t="s">
        <v>1006</v>
      </c>
      <c r="D1193" t="s">
        <v>473</v>
      </c>
      <c r="E1193" t="s">
        <v>1007</v>
      </c>
      <c r="F1193" t="s">
        <v>201</v>
      </c>
      <c r="G1193">
        <v>933504</v>
      </c>
      <c r="H1193" t="s">
        <v>433</v>
      </c>
      <c r="I1193" s="4">
        <v>240</v>
      </c>
      <c r="J1193" s="4">
        <v>11.761200000000001</v>
      </c>
    </row>
    <row r="1194" spans="1:10" x14ac:dyDescent="0.35">
      <c r="A1194">
        <v>3151272828</v>
      </c>
      <c r="B1194" t="s">
        <v>932</v>
      </c>
      <c r="C1194" t="s">
        <v>1006</v>
      </c>
      <c r="D1194" t="s">
        <v>473</v>
      </c>
      <c r="E1194" t="s">
        <v>1007</v>
      </c>
      <c r="F1194" t="s">
        <v>201</v>
      </c>
      <c r="G1194">
        <v>933504</v>
      </c>
      <c r="H1194" t="s">
        <v>433</v>
      </c>
      <c r="I1194" s="4">
        <v>2904</v>
      </c>
      <c r="J1194" s="4">
        <v>142.31052000000003</v>
      </c>
    </row>
    <row r="1195" spans="1:10" x14ac:dyDescent="0.35">
      <c r="A1195">
        <v>3151272504</v>
      </c>
      <c r="B1195" t="s">
        <v>932</v>
      </c>
      <c r="C1195" t="s">
        <v>1006</v>
      </c>
      <c r="D1195" t="s">
        <v>473</v>
      </c>
      <c r="E1195" t="s">
        <v>1007</v>
      </c>
      <c r="F1195" t="s">
        <v>201</v>
      </c>
      <c r="G1195">
        <v>933504</v>
      </c>
      <c r="H1195" t="s">
        <v>433</v>
      </c>
      <c r="I1195" s="4">
        <v>744</v>
      </c>
      <c r="J1195" s="4">
        <v>36.459720000000004</v>
      </c>
    </row>
    <row r="1196" spans="1:10" x14ac:dyDescent="0.35">
      <c r="A1196">
        <v>3151271979</v>
      </c>
      <c r="B1196" t="s">
        <v>932</v>
      </c>
      <c r="C1196" t="s">
        <v>1006</v>
      </c>
      <c r="D1196" t="s">
        <v>935</v>
      </c>
      <c r="E1196" t="s">
        <v>1008</v>
      </c>
      <c r="F1196" t="s">
        <v>201</v>
      </c>
      <c r="G1196">
        <v>933502</v>
      </c>
      <c r="H1196" t="s">
        <v>412</v>
      </c>
      <c r="I1196" s="4">
        <v>800</v>
      </c>
      <c r="J1196" s="4">
        <v>105.3</v>
      </c>
    </row>
    <row r="1197" spans="1:10" x14ac:dyDescent="0.35">
      <c r="A1197">
        <v>3151272274</v>
      </c>
      <c r="B1197" t="s">
        <v>932</v>
      </c>
      <c r="C1197" t="s">
        <v>1006</v>
      </c>
      <c r="D1197" t="s">
        <v>935</v>
      </c>
      <c r="E1197" t="s">
        <v>1008</v>
      </c>
      <c r="F1197" t="s">
        <v>201</v>
      </c>
      <c r="G1197">
        <v>933502</v>
      </c>
      <c r="H1197" t="s">
        <v>412</v>
      </c>
      <c r="I1197" s="4">
        <v>400</v>
      </c>
      <c r="J1197" s="4">
        <v>52.65</v>
      </c>
    </row>
    <row r="1198" spans="1:10" x14ac:dyDescent="0.35">
      <c r="A1198">
        <v>3151272828</v>
      </c>
      <c r="B1198" t="s">
        <v>932</v>
      </c>
      <c r="C1198" t="s">
        <v>1006</v>
      </c>
      <c r="D1198" t="s">
        <v>935</v>
      </c>
      <c r="E1198" t="s">
        <v>1008</v>
      </c>
      <c r="F1198" t="s">
        <v>201</v>
      </c>
      <c r="G1198">
        <v>933502</v>
      </c>
      <c r="H1198" t="s">
        <v>412</v>
      </c>
      <c r="I1198" s="4">
        <v>4368</v>
      </c>
      <c r="J1198" s="4">
        <v>574.93799999999999</v>
      </c>
    </row>
    <row r="1199" spans="1:10" x14ac:dyDescent="0.35">
      <c r="A1199">
        <v>3151272504</v>
      </c>
      <c r="B1199" t="s">
        <v>932</v>
      </c>
      <c r="C1199" t="s">
        <v>1006</v>
      </c>
      <c r="D1199" t="s">
        <v>935</v>
      </c>
      <c r="E1199" t="s">
        <v>1008</v>
      </c>
      <c r="F1199" t="s">
        <v>201</v>
      </c>
      <c r="G1199">
        <v>933502</v>
      </c>
      <c r="H1199" t="s">
        <v>412</v>
      </c>
      <c r="I1199" s="4">
        <v>840</v>
      </c>
      <c r="J1199" s="4">
        <v>110.565</v>
      </c>
    </row>
    <row r="1200" spans="1:10" x14ac:dyDescent="0.35">
      <c r="A1200">
        <v>3151271979</v>
      </c>
      <c r="B1200" t="s">
        <v>932</v>
      </c>
      <c r="C1200" t="s">
        <v>1006</v>
      </c>
      <c r="D1200" t="s">
        <v>957</v>
      </c>
      <c r="E1200" t="s">
        <v>1009</v>
      </c>
      <c r="F1200" t="s">
        <v>201</v>
      </c>
      <c r="G1200">
        <v>933501</v>
      </c>
      <c r="H1200" t="s">
        <v>415</v>
      </c>
      <c r="I1200" s="4">
        <v>1600</v>
      </c>
      <c r="J1200" s="4">
        <v>695.52</v>
      </c>
    </row>
    <row r="1201" spans="1:10" x14ac:dyDescent="0.35">
      <c r="A1201">
        <v>3151272274</v>
      </c>
      <c r="B1201" t="s">
        <v>932</v>
      </c>
      <c r="C1201" t="s">
        <v>1006</v>
      </c>
      <c r="D1201" t="s">
        <v>957</v>
      </c>
      <c r="E1201" t="s">
        <v>1009</v>
      </c>
      <c r="F1201" t="s">
        <v>201</v>
      </c>
      <c r="G1201">
        <v>933501</v>
      </c>
      <c r="H1201" t="s">
        <v>415</v>
      </c>
      <c r="I1201" s="4">
        <v>1504</v>
      </c>
      <c r="J1201" s="4">
        <v>653.78879999999992</v>
      </c>
    </row>
    <row r="1202" spans="1:10" x14ac:dyDescent="0.35">
      <c r="A1202">
        <v>3151272828</v>
      </c>
      <c r="B1202" t="s">
        <v>932</v>
      </c>
      <c r="C1202" t="s">
        <v>1006</v>
      </c>
      <c r="D1202" t="s">
        <v>957</v>
      </c>
      <c r="E1202" t="s">
        <v>1009</v>
      </c>
      <c r="F1202" t="s">
        <v>201</v>
      </c>
      <c r="G1202">
        <v>933501</v>
      </c>
      <c r="H1202" t="s">
        <v>415</v>
      </c>
      <c r="I1202" s="4">
        <v>7328</v>
      </c>
      <c r="J1202" s="4">
        <v>3185.4816000000001</v>
      </c>
    </row>
    <row r="1203" spans="1:10" x14ac:dyDescent="0.35">
      <c r="A1203">
        <v>3151272504</v>
      </c>
      <c r="B1203" t="s">
        <v>932</v>
      </c>
      <c r="C1203" t="s">
        <v>1006</v>
      </c>
      <c r="D1203" t="s">
        <v>957</v>
      </c>
      <c r="E1203" t="s">
        <v>1009</v>
      </c>
      <c r="F1203" t="s">
        <v>201</v>
      </c>
      <c r="G1203">
        <v>933501</v>
      </c>
      <c r="H1203" t="s">
        <v>415</v>
      </c>
      <c r="I1203" s="4">
        <v>3168</v>
      </c>
      <c r="J1203" s="4">
        <v>1377.1296</v>
      </c>
    </row>
    <row r="1204" spans="1:10" x14ac:dyDescent="0.35">
      <c r="A1204">
        <v>3151271979</v>
      </c>
      <c r="B1204" t="s">
        <v>932</v>
      </c>
      <c r="C1204" t="s">
        <v>1006</v>
      </c>
      <c r="D1204" t="s">
        <v>940</v>
      </c>
      <c r="E1204" t="s">
        <v>1010</v>
      </c>
      <c r="F1204" t="s">
        <v>201</v>
      </c>
      <c r="G1204">
        <v>933503</v>
      </c>
      <c r="H1204" t="s">
        <v>421</v>
      </c>
      <c r="I1204" s="4">
        <v>282</v>
      </c>
      <c r="J1204" s="4">
        <v>192.84993</v>
      </c>
    </row>
    <row r="1205" spans="1:10" x14ac:dyDescent="0.35">
      <c r="A1205">
        <v>3151272274</v>
      </c>
      <c r="B1205" t="s">
        <v>932</v>
      </c>
      <c r="C1205" t="s">
        <v>1006</v>
      </c>
      <c r="D1205" t="s">
        <v>940</v>
      </c>
      <c r="E1205" t="s">
        <v>1010</v>
      </c>
      <c r="F1205" t="s">
        <v>201</v>
      </c>
      <c r="G1205">
        <v>933503</v>
      </c>
      <c r="H1205" t="s">
        <v>421</v>
      </c>
      <c r="I1205" s="4">
        <v>432</v>
      </c>
      <c r="J1205" s="4">
        <v>295.42968000000002</v>
      </c>
    </row>
    <row r="1206" spans="1:10" x14ac:dyDescent="0.35">
      <c r="A1206">
        <v>3151272828</v>
      </c>
      <c r="B1206" t="s">
        <v>932</v>
      </c>
      <c r="C1206" t="s">
        <v>1006</v>
      </c>
      <c r="D1206" t="s">
        <v>940</v>
      </c>
      <c r="E1206" t="s">
        <v>1010</v>
      </c>
      <c r="F1206" t="s">
        <v>201</v>
      </c>
      <c r="G1206">
        <v>933503</v>
      </c>
      <c r="H1206" t="s">
        <v>421</v>
      </c>
      <c r="I1206" s="4">
        <v>3012</v>
      </c>
      <c r="J1206" s="4">
        <v>2059.8013800000003</v>
      </c>
    </row>
    <row r="1207" spans="1:10" x14ac:dyDescent="0.35">
      <c r="A1207">
        <v>3151272504</v>
      </c>
      <c r="B1207" t="s">
        <v>932</v>
      </c>
      <c r="C1207" t="s">
        <v>1006</v>
      </c>
      <c r="D1207" t="s">
        <v>940</v>
      </c>
      <c r="E1207" t="s">
        <v>1010</v>
      </c>
      <c r="F1207" t="s">
        <v>201</v>
      </c>
      <c r="G1207">
        <v>933503</v>
      </c>
      <c r="H1207" t="s">
        <v>421</v>
      </c>
      <c r="I1207" s="4">
        <v>774</v>
      </c>
      <c r="J1207" s="4">
        <v>529.31151</v>
      </c>
    </row>
    <row r="1208" spans="1:10" x14ac:dyDescent="0.35">
      <c r="A1208">
        <v>3151272828</v>
      </c>
      <c r="B1208" t="s">
        <v>932</v>
      </c>
      <c r="C1208" t="s">
        <v>1011</v>
      </c>
      <c r="D1208" t="s">
        <v>952</v>
      </c>
      <c r="E1208" t="s">
        <v>1012</v>
      </c>
      <c r="F1208" t="s">
        <v>201</v>
      </c>
      <c r="G1208">
        <v>904616</v>
      </c>
      <c r="H1208" t="s">
        <v>614</v>
      </c>
      <c r="I1208" s="4">
        <v>2346</v>
      </c>
      <c r="J1208" s="4">
        <v>844.56000000000006</v>
      </c>
    </row>
    <row r="1209" spans="1:10" x14ac:dyDescent="0.35">
      <c r="A1209">
        <v>3151272361</v>
      </c>
      <c r="B1209" t="s">
        <v>1013</v>
      </c>
      <c r="C1209" t="s">
        <v>1014</v>
      </c>
      <c r="D1209" t="s">
        <v>445</v>
      </c>
      <c r="E1209" t="s">
        <v>1015</v>
      </c>
      <c r="F1209" t="s">
        <v>201</v>
      </c>
      <c r="G1209">
        <v>690562</v>
      </c>
      <c r="H1209" t="s">
        <v>433</v>
      </c>
      <c r="I1209" s="4">
        <v>40320</v>
      </c>
      <c r="J1209" s="4">
        <v>1415.232</v>
      </c>
    </row>
    <row r="1210" spans="1:10" x14ac:dyDescent="0.35">
      <c r="A1210">
        <v>3151272359</v>
      </c>
      <c r="B1210" t="s">
        <v>1013</v>
      </c>
      <c r="C1210" t="s">
        <v>1014</v>
      </c>
      <c r="D1210" t="s">
        <v>422</v>
      </c>
      <c r="E1210" t="s">
        <v>1016</v>
      </c>
      <c r="F1210" t="s">
        <v>201</v>
      </c>
      <c r="G1210">
        <v>926784</v>
      </c>
      <c r="H1210" t="s">
        <v>412</v>
      </c>
      <c r="I1210" s="4">
        <v>5248</v>
      </c>
      <c r="J1210" s="4">
        <v>850.17600000000004</v>
      </c>
    </row>
    <row r="1211" spans="1:10" x14ac:dyDescent="0.35">
      <c r="A1211">
        <v>3151272070</v>
      </c>
      <c r="B1211" t="s">
        <v>1013</v>
      </c>
      <c r="C1211" t="s">
        <v>1014</v>
      </c>
      <c r="D1211" t="s">
        <v>413</v>
      </c>
      <c r="E1211" t="s">
        <v>1017</v>
      </c>
      <c r="G1211">
        <v>693247</v>
      </c>
      <c r="H1211" t="s">
        <v>415</v>
      </c>
      <c r="I1211" s="4">
        <v>3360</v>
      </c>
      <c r="J1211" s="4">
        <v>1016.0639999999999</v>
      </c>
    </row>
    <row r="1212" spans="1:10" x14ac:dyDescent="0.35">
      <c r="A1212">
        <v>3151272361</v>
      </c>
      <c r="B1212" t="s">
        <v>1013</v>
      </c>
      <c r="C1212" t="s">
        <v>1014</v>
      </c>
      <c r="D1212" t="s">
        <v>413</v>
      </c>
      <c r="E1212" t="s">
        <v>1017</v>
      </c>
      <c r="F1212" t="s">
        <v>201</v>
      </c>
      <c r="G1212">
        <v>693247</v>
      </c>
      <c r="H1212" t="s">
        <v>415</v>
      </c>
      <c r="I1212" s="4">
        <v>3360</v>
      </c>
      <c r="J1212" s="4">
        <v>1016.0639999999999</v>
      </c>
    </row>
    <row r="1213" spans="1:10" x14ac:dyDescent="0.35">
      <c r="A1213">
        <v>3151271833</v>
      </c>
      <c r="B1213" t="s">
        <v>1013</v>
      </c>
      <c r="C1213" t="s">
        <v>1018</v>
      </c>
      <c r="D1213" t="s">
        <v>606</v>
      </c>
      <c r="E1213" t="s">
        <v>1019</v>
      </c>
      <c r="F1213" t="s">
        <v>201</v>
      </c>
      <c r="G1213">
        <v>944729</v>
      </c>
      <c r="H1213" t="s">
        <v>421</v>
      </c>
      <c r="I1213" s="4">
        <v>3800</v>
      </c>
      <c r="J1213" s="4">
        <v>3420</v>
      </c>
    </row>
    <row r="1214" spans="1:10" x14ac:dyDescent="0.35">
      <c r="A1214">
        <v>3151272363</v>
      </c>
      <c r="B1214" t="s">
        <v>1013</v>
      </c>
      <c r="C1214" t="s">
        <v>1018</v>
      </c>
      <c r="D1214" t="s">
        <v>606</v>
      </c>
      <c r="E1214" t="s">
        <v>1019</v>
      </c>
      <c r="G1214">
        <v>944729</v>
      </c>
      <c r="H1214" t="s">
        <v>421</v>
      </c>
      <c r="I1214" s="4">
        <v>3600</v>
      </c>
      <c r="J1214" s="4">
        <v>3240</v>
      </c>
    </row>
    <row r="1215" spans="1:10" x14ac:dyDescent="0.35">
      <c r="A1215">
        <v>3151271638</v>
      </c>
      <c r="B1215" t="s">
        <v>1013</v>
      </c>
      <c r="C1215" t="s">
        <v>1018</v>
      </c>
      <c r="D1215" t="s">
        <v>445</v>
      </c>
      <c r="E1215" t="s">
        <v>1020</v>
      </c>
      <c r="G1215">
        <v>944727</v>
      </c>
      <c r="H1215" t="s">
        <v>433</v>
      </c>
      <c r="I1215" s="4">
        <v>16416</v>
      </c>
      <c r="J1215" s="4">
        <v>886.46400000000006</v>
      </c>
    </row>
    <row r="1216" spans="1:10" x14ac:dyDescent="0.35">
      <c r="A1216">
        <v>3151272067</v>
      </c>
      <c r="B1216" t="s">
        <v>1013</v>
      </c>
      <c r="C1216" t="s">
        <v>1018</v>
      </c>
      <c r="D1216" t="s">
        <v>422</v>
      </c>
      <c r="E1216" t="s">
        <v>1021</v>
      </c>
      <c r="G1216">
        <v>944728</v>
      </c>
      <c r="H1216" t="s">
        <v>412</v>
      </c>
      <c r="I1216" s="4">
        <v>234</v>
      </c>
      <c r="J1216" s="4">
        <v>63.18</v>
      </c>
    </row>
    <row r="1217" spans="1:10" x14ac:dyDescent="0.35">
      <c r="A1217">
        <v>3151271833</v>
      </c>
      <c r="B1217" t="s">
        <v>1013</v>
      </c>
      <c r="C1217" t="s">
        <v>1018</v>
      </c>
      <c r="D1217" t="s">
        <v>422</v>
      </c>
      <c r="E1217" t="s">
        <v>1021</v>
      </c>
      <c r="G1217">
        <v>944728</v>
      </c>
      <c r="H1217" t="s">
        <v>412</v>
      </c>
      <c r="I1217" s="4">
        <v>2106</v>
      </c>
      <c r="J1217" s="4">
        <v>568.62</v>
      </c>
    </row>
    <row r="1218" spans="1:10" x14ac:dyDescent="0.35">
      <c r="A1218">
        <v>3151272363</v>
      </c>
      <c r="B1218" t="s">
        <v>1013</v>
      </c>
      <c r="C1218" t="s">
        <v>1018</v>
      </c>
      <c r="D1218" t="s">
        <v>422</v>
      </c>
      <c r="E1218" t="s">
        <v>1021</v>
      </c>
      <c r="G1218">
        <v>944728</v>
      </c>
      <c r="H1218" t="s">
        <v>412</v>
      </c>
      <c r="I1218" s="4">
        <v>5616</v>
      </c>
      <c r="J1218" s="4">
        <v>1516.32</v>
      </c>
    </row>
    <row r="1219" spans="1:10" x14ac:dyDescent="0.35">
      <c r="A1219">
        <v>3151272364</v>
      </c>
      <c r="B1219" t="s">
        <v>1013</v>
      </c>
      <c r="C1219" t="s">
        <v>1018</v>
      </c>
      <c r="D1219" t="s">
        <v>422</v>
      </c>
      <c r="E1219" t="s">
        <v>1021</v>
      </c>
      <c r="G1219">
        <v>944728</v>
      </c>
      <c r="H1219" t="s">
        <v>412</v>
      </c>
      <c r="I1219" s="4">
        <v>4446</v>
      </c>
      <c r="J1219" s="4">
        <v>1200.42</v>
      </c>
    </row>
    <row r="1220" spans="1:10" x14ac:dyDescent="0.35">
      <c r="A1220">
        <v>3151272067</v>
      </c>
      <c r="B1220" t="s">
        <v>1013</v>
      </c>
      <c r="C1220" t="s">
        <v>1018</v>
      </c>
      <c r="D1220" t="s">
        <v>427</v>
      </c>
      <c r="E1220" t="s">
        <v>1022</v>
      </c>
      <c r="G1220">
        <v>944726</v>
      </c>
      <c r="H1220" t="s">
        <v>415</v>
      </c>
      <c r="I1220" s="4">
        <v>234</v>
      </c>
      <c r="J1220" s="4">
        <v>127.764</v>
      </c>
    </row>
    <row r="1221" spans="1:10" x14ac:dyDescent="0.35">
      <c r="A1221">
        <v>3151271833</v>
      </c>
      <c r="B1221" t="s">
        <v>1013</v>
      </c>
      <c r="C1221" t="s">
        <v>1018</v>
      </c>
      <c r="D1221" t="s">
        <v>427</v>
      </c>
      <c r="E1221" t="s">
        <v>1022</v>
      </c>
      <c r="F1221" t="s">
        <v>201</v>
      </c>
      <c r="G1221">
        <v>944726</v>
      </c>
      <c r="H1221" t="s">
        <v>415</v>
      </c>
      <c r="I1221" s="4">
        <v>2816</v>
      </c>
      <c r="J1221" s="4">
        <v>1537.5360000000001</v>
      </c>
    </row>
    <row r="1222" spans="1:10" x14ac:dyDescent="0.35">
      <c r="A1222">
        <v>3151272363</v>
      </c>
      <c r="B1222" t="s">
        <v>1013</v>
      </c>
      <c r="C1222" t="s">
        <v>1018</v>
      </c>
      <c r="D1222" t="s">
        <v>427</v>
      </c>
      <c r="E1222" t="s">
        <v>1022</v>
      </c>
      <c r="G1222">
        <v>944726</v>
      </c>
      <c r="H1222" t="s">
        <v>415</v>
      </c>
      <c r="I1222" s="4">
        <v>1408</v>
      </c>
      <c r="J1222" s="4">
        <v>768.76800000000003</v>
      </c>
    </row>
    <row r="1223" spans="1:10" x14ac:dyDescent="0.35">
      <c r="A1223">
        <v>3151272364</v>
      </c>
      <c r="B1223" t="s">
        <v>1013</v>
      </c>
      <c r="C1223" t="s">
        <v>1018</v>
      </c>
      <c r="D1223" t="s">
        <v>427</v>
      </c>
      <c r="E1223" t="s">
        <v>1022</v>
      </c>
      <c r="G1223">
        <v>944726</v>
      </c>
      <c r="H1223" t="s">
        <v>415</v>
      </c>
      <c r="I1223" s="4">
        <v>4446</v>
      </c>
      <c r="J1223" s="4">
        <v>2427.5160000000001</v>
      </c>
    </row>
    <row r="1224" spans="1:10" x14ac:dyDescent="0.35">
      <c r="A1224">
        <v>3151272059</v>
      </c>
      <c r="B1224" t="s">
        <v>1023</v>
      </c>
      <c r="C1224" t="s">
        <v>1024</v>
      </c>
      <c r="D1224" t="s">
        <v>606</v>
      </c>
      <c r="E1224" t="s">
        <v>1025</v>
      </c>
      <c r="G1224">
        <v>934694</v>
      </c>
      <c r="H1224" t="s">
        <v>421</v>
      </c>
      <c r="I1224" s="4">
        <v>7280</v>
      </c>
      <c r="J1224" s="4">
        <v>4641</v>
      </c>
    </row>
    <row r="1225" spans="1:10" x14ac:dyDescent="0.35">
      <c r="A1225">
        <v>3151272362</v>
      </c>
      <c r="B1225" t="s">
        <v>1023</v>
      </c>
      <c r="C1225" t="s">
        <v>1024</v>
      </c>
      <c r="D1225" t="s">
        <v>606</v>
      </c>
      <c r="E1225" t="s">
        <v>1025</v>
      </c>
      <c r="G1225">
        <v>934694</v>
      </c>
      <c r="H1225" t="s">
        <v>421</v>
      </c>
      <c r="I1225" s="4">
        <v>14196</v>
      </c>
      <c r="J1225" s="4">
        <v>9049.9500000000007</v>
      </c>
    </row>
    <row r="1226" spans="1:10" x14ac:dyDescent="0.35">
      <c r="A1226">
        <v>3151272059</v>
      </c>
      <c r="B1226" t="s">
        <v>1023</v>
      </c>
      <c r="C1226" t="s">
        <v>1024</v>
      </c>
      <c r="D1226" t="s">
        <v>422</v>
      </c>
      <c r="E1226" t="s">
        <v>1026</v>
      </c>
      <c r="G1226">
        <v>934693</v>
      </c>
      <c r="H1226" t="s">
        <v>412</v>
      </c>
      <c r="I1226" s="4">
        <v>4080</v>
      </c>
      <c r="J1226" s="4">
        <v>761.94</v>
      </c>
    </row>
    <row r="1227" spans="1:10" x14ac:dyDescent="0.35">
      <c r="A1227">
        <v>3151272362</v>
      </c>
      <c r="B1227" t="s">
        <v>1023</v>
      </c>
      <c r="C1227" t="s">
        <v>1024</v>
      </c>
      <c r="D1227" t="s">
        <v>422</v>
      </c>
      <c r="E1227" t="s">
        <v>1026</v>
      </c>
      <c r="F1227" t="s">
        <v>201</v>
      </c>
      <c r="G1227">
        <v>934693</v>
      </c>
      <c r="H1227" t="s">
        <v>412</v>
      </c>
      <c r="I1227" s="4">
        <v>19040</v>
      </c>
      <c r="J1227" s="4">
        <v>3555.7200000000003</v>
      </c>
    </row>
    <row r="1228" spans="1:10" x14ac:dyDescent="0.35">
      <c r="A1228">
        <v>3151272059</v>
      </c>
      <c r="B1228" t="s">
        <v>1023</v>
      </c>
      <c r="C1228" t="s">
        <v>1024</v>
      </c>
      <c r="D1228" t="s">
        <v>1027</v>
      </c>
      <c r="E1228" t="s">
        <v>1028</v>
      </c>
      <c r="G1228">
        <v>934692</v>
      </c>
      <c r="H1228" t="s">
        <v>415</v>
      </c>
      <c r="I1228" s="4">
        <v>6336</v>
      </c>
      <c r="J1228" s="4">
        <v>2393.8991999999998</v>
      </c>
    </row>
    <row r="1229" spans="1:10" x14ac:dyDescent="0.35">
      <c r="A1229">
        <v>3151272362</v>
      </c>
      <c r="B1229" t="s">
        <v>1023</v>
      </c>
      <c r="C1229" t="s">
        <v>1024</v>
      </c>
      <c r="D1229" t="s">
        <v>1027</v>
      </c>
      <c r="E1229" t="s">
        <v>1028</v>
      </c>
      <c r="F1229" t="s">
        <v>201</v>
      </c>
      <c r="G1229">
        <v>934692</v>
      </c>
      <c r="H1229" t="s">
        <v>415</v>
      </c>
      <c r="I1229" s="4">
        <v>13824</v>
      </c>
      <c r="J1229" s="4">
        <v>5223.0527999999995</v>
      </c>
    </row>
    <row r="1230" spans="1:10" x14ac:dyDescent="0.35">
      <c r="A1230">
        <v>3151271725</v>
      </c>
      <c r="B1230" t="s">
        <v>1013</v>
      </c>
      <c r="C1230" t="s">
        <v>1029</v>
      </c>
      <c r="D1230" t="s">
        <v>418</v>
      </c>
      <c r="E1230" t="s">
        <v>1030</v>
      </c>
      <c r="F1230" t="s">
        <v>1031</v>
      </c>
      <c r="G1230">
        <v>938835</v>
      </c>
      <c r="H1230" t="s">
        <v>421</v>
      </c>
      <c r="I1230" s="4">
        <v>2460</v>
      </c>
      <c r="J1230" s="4">
        <v>2070.09</v>
      </c>
    </row>
    <row r="1231" spans="1:10" x14ac:dyDescent="0.35">
      <c r="A1231">
        <v>3151271832</v>
      </c>
      <c r="B1231" t="s">
        <v>1013</v>
      </c>
      <c r="C1231" t="s">
        <v>1029</v>
      </c>
      <c r="D1231" t="s">
        <v>422</v>
      </c>
      <c r="E1231" t="s">
        <v>1032</v>
      </c>
      <c r="F1231" t="s">
        <v>1031</v>
      </c>
      <c r="G1231">
        <v>938836</v>
      </c>
      <c r="H1231" t="s">
        <v>412</v>
      </c>
      <c r="I1231" s="4">
        <v>4032</v>
      </c>
      <c r="J1231" s="4">
        <v>997.92000000000007</v>
      </c>
    </row>
    <row r="1232" spans="1:10" x14ac:dyDescent="0.35">
      <c r="A1232">
        <v>3151271726</v>
      </c>
      <c r="B1232" t="s">
        <v>1023</v>
      </c>
      <c r="C1232" t="s">
        <v>1033</v>
      </c>
      <c r="D1232" t="s">
        <v>606</v>
      </c>
      <c r="E1232" t="s">
        <v>1034</v>
      </c>
      <c r="F1232" t="s">
        <v>201</v>
      </c>
      <c r="G1232">
        <v>937331</v>
      </c>
      <c r="H1232" t="s">
        <v>421</v>
      </c>
      <c r="I1232" s="4">
        <v>558</v>
      </c>
      <c r="J1232" s="4">
        <v>502.2</v>
      </c>
    </row>
    <row r="1233" spans="1:10" x14ac:dyDescent="0.35">
      <c r="A1233">
        <v>3151271830</v>
      </c>
      <c r="B1233" t="s">
        <v>1023</v>
      </c>
      <c r="C1233" t="s">
        <v>1033</v>
      </c>
      <c r="D1233" t="s">
        <v>606</v>
      </c>
      <c r="E1233" t="s">
        <v>1034</v>
      </c>
      <c r="G1233">
        <v>937331</v>
      </c>
      <c r="H1233" t="s">
        <v>421</v>
      </c>
      <c r="I1233" s="4">
        <v>372</v>
      </c>
      <c r="J1233" s="4">
        <v>334.8</v>
      </c>
    </row>
    <row r="1234" spans="1:10" x14ac:dyDescent="0.35">
      <c r="A1234">
        <v>3151271830</v>
      </c>
      <c r="B1234" t="s">
        <v>1023</v>
      </c>
      <c r="C1234" t="s">
        <v>1033</v>
      </c>
      <c r="D1234" t="s">
        <v>422</v>
      </c>
      <c r="E1234" t="s">
        <v>1035</v>
      </c>
      <c r="G1234">
        <v>937333</v>
      </c>
      <c r="H1234" t="s">
        <v>412</v>
      </c>
      <c r="I1234" s="4">
        <v>624</v>
      </c>
      <c r="J1234" s="4">
        <v>168.48</v>
      </c>
    </row>
    <row r="1235" spans="1:10" x14ac:dyDescent="0.35">
      <c r="A1235">
        <v>3151271830</v>
      </c>
      <c r="B1235" t="s">
        <v>1023</v>
      </c>
      <c r="C1235" t="s">
        <v>1033</v>
      </c>
      <c r="D1235" t="s">
        <v>427</v>
      </c>
      <c r="E1235" t="s">
        <v>1036</v>
      </c>
      <c r="F1235" t="s">
        <v>201</v>
      </c>
      <c r="G1235">
        <v>937332</v>
      </c>
      <c r="H1235" t="s">
        <v>415</v>
      </c>
      <c r="I1235" s="4">
        <v>1632</v>
      </c>
      <c r="J1235" s="4">
        <v>891.072</v>
      </c>
    </row>
    <row r="1236" spans="1:10" x14ac:dyDescent="0.35">
      <c r="A1236">
        <v>3151271726</v>
      </c>
      <c r="B1236" t="s">
        <v>1023</v>
      </c>
      <c r="C1236" t="s">
        <v>1033</v>
      </c>
      <c r="D1236" t="s">
        <v>427</v>
      </c>
      <c r="E1236" t="s">
        <v>1036</v>
      </c>
      <c r="F1236" t="s">
        <v>201</v>
      </c>
      <c r="G1236">
        <v>937332</v>
      </c>
      <c r="H1236" t="s">
        <v>415</v>
      </c>
      <c r="I1236" s="4">
        <v>816</v>
      </c>
      <c r="J1236" s="4">
        <v>445.536</v>
      </c>
    </row>
    <row r="1237" spans="1:10" x14ac:dyDescent="0.35">
      <c r="A1237">
        <v>3151271724</v>
      </c>
      <c r="B1237" t="s">
        <v>1013</v>
      </c>
      <c r="C1237" t="s">
        <v>1037</v>
      </c>
      <c r="D1237" t="s">
        <v>445</v>
      </c>
      <c r="E1237" t="s">
        <v>1038</v>
      </c>
      <c r="F1237" t="s">
        <v>201</v>
      </c>
      <c r="G1237">
        <v>910539</v>
      </c>
      <c r="H1237" t="s">
        <v>433</v>
      </c>
      <c r="I1237" s="4">
        <v>47628</v>
      </c>
      <c r="J1237" s="4">
        <v>1671.7428</v>
      </c>
    </row>
    <row r="1238" spans="1:10" x14ac:dyDescent="0.35">
      <c r="A1238">
        <v>3151272069</v>
      </c>
      <c r="B1238" t="s">
        <v>1013</v>
      </c>
      <c r="C1238" t="s">
        <v>1037</v>
      </c>
      <c r="D1238" t="s">
        <v>445</v>
      </c>
      <c r="E1238" t="s">
        <v>1038</v>
      </c>
      <c r="G1238">
        <v>910539</v>
      </c>
      <c r="H1238" t="s">
        <v>433</v>
      </c>
      <c r="I1238" s="4">
        <v>47628</v>
      </c>
      <c r="J1238" s="4">
        <v>1671.7428</v>
      </c>
    </row>
    <row r="1239" spans="1:10" x14ac:dyDescent="0.35">
      <c r="A1239">
        <v>3151271831</v>
      </c>
      <c r="B1239" t="s">
        <v>1013</v>
      </c>
      <c r="C1239" t="s">
        <v>1037</v>
      </c>
      <c r="D1239" t="s">
        <v>445</v>
      </c>
      <c r="E1239" t="s">
        <v>1038</v>
      </c>
      <c r="F1239" t="s">
        <v>201</v>
      </c>
      <c r="G1239">
        <v>910539</v>
      </c>
      <c r="H1239" t="s">
        <v>433</v>
      </c>
      <c r="I1239" s="4">
        <v>47628</v>
      </c>
      <c r="J1239" s="4">
        <v>1671.7428</v>
      </c>
    </row>
    <row r="1240" spans="1:10" x14ac:dyDescent="0.35">
      <c r="A1240">
        <v>3151272360</v>
      </c>
      <c r="B1240" t="s">
        <v>1013</v>
      </c>
      <c r="C1240" t="s">
        <v>1037</v>
      </c>
      <c r="D1240" t="s">
        <v>445</v>
      </c>
      <c r="E1240" t="s">
        <v>1038</v>
      </c>
      <c r="F1240" t="s">
        <v>201</v>
      </c>
      <c r="G1240">
        <v>910539</v>
      </c>
      <c r="H1240" t="s">
        <v>433</v>
      </c>
      <c r="I1240" s="4">
        <v>47628</v>
      </c>
      <c r="J1240" s="4">
        <v>1671.7428</v>
      </c>
    </row>
    <row r="1241" spans="1:10" x14ac:dyDescent="0.35">
      <c r="A1241">
        <v>3151272061</v>
      </c>
      <c r="B1241" t="s">
        <v>1013</v>
      </c>
      <c r="C1241" t="s">
        <v>1039</v>
      </c>
      <c r="D1241" t="s">
        <v>606</v>
      </c>
      <c r="E1241" t="s">
        <v>1040</v>
      </c>
      <c r="G1241">
        <v>938443</v>
      </c>
      <c r="H1241" t="s">
        <v>421</v>
      </c>
      <c r="I1241" s="4">
        <v>2560</v>
      </c>
      <c r="J1241" s="4">
        <v>1632</v>
      </c>
    </row>
    <row r="1242" spans="1:10" x14ac:dyDescent="0.35">
      <c r="A1242">
        <v>3151271727</v>
      </c>
      <c r="B1242" t="s">
        <v>1013</v>
      </c>
      <c r="C1242" t="s">
        <v>1039</v>
      </c>
      <c r="D1242" t="s">
        <v>606</v>
      </c>
      <c r="E1242" t="s">
        <v>1040</v>
      </c>
      <c r="F1242" t="s">
        <v>201</v>
      </c>
      <c r="G1242">
        <v>938443</v>
      </c>
      <c r="H1242" t="s">
        <v>421</v>
      </c>
      <c r="I1242" s="4">
        <v>4096</v>
      </c>
      <c r="J1242" s="4">
        <v>2611.2000000000003</v>
      </c>
    </row>
    <row r="1243" spans="1:10" x14ac:dyDescent="0.35">
      <c r="A1243">
        <v>3151271635</v>
      </c>
      <c r="B1243" t="s">
        <v>1013</v>
      </c>
      <c r="C1243" t="s">
        <v>1039</v>
      </c>
      <c r="D1243" t="s">
        <v>606</v>
      </c>
      <c r="E1243" t="s">
        <v>1040</v>
      </c>
      <c r="G1243">
        <v>938443</v>
      </c>
      <c r="H1243" t="s">
        <v>421</v>
      </c>
      <c r="I1243" s="4">
        <v>4096</v>
      </c>
      <c r="J1243" s="4">
        <v>2611.2000000000003</v>
      </c>
    </row>
    <row r="1244" spans="1:10" x14ac:dyDescent="0.35">
      <c r="A1244">
        <v>3151272482</v>
      </c>
      <c r="B1244" t="s">
        <v>1013</v>
      </c>
      <c r="C1244" t="s">
        <v>1039</v>
      </c>
      <c r="D1244" t="s">
        <v>606</v>
      </c>
      <c r="E1244" t="s">
        <v>1040</v>
      </c>
      <c r="G1244">
        <v>938443</v>
      </c>
      <c r="H1244" t="s">
        <v>421</v>
      </c>
      <c r="I1244" s="4">
        <v>29952</v>
      </c>
      <c r="J1244" s="4">
        <v>19094.400000000001</v>
      </c>
    </row>
    <row r="1245" spans="1:10" x14ac:dyDescent="0.35">
      <c r="A1245">
        <v>3151272848</v>
      </c>
      <c r="B1245" t="s">
        <v>1013</v>
      </c>
      <c r="C1245" t="s">
        <v>1039</v>
      </c>
      <c r="D1245" t="s">
        <v>606</v>
      </c>
      <c r="E1245" t="s">
        <v>1040</v>
      </c>
      <c r="F1245" t="s">
        <v>201</v>
      </c>
      <c r="G1245">
        <v>938443</v>
      </c>
      <c r="H1245" t="s">
        <v>421</v>
      </c>
      <c r="I1245" s="4">
        <v>13824</v>
      </c>
      <c r="J1245" s="4">
        <v>8812.8000000000011</v>
      </c>
    </row>
    <row r="1246" spans="1:10" x14ac:dyDescent="0.35">
      <c r="A1246">
        <v>3151271727</v>
      </c>
      <c r="B1246" t="s">
        <v>1013</v>
      </c>
      <c r="C1246" t="s">
        <v>1039</v>
      </c>
      <c r="D1246" t="s">
        <v>445</v>
      </c>
      <c r="E1246" t="s">
        <v>1041</v>
      </c>
      <c r="G1246">
        <v>909323</v>
      </c>
      <c r="H1246" t="s">
        <v>433</v>
      </c>
      <c r="I1246" s="4">
        <v>9936</v>
      </c>
      <c r="J1246" s="4">
        <v>402.40800000000002</v>
      </c>
    </row>
    <row r="1247" spans="1:10" x14ac:dyDescent="0.35">
      <c r="A1247">
        <v>3151271635</v>
      </c>
      <c r="B1247" t="s">
        <v>1013</v>
      </c>
      <c r="C1247" t="s">
        <v>1039</v>
      </c>
      <c r="D1247" t="s">
        <v>445</v>
      </c>
      <c r="E1247" t="s">
        <v>1041</v>
      </c>
      <c r="G1247">
        <v>938444</v>
      </c>
      <c r="H1247" t="s">
        <v>433</v>
      </c>
      <c r="I1247" s="4">
        <v>19872</v>
      </c>
      <c r="J1247" s="4">
        <v>804.81600000000003</v>
      </c>
    </row>
    <row r="1248" spans="1:10" x14ac:dyDescent="0.35">
      <c r="A1248">
        <v>3151272848</v>
      </c>
      <c r="B1248" t="s">
        <v>1013</v>
      </c>
      <c r="C1248" t="s">
        <v>1039</v>
      </c>
      <c r="D1248" t="s">
        <v>445</v>
      </c>
      <c r="E1248" t="s">
        <v>1041</v>
      </c>
      <c r="F1248" t="s">
        <v>201</v>
      </c>
      <c r="G1248">
        <v>938444</v>
      </c>
      <c r="H1248" t="s">
        <v>433</v>
      </c>
      <c r="I1248" s="4">
        <v>14904</v>
      </c>
      <c r="J1248" s="4">
        <v>603.61199999999997</v>
      </c>
    </row>
    <row r="1249" spans="1:10" x14ac:dyDescent="0.35">
      <c r="A1249">
        <v>3151272061</v>
      </c>
      <c r="B1249" t="s">
        <v>1013</v>
      </c>
      <c r="C1249" t="s">
        <v>1039</v>
      </c>
      <c r="D1249" t="s">
        <v>422</v>
      </c>
      <c r="E1249" t="s">
        <v>1042</v>
      </c>
      <c r="G1249">
        <v>938442</v>
      </c>
      <c r="H1249" t="s">
        <v>412</v>
      </c>
      <c r="I1249" s="4">
        <v>1800</v>
      </c>
      <c r="J1249" s="4">
        <v>344.25</v>
      </c>
    </row>
    <row r="1250" spans="1:10" x14ac:dyDescent="0.35">
      <c r="A1250">
        <v>3151271727</v>
      </c>
      <c r="B1250" t="s">
        <v>1013</v>
      </c>
      <c r="C1250" t="s">
        <v>1039</v>
      </c>
      <c r="D1250" t="s">
        <v>422</v>
      </c>
      <c r="E1250" t="s">
        <v>1042</v>
      </c>
      <c r="F1250" t="s">
        <v>201</v>
      </c>
      <c r="G1250">
        <v>938442</v>
      </c>
      <c r="H1250" t="s">
        <v>412</v>
      </c>
      <c r="I1250" s="4">
        <v>7200</v>
      </c>
      <c r="J1250" s="4">
        <v>1377</v>
      </c>
    </row>
    <row r="1251" spans="1:10" x14ac:dyDescent="0.35">
      <c r="A1251">
        <v>3151271635</v>
      </c>
      <c r="B1251" t="s">
        <v>1013</v>
      </c>
      <c r="C1251" t="s">
        <v>1039</v>
      </c>
      <c r="D1251" t="s">
        <v>422</v>
      </c>
      <c r="E1251" t="s">
        <v>1042</v>
      </c>
      <c r="G1251">
        <v>938442</v>
      </c>
      <c r="H1251" t="s">
        <v>412</v>
      </c>
      <c r="I1251" s="4">
        <v>4500</v>
      </c>
      <c r="J1251" s="4">
        <v>860.625</v>
      </c>
    </row>
    <row r="1252" spans="1:10" x14ac:dyDescent="0.35">
      <c r="A1252">
        <v>3151272482</v>
      </c>
      <c r="B1252" t="s">
        <v>1013</v>
      </c>
      <c r="C1252" t="s">
        <v>1039</v>
      </c>
      <c r="D1252" t="s">
        <v>422</v>
      </c>
      <c r="E1252" t="s">
        <v>1042</v>
      </c>
      <c r="G1252">
        <v>938442</v>
      </c>
      <c r="H1252" t="s">
        <v>412</v>
      </c>
      <c r="I1252" s="4">
        <v>17100</v>
      </c>
      <c r="J1252" s="4">
        <v>3270.375</v>
      </c>
    </row>
    <row r="1253" spans="1:10" x14ac:dyDescent="0.35">
      <c r="A1253">
        <v>3151272848</v>
      </c>
      <c r="B1253" t="s">
        <v>1013</v>
      </c>
      <c r="C1253" t="s">
        <v>1039</v>
      </c>
      <c r="D1253" t="s">
        <v>422</v>
      </c>
      <c r="E1253" t="s">
        <v>1042</v>
      </c>
      <c r="F1253" t="s">
        <v>201</v>
      </c>
      <c r="G1253">
        <v>938442</v>
      </c>
      <c r="H1253" t="s">
        <v>412</v>
      </c>
      <c r="I1253" s="4">
        <v>20700</v>
      </c>
      <c r="J1253" s="4">
        <v>3958.875</v>
      </c>
    </row>
    <row r="1254" spans="1:10" x14ac:dyDescent="0.35">
      <c r="A1254">
        <v>3151272353</v>
      </c>
      <c r="B1254" t="s">
        <v>1013</v>
      </c>
      <c r="C1254" t="s">
        <v>1039</v>
      </c>
      <c r="D1254" t="s">
        <v>1027</v>
      </c>
      <c r="E1254" t="s">
        <v>1043</v>
      </c>
      <c r="F1254" t="s">
        <v>201</v>
      </c>
      <c r="G1254">
        <v>938441</v>
      </c>
      <c r="H1254" t="s">
        <v>415</v>
      </c>
      <c r="I1254" s="4">
        <v>6664</v>
      </c>
      <c r="J1254" s="4">
        <v>2517.8258000000001</v>
      </c>
    </row>
    <row r="1255" spans="1:10" x14ac:dyDescent="0.35">
      <c r="A1255">
        <v>3151271727</v>
      </c>
      <c r="B1255" t="s">
        <v>1013</v>
      </c>
      <c r="C1255" t="s">
        <v>1039</v>
      </c>
      <c r="D1255" t="s">
        <v>1027</v>
      </c>
      <c r="E1255" t="s">
        <v>1043</v>
      </c>
      <c r="F1255" t="s">
        <v>201</v>
      </c>
      <c r="G1255">
        <v>938441</v>
      </c>
      <c r="H1255" t="s">
        <v>415</v>
      </c>
      <c r="I1255" s="4">
        <v>15288</v>
      </c>
      <c r="J1255" s="4">
        <v>5776.1885999999995</v>
      </c>
    </row>
    <row r="1256" spans="1:10" x14ac:dyDescent="0.35">
      <c r="A1256">
        <v>3151271635</v>
      </c>
      <c r="B1256" t="s">
        <v>1013</v>
      </c>
      <c r="C1256" t="s">
        <v>1039</v>
      </c>
      <c r="D1256" t="s">
        <v>1027</v>
      </c>
      <c r="E1256" t="s">
        <v>1043</v>
      </c>
      <c r="G1256">
        <v>938441</v>
      </c>
      <c r="H1256" t="s">
        <v>415</v>
      </c>
      <c r="I1256" s="4">
        <v>2352</v>
      </c>
      <c r="J1256" s="4">
        <v>888.64440000000002</v>
      </c>
    </row>
    <row r="1257" spans="1:10" x14ac:dyDescent="0.35">
      <c r="A1257">
        <v>3151272482</v>
      </c>
      <c r="B1257" t="s">
        <v>1013</v>
      </c>
      <c r="C1257" t="s">
        <v>1039</v>
      </c>
      <c r="D1257" t="s">
        <v>1027</v>
      </c>
      <c r="E1257" t="s">
        <v>1043</v>
      </c>
      <c r="G1257">
        <v>938441</v>
      </c>
      <c r="H1257" t="s">
        <v>415</v>
      </c>
      <c r="I1257" s="4">
        <v>16856</v>
      </c>
      <c r="J1257" s="4">
        <v>6368.6181999999999</v>
      </c>
    </row>
    <row r="1258" spans="1:10" x14ac:dyDescent="0.35">
      <c r="A1258">
        <v>3151272848</v>
      </c>
      <c r="B1258" t="s">
        <v>1013</v>
      </c>
      <c r="C1258" t="s">
        <v>1039</v>
      </c>
      <c r="D1258" t="s">
        <v>1027</v>
      </c>
      <c r="E1258" t="s">
        <v>1043</v>
      </c>
      <c r="F1258" t="s">
        <v>201</v>
      </c>
      <c r="G1258">
        <v>938441</v>
      </c>
      <c r="H1258" t="s">
        <v>415</v>
      </c>
      <c r="I1258" s="4">
        <v>6272</v>
      </c>
      <c r="J1258" s="4">
        <v>2369.7183999999997</v>
      </c>
    </row>
    <row r="1259" spans="1:10" x14ac:dyDescent="0.35">
      <c r="A1259">
        <v>3151271999</v>
      </c>
      <c r="B1259" t="s">
        <v>1044</v>
      </c>
      <c r="C1259" t="s">
        <v>1045</v>
      </c>
      <c r="D1259" t="s">
        <v>606</v>
      </c>
      <c r="E1259" t="s">
        <v>1046</v>
      </c>
      <c r="F1259" t="s">
        <v>201</v>
      </c>
      <c r="G1259">
        <v>937932</v>
      </c>
      <c r="H1259" t="s">
        <v>421</v>
      </c>
      <c r="I1259" s="4">
        <v>3408</v>
      </c>
      <c r="J1259" s="4">
        <v>2557.7040000000002</v>
      </c>
    </row>
    <row r="1260" spans="1:10" x14ac:dyDescent="0.35">
      <c r="A1260">
        <v>3151272013</v>
      </c>
      <c r="B1260" t="s">
        <v>1044</v>
      </c>
      <c r="C1260" t="s">
        <v>1045</v>
      </c>
      <c r="D1260" t="s">
        <v>606</v>
      </c>
      <c r="E1260" t="s">
        <v>1046</v>
      </c>
      <c r="F1260" t="s">
        <v>201</v>
      </c>
      <c r="G1260">
        <v>937932</v>
      </c>
      <c r="H1260" t="s">
        <v>421</v>
      </c>
      <c r="I1260" s="4">
        <v>3424</v>
      </c>
      <c r="J1260" s="4">
        <v>2569.712</v>
      </c>
    </row>
    <row r="1261" spans="1:10" x14ac:dyDescent="0.35">
      <c r="A1261">
        <v>3151272018</v>
      </c>
      <c r="B1261" t="s">
        <v>1044</v>
      </c>
      <c r="C1261" t="s">
        <v>1045</v>
      </c>
      <c r="D1261" t="s">
        <v>606</v>
      </c>
      <c r="E1261" t="s">
        <v>1046</v>
      </c>
      <c r="F1261" t="s">
        <v>201</v>
      </c>
      <c r="G1261">
        <v>937932</v>
      </c>
      <c r="H1261" t="s">
        <v>421</v>
      </c>
      <c r="I1261" s="4">
        <v>3408</v>
      </c>
      <c r="J1261" s="4">
        <v>2557.7040000000002</v>
      </c>
    </row>
    <row r="1262" spans="1:10" x14ac:dyDescent="0.35">
      <c r="A1262">
        <v>3151271999</v>
      </c>
      <c r="B1262" t="s">
        <v>1044</v>
      </c>
      <c r="C1262" t="s">
        <v>1045</v>
      </c>
      <c r="D1262" t="s">
        <v>445</v>
      </c>
      <c r="E1262" t="s">
        <v>1047</v>
      </c>
      <c r="F1262" t="s">
        <v>201</v>
      </c>
      <c r="G1262">
        <v>937934</v>
      </c>
      <c r="H1262" t="s">
        <v>433</v>
      </c>
      <c r="I1262" s="4">
        <v>12480</v>
      </c>
      <c r="J1262" s="4">
        <v>563.47199999999998</v>
      </c>
    </row>
    <row r="1263" spans="1:10" x14ac:dyDescent="0.35">
      <c r="A1263">
        <v>3151272013</v>
      </c>
      <c r="B1263" t="s">
        <v>1044</v>
      </c>
      <c r="C1263" t="s">
        <v>1045</v>
      </c>
      <c r="D1263" t="s">
        <v>445</v>
      </c>
      <c r="E1263" t="s">
        <v>1047</v>
      </c>
      <c r="F1263" t="s">
        <v>201</v>
      </c>
      <c r="G1263">
        <v>937934</v>
      </c>
      <c r="H1263" t="s">
        <v>433</v>
      </c>
      <c r="I1263" s="4">
        <v>12240</v>
      </c>
      <c r="J1263" s="4">
        <v>552.63599999999997</v>
      </c>
    </row>
    <row r="1264" spans="1:10" x14ac:dyDescent="0.35">
      <c r="A1264">
        <v>3151272018</v>
      </c>
      <c r="B1264" t="s">
        <v>1044</v>
      </c>
      <c r="C1264" t="s">
        <v>1045</v>
      </c>
      <c r="D1264" t="s">
        <v>445</v>
      </c>
      <c r="E1264" t="s">
        <v>1047</v>
      </c>
      <c r="F1264" t="s">
        <v>201</v>
      </c>
      <c r="G1264">
        <v>937934</v>
      </c>
      <c r="H1264" t="s">
        <v>433</v>
      </c>
      <c r="I1264" s="4">
        <v>12240</v>
      </c>
      <c r="J1264" s="4">
        <v>552.63599999999997</v>
      </c>
    </row>
    <row r="1265" spans="1:10" x14ac:dyDescent="0.35">
      <c r="A1265">
        <v>3151271999</v>
      </c>
      <c r="B1265" t="s">
        <v>1044</v>
      </c>
      <c r="C1265" t="s">
        <v>1045</v>
      </c>
      <c r="D1265" t="s">
        <v>422</v>
      </c>
      <c r="E1265" t="s">
        <v>1048</v>
      </c>
      <c r="F1265" t="s">
        <v>201</v>
      </c>
      <c r="G1265">
        <v>937931</v>
      </c>
      <c r="H1265" t="s">
        <v>412</v>
      </c>
      <c r="I1265" s="4">
        <v>7104</v>
      </c>
      <c r="J1265" s="4">
        <v>1598.4</v>
      </c>
    </row>
    <row r="1266" spans="1:10" x14ac:dyDescent="0.35">
      <c r="A1266">
        <v>3151272013</v>
      </c>
      <c r="B1266" t="s">
        <v>1044</v>
      </c>
      <c r="C1266" t="s">
        <v>1045</v>
      </c>
      <c r="D1266" t="s">
        <v>422</v>
      </c>
      <c r="E1266" t="s">
        <v>1048</v>
      </c>
      <c r="F1266" t="s">
        <v>201</v>
      </c>
      <c r="G1266">
        <v>937931</v>
      </c>
      <c r="H1266" t="s">
        <v>412</v>
      </c>
      <c r="I1266" s="4">
        <v>7104</v>
      </c>
      <c r="J1266" s="4">
        <v>1598.4</v>
      </c>
    </row>
    <row r="1267" spans="1:10" x14ac:dyDescent="0.35">
      <c r="A1267">
        <v>3151272018</v>
      </c>
      <c r="B1267" t="s">
        <v>1044</v>
      </c>
      <c r="C1267" t="s">
        <v>1045</v>
      </c>
      <c r="D1267" t="s">
        <v>422</v>
      </c>
      <c r="E1267" t="s">
        <v>1048</v>
      </c>
      <c r="F1267" t="s">
        <v>201</v>
      </c>
      <c r="G1267">
        <v>937931</v>
      </c>
      <c r="H1267" t="s">
        <v>412</v>
      </c>
      <c r="I1267" s="4">
        <v>7152</v>
      </c>
      <c r="J1267" s="4">
        <v>1609.2</v>
      </c>
    </row>
    <row r="1268" spans="1:10" x14ac:dyDescent="0.35">
      <c r="A1268">
        <v>3151272082</v>
      </c>
      <c r="B1268" t="s">
        <v>1044</v>
      </c>
      <c r="C1268" t="s">
        <v>1045</v>
      </c>
      <c r="D1268" t="s">
        <v>422</v>
      </c>
      <c r="E1268" t="s">
        <v>1048</v>
      </c>
      <c r="F1268" t="s">
        <v>201</v>
      </c>
      <c r="G1268">
        <v>937931</v>
      </c>
      <c r="H1268" t="s">
        <v>412</v>
      </c>
      <c r="I1268" s="4">
        <v>4800</v>
      </c>
      <c r="J1268" s="4">
        <v>1080</v>
      </c>
    </row>
    <row r="1269" spans="1:10" x14ac:dyDescent="0.35">
      <c r="A1269">
        <v>3151271999</v>
      </c>
      <c r="B1269" t="s">
        <v>1044</v>
      </c>
      <c r="C1269" t="s">
        <v>1045</v>
      </c>
      <c r="D1269" t="s">
        <v>413</v>
      </c>
      <c r="E1269" t="s">
        <v>1049</v>
      </c>
      <c r="F1269" t="s">
        <v>201</v>
      </c>
      <c r="G1269">
        <v>937930</v>
      </c>
      <c r="H1269" t="s">
        <v>415</v>
      </c>
      <c r="I1269" s="4">
        <v>3696</v>
      </c>
      <c r="J1269" s="4">
        <v>1553.6136000000001</v>
      </c>
    </row>
    <row r="1270" spans="1:10" x14ac:dyDescent="0.35">
      <c r="A1270">
        <v>3151272013</v>
      </c>
      <c r="B1270" t="s">
        <v>1044</v>
      </c>
      <c r="C1270" t="s">
        <v>1045</v>
      </c>
      <c r="D1270" t="s">
        <v>413</v>
      </c>
      <c r="E1270" t="s">
        <v>1049</v>
      </c>
      <c r="F1270" t="s">
        <v>201</v>
      </c>
      <c r="G1270">
        <v>937930</v>
      </c>
      <c r="H1270" t="s">
        <v>415</v>
      </c>
      <c r="I1270" s="4">
        <v>3768</v>
      </c>
      <c r="J1270" s="4">
        <v>1583.8788000000002</v>
      </c>
    </row>
    <row r="1271" spans="1:10" x14ac:dyDescent="0.35">
      <c r="A1271">
        <v>3151272018</v>
      </c>
      <c r="B1271" t="s">
        <v>1044</v>
      </c>
      <c r="C1271" t="s">
        <v>1045</v>
      </c>
      <c r="D1271" t="s">
        <v>413</v>
      </c>
      <c r="E1271" t="s">
        <v>1049</v>
      </c>
      <c r="F1271" t="s">
        <v>201</v>
      </c>
      <c r="G1271">
        <v>937930</v>
      </c>
      <c r="H1271" t="s">
        <v>415</v>
      </c>
      <c r="I1271" s="4">
        <v>3696</v>
      </c>
      <c r="J1271" s="4">
        <v>1553.6136000000001</v>
      </c>
    </row>
    <row r="1272" spans="1:10" x14ac:dyDescent="0.35">
      <c r="A1272">
        <v>3151272666</v>
      </c>
      <c r="B1272" t="s">
        <v>1050</v>
      </c>
      <c r="C1272" t="s">
        <v>1051</v>
      </c>
      <c r="D1272" t="s">
        <v>431</v>
      </c>
      <c r="E1272" t="s">
        <v>1052</v>
      </c>
      <c r="F1272" t="s">
        <v>778</v>
      </c>
      <c r="G1272">
        <v>942710</v>
      </c>
      <c r="H1272" t="s">
        <v>433</v>
      </c>
      <c r="I1272" s="4">
        <v>240</v>
      </c>
      <c r="J1272" s="4">
        <v>15.2592</v>
      </c>
    </row>
    <row r="1273" spans="1:10" x14ac:dyDescent="0.35">
      <c r="A1273">
        <v>3151272663</v>
      </c>
      <c r="B1273" t="s">
        <v>1050</v>
      </c>
      <c r="C1273" t="s">
        <v>1051</v>
      </c>
      <c r="D1273" t="s">
        <v>431</v>
      </c>
      <c r="E1273" t="s">
        <v>1052</v>
      </c>
      <c r="F1273" t="s">
        <v>778</v>
      </c>
      <c r="G1273">
        <v>942710</v>
      </c>
      <c r="H1273" t="s">
        <v>433</v>
      </c>
      <c r="I1273" s="4">
        <v>800</v>
      </c>
      <c r="J1273" s="4">
        <v>50.864000000000004</v>
      </c>
    </row>
    <row r="1274" spans="1:10" x14ac:dyDescent="0.35">
      <c r="A1274">
        <v>3151272664</v>
      </c>
      <c r="B1274" t="s">
        <v>1050</v>
      </c>
      <c r="C1274" t="s">
        <v>1051</v>
      </c>
      <c r="D1274" t="s">
        <v>431</v>
      </c>
      <c r="E1274" t="s">
        <v>1052</v>
      </c>
      <c r="F1274" t="s">
        <v>778</v>
      </c>
      <c r="G1274">
        <v>942710</v>
      </c>
      <c r="H1274" t="s">
        <v>433</v>
      </c>
      <c r="I1274" s="4">
        <v>1200</v>
      </c>
      <c r="J1274" s="4">
        <v>76.296000000000006</v>
      </c>
    </row>
    <row r="1275" spans="1:10" x14ac:dyDescent="0.35">
      <c r="A1275">
        <v>3151272665</v>
      </c>
      <c r="B1275" t="s">
        <v>1050</v>
      </c>
      <c r="C1275" t="s">
        <v>1051</v>
      </c>
      <c r="D1275" t="s">
        <v>431</v>
      </c>
      <c r="E1275" t="s">
        <v>1052</v>
      </c>
      <c r="F1275" t="s">
        <v>778</v>
      </c>
      <c r="G1275">
        <v>942710</v>
      </c>
      <c r="H1275" t="s">
        <v>433</v>
      </c>
      <c r="I1275" s="4">
        <v>600</v>
      </c>
      <c r="J1275" s="4">
        <v>38.148000000000003</v>
      </c>
    </row>
    <row r="1276" spans="1:10" x14ac:dyDescent="0.35">
      <c r="A1276">
        <v>3151272667</v>
      </c>
      <c r="B1276" t="s">
        <v>1050</v>
      </c>
      <c r="C1276" t="s">
        <v>1051</v>
      </c>
      <c r="D1276" t="s">
        <v>431</v>
      </c>
      <c r="E1276" t="s">
        <v>1052</v>
      </c>
      <c r="F1276" t="s">
        <v>778</v>
      </c>
      <c r="G1276">
        <v>942710</v>
      </c>
      <c r="H1276" t="s">
        <v>433</v>
      </c>
      <c r="I1276" s="4">
        <v>800</v>
      </c>
      <c r="J1276" s="4">
        <v>50.864000000000004</v>
      </c>
    </row>
    <row r="1277" spans="1:10" x14ac:dyDescent="0.35">
      <c r="A1277">
        <v>3151272668</v>
      </c>
      <c r="B1277" t="s">
        <v>1050</v>
      </c>
      <c r="C1277" t="s">
        <v>1051</v>
      </c>
      <c r="D1277" t="s">
        <v>431</v>
      </c>
      <c r="E1277" t="s">
        <v>1052</v>
      </c>
      <c r="F1277" t="s">
        <v>778</v>
      </c>
      <c r="G1277">
        <v>942710</v>
      </c>
      <c r="H1277" t="s">
        <v>433</v>
      </c>
      <c r="I1277" s="4">
        <v>3200</v>
      </c>
      <c r="J1277" s="4">
        <v>203.45600000000002</v>
      </c>
    </row>
    <row r="1278" spans="1:10" x14ac:dyDescent="0.35">
      <c r="A1278">
        <v>3151272669</v>
      </c>
      <c r="B1278" t="s">
        <v>1050</v>
      </c>
      <c r="C1278" t="s">
        <v>1051</v>
      </c>
      <c r="D1278" t="s">
        <v>431</v>
      </c>
      <c r="E1278" t="s">
        <v>1052</v>
      </c>
      <c r="F1278" t="s">
        <v>778</v>
      </c>
      <c r="G1278">
        <v>942710</v>
      </c>
      <c r="H1278" t="s">
        <v>433</v>
      </c>
      <c r="I1278" s="4">
        <v>2000</v>
      </c>
      <c r="J1278" s="4">
        <v>127.16</v>
      </c>
    </row>
    <row r="1279" spans="1:10" x14ac:dyDescent="0.35">
      <c r="A1279">
        <v>3151272670</v>
      </c>
      <c r="B1279" t="s">
        <v>1050</v>
      </c>
      <c r="C1279" t="s">
        <v>1051</v>
      </c>
      <c r="D1279" t="s">
        <v>431</v>
      </c>
      <c r="E1279" t="s">
        <v>1052</v>
      </c>
      <c r="F1279" t="s">
        <v>778</v>
      </c>
      <c r="G1279">
        <v>942710</v>
      </c>
      <c r="H1279" t="s">
        <v>433</v>
      </c>
      <c r="I1279" s="4">
        <v>480</v>
      </c>
      <c r="J1279" s="4">
        <v>30.5184</v>
      </c>
    </row>
    <row r="1280" spans="1:10" x14ac:dyDescent="0.35">
      <c r="A1280">
        <v>3151272666</v>
      </c>
      <c r="B1280" t="s">
        <v>1050</v>
      </c>
      <c r="C1280" t="s">
        <v>1051</v>
      </c>
      <c r="D1280" t="s">
        <v>524</v>
      </c>
      <c r="E1280" t="s">
        <v>1053</v>
      </c>
      <c r="F1280" t="s">
        <v>778</v>
      </c>
      <c r="G1280">
        <v>949510</v>
      </c>
      <c r="H1280" t="s">
        <v>412</v>
      </c>
      <c r="I1280" s="4">
        <v>180</v>
      </c>
      <c r="J1280" s="4">
        <v>30.852</v>
      </c>
    </row>
    <row r="1281" spans="1:10" x14ac:dyDescent="0.35">
      <c r="A1281">
        <v>3151272663</v>
      </c>
      <c r="B1281" t="s">
        <v>1050</v>
      </c>
      <c r="C1281" t="s">
        <v>1051</v>
      </c>
      <c r="D1281" t="s">
        <v>524</v>
      </c>
      <c r="E1281" t="s">
        <v>1053</v>
      </c>
      <c r="F1281" t="s">
        <v>778</v>
      </c>
      <c r="G1281">
        <v>949510</v>
      </c>
      <c r="H1281" t="s">
        <v>412</v>
      </c>
      <c r="I1281" s="4">
        <v>1000</v>
      </c>
      <c r="J1281" s="4">
        <v>171.4</v>
      </c>
    </row>
    <row r="1282" spans="1:10" x14ac:dyDescent="0.35">
      <c r="A1282">
        <v>3151272664</v>
      </c>
      <c r="B1282" t="s">
        <v>1050</v>
      </c>
      <c r="C1282" t="s">
        <v>1051</v>
      </c>
      <c r="D1282" t="s">
        <v>524</v>
      </c>
      <c r="E1282" t="s">
        <v>1053</v>
      </c>
      <c r="F1282" t="s">
        <v>778</v>
      </c>
      <c r="G1282">
        <v>949510</v>
      </c>
      <c r="H1282" t="s">
        <v>412</v>
      </c>
      <c r="I1282" s="4">
        <v>1200</v>
      </c>
      <c r="J1282" s="4">
        <v>205.68</v>
      </c>
    </row>
    <row r="1283" spans="1:10" x14ac:dyDescent="0.35">
      <c r="A1283">
        <v>3151272665</v>
      </c>
      <c r="B1283" t="s">
        <v>1050</v>
      </c>
      <c r="C1283" t="s">
        <v>1051</v>
      </c>
      <c r="D1283" t="s">
        <v>524</v>
      </c>
      <c r="E1283" t="s">
        <v>1053</v>
      </c>
      <c r="F1283" t="s">
        <v>778</v>
      </c>
      <c r="G1283">
        <v>949510</v>
      </c>
      <c r="H1283" t="s">
        <v>412</v>
      </c>
      <c r="I1283" s="4">
        <v>600</v>
      </c>
      <c r="J1283" s="4">
        <v>102.84</v>
      </c>
    </row>
    <row r="1284" spans="1:10" x14ac:dyDescent="0.35">
      <c r="A1284">
        <v>3151272667</v>
      </c>
      <c r="B1284" t="s">
        <v>1050</v>
      </c>
      <c r="C1284" t="s">
        <v>1051</v>
      </c>
      <c r="D1284" t="s">
        <v>524</v>
      </c>
      <c r="E1284" t="s">
        <v>1053</v>
      </c>
      <c r="F1284" t="s">
        <v>778</v>
      </c>
      <c r="G1284">
        <v>949510</v>
      </c>
      <c r="H1284" t="s">
        <v>412</v>
      </c>
      <c r="I1284" s="4">
        <v>2000</v>
      </c>
      <c r="J1284" s="4">
        <v>342.8</v>
      </c>
    </row>
    <row r="1285" spans="1:10" x14ac:dyDescent="0.35">
      <c r="A1285">
        <v>3151272668</v>
      </c>
      <c r="B1285" t="s">
        <v>1050</v>
      </c>
      <c r="C1285" t="s">
        <v>1051</v>
      </c>
      <c r="D1285" t="s">
        <v>524</v>
      </c>
      <c r="E1285" t="s">
        <v>1053</v>
      </c>
      <c r="F1285" t="s">
        <v>778</v>
      </c>
      <c r="G1285">
        <v>949510</v>
      </c>
      <c r="H1285" t="s">
        <v>412</v>
      </c>
      <c r="I1285" s="4">
        <v>3200</v>
      </c>
      <c r="J1285" s="4">
        <v>548.48</v>
      </c>
    </row>
    <row r="1286" spans="1:10" x14ac:dyDescent="0.35">
      <c r="A1286">
        <v>3151272669</v>
      </c>
      <c r="B1286" t="s">
        <v>1050</v>
      </c>
      <c r="C1286" t="s">
        <v>1051</v>
      </c>
      <c r="D1286" t="s">
        <v>524</v>
      </c>
      <c r="E1286" t="s">
        <v>1053</v>
      </c>
      <c r="F1286" t="s">
        <v>778</v>
      </c>
      <c r="G1286">
        <v>949510</v>
      </c>
      <c r="H1286" t="s">
        <v>412</v>
      </c>
      <c r="I1286" s="4">
        <v>1500</v>
      </c>
      <c r="J1286" s="4">
        <v>257.10000000000002</v>
      </c>
    </row>
    <row r="1287" spans="1:10" x14ac:dyDescent="0.35">
      <c r="A1287">
        <v>3151272670</v>
      </c>
      <c r="B1287" t="s">
        <v>1050</v>
      </c>
      <c r="C1287" t="s">
        <v>1051</v>
      </c>
      <c r="D1287" t="s">
        <v>524</v>
      </c>
      <c r="E1287" t="s">
        <v>1053</v>
      </c>
      <c r="F1287" t="s">
        <v>778</v>
      </c>
      <c r="G1287">
        <v>949510</v>
      </c>
      <c r="H1287" t="s">
        <v>412</v>
      </c>
      <c r="I1287" s="4">
        <v>360</v>
      </c>
      <c r="J1287" s="4">
        <v>61.704000000000001</v>
      </c>
    </row>
    <row r="1288" spans="1:10" x14ac:dyDescent="0.35">
      <c r="A1288">
        <v>3151272666</v>
      </c>
      <c r="B1288" t="s">
        <v>1050</v>
      </c>
      <c r="C1288" t="s">
        <v>1051</v>
      </c>
      <c r="D1288" t="s">
        <v>725</v>
      </c>
      <c r="E1288" t="s">
        <v>1054</v>
      </c>
      <c r="F1288" t="s">
        <v>778</v>
      </c>
      <c r="G1288">
        <v>942708</v>
      </c>
      <c r="H1288" t="s">
        <v>415</v>
      </c>
      <c r="I1288" s="4">
        <v>360</v>
      </c>
      <c r="J1288" s="4">
        <v>213.68159999999997</v>
      </c>
    </row>
    <row r="1289" spans="1:10" x14ac:dyDescent="0.35">
      <c r="A1289">
        <v>3151272663</v>
      </c>
      <c r="B1289" t="s">
        <v>1050</v>
      </c>
      <c r="C1289" t="s">
        <v>1051</v>
      </c>
      <c r="D1289" t="s">
        <v>725</v>
      </c>
      <c r="E1289" t="s">
        <v>1054</v>
      </c>
      <c r="F1289" t="s">
        <v>778</v>
      </c>
      <c r="G1289">
        <v>942708</v>
      </c>
      <c r="H1289" t="s">
        <v>415</v>
      </c>
      <c r="I1289" s="4">
        <v>600</v>
      </c>
      <c r="J1289" s="4">
        <v>356.13599999999997</v>
      </c>
    </row>
    <row r="1290" spans="1:10" x14ac:dyDescent="0.35">
      <c r="A1290">
        <v>3151272664</v>
      </c>
      <c r="B1290" t="s">
        <v>1050</v>
      </c>
      <c r="C1290" t="s">
        <v>1051</v>
      </c>
      <c r="D1290" t="s">
        <v>725</v>
      </c>
      <c r="E1290" t="s">
        <v>1054</v>
      </c>
      <c r="F1290" t="s">
        <v>778</v>
      </c>
      <c r="G1290">
        <v>942708</v>
      </c>
      <c r="H1290" t="s">
        <v>415</v>
      </c>
      <c r="I1290" s="4">
        <v>1200</v>
      </c>
      <c r="J1290" s="4">
        <v>712.27199999999993</v>
      </c>
    </row>
    <row r="1291" spans="1:10" x14ac:dyDescent="0.35">
      <c r="A1291">
        <v>3151272665</v>
      </c>
      <c r="B1291" t="s">
        <v>1050</v>
      </c>
      <c r="C1291" t="s">
        <v>1051</v>
      </c>
      <c r="D1291" t="s">
        <v>725</v>
      </c>
      <c r="E1291" t="s">
        <v>1054</v>
      </c>
      <c r="F1291" t="s">
        <v>778</v>
      </c>
      <c r="G1291">
        <v>942708</v>
      </c>
      <c r="H1291" t="s">
        <v>415</v>
      </c>
      <c r="I1291" s="4">
        <v>600</v>
      </c>
      <c r="J1291" s="4">
        <v>356.13599999999997</v>
      </c>
    </row>
    <row r="1292" spans="1:10" x14ac:dyDescent="0.35">
      <c r="A1292">
        <v>3151272667</v>
      </c>
      <c r="B1292" t="s">
        <v>1050</v>
      </c>
      <c r="C1292" t="s">
        <v>1051</v>
      </c>
      <c r="D1292" t="s">
        <v>725</v>
      </c>
      <c r="E1292" t="s">
        <v>1054</v>
      </c>
      <c r="F1292" t="s">
        <v>778</v>
      </c>
      <c r="G1292">
        <v>942708</v>
      </c>
      <c r="H1292" t="s">
        <v>415</v>
      </c>
      <c r="I1292" s="4">
        <v>800</v>
      </c>
      <c r="J1292" s="4">
        <v>474.84799999999996</v>
      </c>
    </row>
    <row r="1293" spans="1:10" x14ac:dyDescent="0.35">
      <c r="A1293">
        <v>3151272668</v>
      </c>
      <c r="B1293" t="s">
        <v>1050</v>
      </c>
      <c r="C1293" t="s">
        <v>1051</v>
      </c>
      <c r="D1293" t="s">
        <v>725</v>
      </c>
      <c r="E1293" t="s">
        <v>1054</v>
      </c>
      <c r="F1293" t="s">
        <v>778</v>
      </c>
      <c r="G1293">
        <v>942708</v>
      </c>
      <c r="H1293" t="s">
        <v>415</v>
      </c>
      <c r="I1293" s="4">
        <v>1600</v>
      </c>
      <c r="J1293" s="4">
        <v>949.69599999999991</v>
      </c>
    </row>
    <row r="1294" spans="1:10" x14ac:dyDescent="0.35">
      <c r="A1294">
        <v>3151272669</v>
      </c>
      <c r="B1294" t="s">
        <v>1050</v>
      </c>
      <c r="C1294" t="s">
        <v>1051</v>
      </c>
      <c r="D1294" t="s">
        <v>725</v>
      </c>
      <c r="E1294" t="s">
        <v>1054</v>
      </c>
      <c r="F1294" t="s">
        <v>778</v>
      </c>
      <c r="G1294">
        <v>942708</v>
      </c>
      <c r="H1294" t="s">
        <v>415</v>
      </c>
      <c r="I1294" s="4">
        <v>1000</v>
      </c>
      <c r="J1294" s="4">
        <v>593.56000000000006</v>
      </c>
    </row>
    <row r="1295" spans="1:10" x14ac:dyDescent="0.35">
      <c r="A1295">
        <v>3151272670</v>
      </c>
      <c r="B1295" t="s">
        <v>1050</v>
      </c>
      <c r="C1295" t="s">
        <v>1051</v>
      </c>
      <c r="D1295" t="s">
        <v>725</v>
      </c>
      <c r="E1295" t="s">
        <v>1054</v>
      </c>
      <c r="F1295" t="s">
        <v>778</v>
      </c>
      <c r="G1295">
        <v>942708</v>
      </c>
      <c r="H1295" t="s">
        <v>415</v>
      </c>
      <c r="I1295" s="4">
        <v>360</v>
      </c>
      <c r="J1295" s="4">
        <v>213.68159999999997</v>
      </c>
    </row>
    <row r="1296" spans="1:10" x14ac:dyDescent="0.35">
      <c r="A1296">
        <v>3151272666</v>
      </c>
      <c r="B1296" t="s">
        <v>1050</v>
      </c>
      <c r="C1296" t="s">
        <v>1051</v>
      </c>
      <c r="D1296" t="s">
        <v>1055</v>
      </c>
      <c r="E1296" t="s">
        <v>1056</v>
      </c>
      <c r="F1296" t="s">
        <v>778</v>
      </c>
      <c r="G1296">
        <v>942711</v>
      </c>
      <c r="H1296" t="s">
        <v>421</v>
      </c>
      <c r="I1296" s="4">
        <v>120</v>
      </c>
      <c r="J1296" s="4">
        <v>95.746200000000002</v>
      </c>
    </row>
    <row r="1297" spans="1:10" x14ac:dyDescent="0.35">
      <c r="A1297">
        <v>3151272663</v>
      </c>
      <c r="B1297" t="s">
        <v>1050</v>
      </c>
      <c r="C1297" t="s">
        <v>1051</v>
      </c>
      <c r="D1297" t="s">
        <v>1055</v>
      </c>
      <c r="E1297" t="s">
        <v>1056</v>
      </c>
      <c r="F1297" t="s">
        <v>778</v>
      </c>
      <c r="G1297">
        <v>942711</v>
      </c>
      <c r="H1297" t="s">
        <v>421</v>
      </c>
      <c r="I1297" s="4">
        <v>200</v>
      </c>
      <c r="J1297" s="4">
        <v>159.577</v>
      </c>
    </row>
    <row r="1298" spans="1:10" x14ac:dyDescent="0.35">
      <c r="A1298">
        <v>3151272664</v>
      </c>
      <c r="B1298" t="s">
        <v>1050</v>
      </c>
      <c r="C1298" t="s">
        <v>1051</v>
      </c>
      <c r="D1298" t="s">
        <v>1055</v>
      </c>
      <c r="E1298" t="s">
        <v>1056</v>
      </c>
      <c r="F1298" t="s">
        <v>778</v>
      </c>
      <c r="G1298">
        <v>942711</v>
      </c>
      <c r="H1298" t="s">
        <v>421</v>
      </c>
      <c r="I1298" s="4">
        <v>900</v>
      </c>
      <c r="J1298" s="4">
        <v>718.09649999999999</v>
      </c>
    </row>
    <row r="1299" spans="1:10" x14ac:dyDescent="0.35">
      <c r="A1299">
        <v>3151272665</v>
      </c>
      <c r="B1299" t="s">
        <v>1050</v>
      </c>
      <c r="C1299" t="s">
        <v>1051</v>
      </c>
      <c r="D1299" t="s">
        <v>1055</v>
      </c>
      <c r="E1299" t="s">
        <v>1056</v>
      </c>
      <c r="F1299" t="s">
        <v>778</v>
      </c>
      <c r="G1299">
        <v>942711</v>
      </c>
      <c r="H1299" t="s">
        <v>421</v>
      </c>
      <c r="I1299" s="4">
        <v>150</v>
      </c>
      <c r="J1299" s="4">
        <v>119.68275</v>
      </c>
    </row>
    <row r="1300" spans="1:10" x14ac:dyDescent="0.35">
      <c r="A1300">
        <v>3151272667</v>
      </c>
      <c r="B1300" t="s">
        <v>1050</v>
      </c>
      <c r="C1300" t="s">
        <v>1051</v>
      </c>
      <c r="D1300" t="s">
        <v>1055</v>
      </c>
      <c r="E1300" t="s">
        <v>1056</v>
      </c>
      <c r="F1300" t="s">
        <v>778</v>
      </c>
      <c r="G1300">
        <v>942711</v>
      </c>
      <c r="H1300" t="s">
        <v>421</v>
      </c>
      <c r="I1300" s="4">
        <v>200</v>
      </c>
      <c r="J1300" s="4">
        <v>159.577</v>
      </c>
    </row>
    <row r="1301" spans="1:10" x14ac:dyDescent="0.35">
      <c r="A1301">
        <v>3151272668</v>
      </c>
      <c r="B1301" t="s">
        <v>1050</v>
      </c>
      <c r="C1301" t="s">
        <v>1051</v>
      </c>
      <c r="D1301" t="s">
        <v>1055</v>
      </c>
      <c r="E1301" t="s">
        <v>1056</v>
      </c>
      <c r="F1301" t="s">
        <v>778</v>
      </c>
      <c r="G1301">
        <v>942711</v>
      </c>
      <c r="H1301" t="s">
        <v>421</v>
      </c>
      <c r="I1301" s="4">
        <v>800</v>
      </c>
      <c r="J1301" s="4">
        <v>638.30799999999999</v>
      </c>
    </row>
    <row r="1302" spans="1:10" x14ac:dyDescent="0.35">
      <c r="A1302">
        <v>3151272669</v>
      </c>
      <c r="B1302" t="s">
        <v>1050</v>
      </c>
      <c r="C1302" t="s">
        <v>1051</v>
      </c>
      <c r="D1302" t="s">
        <v>1055</v>
      </c>
      <c r="E1302" t="s">
        <v>1056</v>
      </c>
      <c r="F1302" t="s">
        <v>778</v>
      </c>
      <c r="G1302">
        <v>942711</v>
      </c>
      <c r="H1302" t="s">
        <v>421</v>
      </c>
      <c r="I1302" s="4">
        <v>500</v>
      </c>
      <c r="J1302" s="4">
        <v>398.9425</v>
      </c>
    </row>
    <row r="1303" spans="1:10" x14ac:dyDescent="0.35">
      <c r="A1303">
        <v>3151272670</v>
      </c>
      <c r="B1303" t="s">
        <v>1050</v>
      </c>
      <c r="C1303" t="s">
        <v>1051</v>
      </c>
      <c r="D1303" t="s">
        <v>1055</v>
      </c>
      <c r="E1303" t="s">
        <v>1056</v>
      </c>
      <c r="F1303" t="s">
        <v>778</v>
      </c>
      <c r="G1303">
        <v>942711</v>
      </c>
      <c r="H1303" t="s">
        <v>421</v>
      </c>
      <c r="I1303" s="4">
        <v>120</v>
      </c>
      <c r="J1303" s="4">
        <v>95.746200000000002</v>
      </c>
    </row>
    <row r="1304" spans="1:10" x14ac:dyDescent="0.35">
      <c r="A1304">
        <v>3151272659</v>
      </c>
      <c r="B1304" t="s">
        <v>1050</v>
      </c>
      <c r="C1304" t="s">
        <v>1057</v>
      </c>
      <c r="D1304" t="s">
        <v>431</v>
      </c>
      <c r="E1304" t="s">
        <v>1058</v>
      </c>
      <c r="F1304" t="s">
        <v>440</v>
      </c>
      <c r="G1304">
        <v>933074</v>
      </c>
      <c r="H1304" t="s">
        <v>433</v>
      </c>
      <c r="I1304" s="4">
        <v>960</v>
      </c>
      <c r="J1304" s="4">
        <v>66.585600000000014</v>
      </c>
    </row>
    <row r="1305" spans="1:10" x14ac:dyDescent="0.35">
      <c r="A1305">
        <v>3151272662</v>
      </c>
      <c r="B1305" t="s">
        <v>1050</v>
      </c>
      <c r="C1305" t="s">
        <v>1057</v>
      </c>
      <c r="D1305" t="s">
        <v>431</v>
      </c>
      <c r="E1305" t="s">
        <v>1058</v>
      </c>
      <c r="F1305" t="s">
        <v>440</v>
      </c>
      <c r="G1305">
        <v>933074</v>
      </c>
      <c r="H1305" t="s">
        <v>433</v>
      </c>
      <c r="I1305" s="4">
        <v>240</v>
      </c>
      <c r="J1305" s="4">
        <v>16.646400000000003</v>
      </c>
    </row>
    <row r="1306" spans="1:10" x14ac:dyDescent="0.35">
      <c r="A1306">
        <v>3151272660</v>
      </c>
      <c r="B1306" t="s">
        <v>1050</v>
      </c>
      <c r="C1306" t="s">
        <v>1057</v>
      </c>
      <c r="D1306" t="s">
        <v>431</v>
      </c>
      <c r="E1306" t="s">
        <v>1058</v>
      </c>
      <c r="F1306" t="s">
        <v>440</v>
      </c>
      <c r="G1306">
        <v>933074</v>
      </c>
      <c r="H1306" t="s">
        <v>433</v>
      </c>
      <c r="I1306" s="4">
        <v>1600</v>
      </c>
      <c r="J1306" s="4">
        <v>110.976</v>
      </c>
    </row>
    <row r="1307" spans="1:10" x14ac:dyDescent="0.35">
      <c r="A1307">
        <v>3151272661</v>
      </c>
      <c r="B1307" t="s">
        <v>1050</v>
      </c>
      <c r="C1307" t="s">
        <v>1057</v>
      </c>
      <c r="D1307" t="s">
        <v>431</v>
      </c>
      <c r="E1307" t="s">
        <v>1058</v>
      </c>
      <c r="F1307" t="s">
        <v>440</v>
      </c>
      <c r="G1307">
        <v>933074</v>
      </c>
      <c r="H1307" t="s">
        <v>433</v>
      </c>
      <c r="I1307" s="4">
        <v>600</v>
      </c>
      <c r="J1307" s="4">
        <v>41.616</v>
      </c>
    </row>
    <row r="1308" spans="1:10" x14ac:dyDescent="0.35">
      <c r="A1308">
        <v>3151272659</v>
      </c>
      <c r="B1308" t="s">
        <v>1050</v>
      </c>
      <c r="C1308" t="s">
        <v>1057</v>
      </c>
      <c r="D1308" t="s">
        <v>524</v>
      </c>
      <c r="E1308" t="s">
        <v>1059</v>
      </c>
      <c r="F1308" t="s">
        <v>440</v>
      </c>
      <c r="G1308">
        <v>949506</v>
      </c>
      <c r="H1308" t="s">
        <v>412</v>
      </c>
      <c r="I1308" s="4">
        <v>1200</v>
      </c>
      <c r="J1308" s="4">
        <v>224.4</v>
      </c>
    </row>
    <row r="1309" spans="1:10" x14ac:dyDescent="0.35">
      <c r="A1309">
        <v>3151272662</v>
      </c>
      <c r="B1309" t="s">
        <v>1050</v>
      </c>
      <c r="C1309" t="s">
        <v>1057</v>
      </c>
      <c r="D1309" t="s">
        <v>524</v>
      </c>
      <c r="E1309" t="s">
        <v>1059</v>
      </c>
      <c r="F1309" t="s">
        <v>440</v>
      </c>
      <c r="G1309">
        <v>949506</v>
      </c>
      <c r="H1309" t="s">
        <v>412</v>
      </c>
      <c r="I1309" s="4">
        <v>180</v>
      </c>
      <c r="J1309" s="4">
        <v>33.660000000000004</v>
      </c>
    </row>
    <row r="1310" spans="1:10" x14ac:dyDescent="0.35">
      <c r="A1310">
        <v>3151272660</v>
      </c>
      <c r="B1310" t="s">
        <v>1050</v>
      </c>
      <c r="C1310" t="s">
        <v>1057</v>
      </c>
      <c r="D1310" t="s">
        <v>524</v>
      </c>
      <c r="E1310" t="s">
        <v>1059</v>
      </c>
      <c r="F1310" t="s">
        <v>440</v>
      </c>
      <c r="G1310">
        <v>949506</v>
      </c>
      <c r="H1310" t="s">
        <v>412</v>
      </c>
      <c r="I1310" s="4">
        <v>1600</v>
      </c>
      <c r="J1310" s="4">
        <v>299.2</v>
      </c>
    </row>
    <row r="1311" spans="1:10" x14ac:dyDescent="0.35">
      <c r="A1311">
        <v>3151272661</v>
      </c>
      <c r="B1311" t="s">
        <v>1050</v>
      </c>
      <c r="C1311" t="s">
        <v>1057</v>
      </c>
      <c r="D1311" t="s">
        <v>524</v>
      </c>
      <c r="E1311" t="s">
        <v>1059</v>
      </c>
      <c r="F1311" t="s">
        <v>440</v>
      </c>
      <c r="G1311">
        <v>949506</v>
      </c>
      <c r="H1311" t="s">
        <v>412</v>
      </c>
      <c r="I1311" s="4">
        <v>600</v>
      </c>
      <c r="J1311" s="4">
        <v>112.2</v>
      </c>
    </row>
    <row r="1312" spans="1:10" x14ac:dyDescent="0.35">
      <c r="A1312">
        <v>3151272659</v>
      </c>
      <c r="B1312" t="s">
        <v>1050</v>
      </c>
      <c r="C1312" t="s">
        <v>1057</v>
      </c>
      <c r="D1312" t="s">
        <v>725</v>
      </c>
      <c r="E1312" t="s">
        <v>1060</v>
      </c>
      <c r="F1312" t="s">
        <v>440</v>
      </c>
      <c r="G1312">
        <v>933047</v>
      </c>
      <c r="H1312" t="s">
        <v>415</v>
      </c>
      <c r="I1312" s="4">
        <v>720</v>
      </c>
      <c r="J1312" s="4">
        <v>466.21439999999996</v>
      </c>
    </row>
    <row r="1313" spans="1:10" x14ac:dyDescent="0.35">
      <c r="A1313">
        <v>3151272662</v>
      </c>
      <c r="B1313" t="s">
        <v>1050</v>
      </c>
      <c r="C1313" t="s">
        <v>1057</v>
      </c>
      <c r="D1313" t="s">
        <v>725</v>
      </c>
      <c r="E1313" t="s">
        <v>1060</v>
      </c>
      <c r="F1313" t="s">
        <v>440</v>
      </c>
      <c r="G1313">
        <v>933047</v>
      </c>
      <c r="H1313" t="s">
        <v>415</v>
      </c>
      <c r="I1313" s="4">
        <v>360</v>
      </c>
      <c r="J1313" s="4">
        <v>233.10719999999998</v>
      </c>
    </row>
    <row r="1314" spans="1:10" x14ac:dyDescent="0.35">
      <c r="A1314">
        <v>3151272660</v>
      </c>
      <c r="B1314" t="s">
        <v>1050</v>
      </c>
      <c r="C1314" t="s">
        <v>1057</v>
      </c>
      <c r="D1314" t="s">
        <v>725</v>
      </c>
      <c r="E1314" t="s">
        <v>1060</v>
      </c>
      <c r="F1314" t="s">
        <v>440</v>
      </c>
      <c r="G1314">
        <v>933047</v>
      </c>
      <c r="H1314" t="s">
        <v>415</v>
      </c>
      <c r="I1314" s="4">
        <v>1600</v>
      </c>
      <c r="J1314" s="4">
        <v>1036.0319999999999</v>
      </c>
    </row>
    <row r="1315" spans="1:10" x14ac:dyDescent="0.35">
      <c r="A1315">
        <v>3151272661</v>
      </c>
      <c r="B1315" t="s">
        <v>1050</v>
      </c>
      <c r="C1315" t="s">
        <v>1057</v>
      </c>
      <c r="D1315" t="s">
        <v>725</v>
      </c>
      <c r="E1315" t="s">
        <v>1060</v>
      </c>
      <c r="F1315" t="s">
        <v>440</v>
      </c>
      <c r="G1315">
        <v>933047</v>
      </c>
      <c r="H1315" t="s">
        <v>415</v>
      </c>
      <c r="I1315" s="4">
        <v>600</v>
      </c>
      <c r="J1315" s="4">
        <v>388.512</v>
      </c>
    </row>
    <row r="1316" spans="1:10" x14ac:dyDescent="0.35">
      <c r="A1316">
        <v>3151272659</v>
      </c>
      <c r="B1316" t="s">
        <v>1050</v>
      </c>
      <c r="C1316" t="s">
        <v>1057</v>
      </c>
      <c r="D1316" t="s">
        <v>1055</v>
      </c>
      <c r="E1316" t="s">
        <v>1061</v>
      </c>
      <c r="F1316" t="s">
        <v>440</v>
      </c>
      <c r="G1316">
        <v>933059</v>
      </c>
      <c r="H1316" t="s">
        <v>421</v>
      </c>
      <c r="I1316" s="4">
        <v>240</v>
      </c>
      <c r="J1316" s="4">
        <v>208.9008</v>
      </c>
    </row>
    <row r="1317" spans="1:10" x14ac:dyDescent="0.35">
      <c r="A1317">
        <v>3151272662</v>
      </c>
      <c r="B1317" t="s">
        <v>1050</v>
      </c>
      <c r="C1317" t="s">
        <v>1057</v>
      </c>
      <c r="D1317" t="s">
        <v>1055</v>
      </c>
      <c r="E1317" t="s">
        <v>1061</v>
      </c>
      <c r="F1317" t="s">
        <v>440</v>
      </c>
      <c r="G1317">
        <v>933059</v>
      </c>
      <c r="H1317" t="s">
        <v>421</v>
      </c>
      <c r="I1317" s="4">
        <v>120</v>
      </c>
      <c r="J1317" s="4">
        <v>104.4504</v>
      </c>
    </row>
    <row r="1318" spans="1:10" x14ac:dyDescent="0.35">
      <c r="A1318">
        <v>3151272660</v>
      </c>
      <c r="B1318" t="s">
        <v>1050</v>
      </c>
      <c r="C1318" t="s">
        <v>1057</v>
      </c>
      <c r="D1318" t="s">
        <v>1055</v>
      </c>
      <c r="E1318" t="s">
        <v>1061</v>
      </c>
      <c r="F1318" t="s">
        <v>440</v>
      </c>
      <c r="G1318">
        <v>933059</v>
      </c>
      <c r="H1318" t="s">
        <v>421</v>
      </c>
      <c r="I1318" s="4">
        <v>1200</v>
      </c>
      <c r="J1318" s="4">
        <v>1044.5040000000001</v>
      </c>
    </row>
    <row r="1319" spans="1:10" x14ac:dyDescent="0.35">
      <c r="A1319">
        <v>3151272661</v>
      </c>
      <c r="B1319" t="s">
        <v>1050</v>
      </c>
      <c r="C1319" t="s">
        <v>1057</v>
      </c>
      <c r="D1319" t="s">
        <v>1055</v>
      </c>
      <c r="E1319" t="s">
        <v>1061</v>
      </c>
      <c r="F1319" t="s">
        <v>440</v>
      </c>
      <c r="G1319">
        <v>933059</v>
      </c>
      <c r="H1319" t="s">
        <v>421</v>
      </c>
      <c r="I1319" s="4">
        <v>150</v>
      </c>
      <c r="J1319" s="4">
        <v>130.56300000000002</v>
      </c>
    </row>
    <row r="1320" spans="1:10" x14ac:dyDescent="0.35">
      <c r="A1320">
        <v>3151272640</v>
      </c>
      <c r="B1320" t="s">
        <v>1050</v>
      </c>
      <c r="C1320" t="s">
        <v>1062</v>
      </c>
      <c r="D1320" t="s">
        <v>431</v>
      </c>
      <c r="E1320" t="s">
        <v>1063</v>
      </c>
      <c r="F1320" t="s">
        <v>828</v>
      </c>
      <c r="G1320">
        <v>933316</v>
      </c>
      <c r="H1320" t="s">
        <v>433</v>
      </c>
      <c r="I1320" s="4">
        <v>800</v>
      </c>
      <c r="J1320" s="4">
        <v>60.288800000000002</v>
      </c>
    </row>
    <row r="1321" spans="1:10" x14ac:dyDescent="0.35">
      <c r="A1321">
        <v>3151272641</v>
      </c>
      <c r="B1321" t="s">
        <v>1050</v>
      </c>
      <c r="C1321" t="s">
        <v>1062</v>
      </c>
      <c r="D1321" t="s">
        <v>431</v>
      </c>
      <c r="E1321" t="s">
        <v>1063</v>
      </c>
      <c r="F1321" t="s">
        <v>828</v>
      </c>
      <c r="G1321">
        <v>933316</v>
      </c>
      <c r="H1321" t="s">
        <v>433</v>
      </c>
      <c r="I1321" s="4">
        <v>3200</v>
      </c>
      <c r="J1321" s="4">
        <v>241.15520000000001</v>
      </c>
    </row>
    <row r="1322" spans="1:10" x14ac:dyDescent="0.35">
      <c r="A1322">
        <v>3151272642</v>
      </c>
      <c r="B1322" t="s">
        <v>1050</v>
      </c>
      <c r="C1322" t="s">
        <v>1062</v>
      </c>
      <c r="D1322" t="s">
        <v>431</v>
      </c>
      <c r="E1322" t="s">
        <v>1063</v>
      </c>
      <c r="F1322" t="s">
        <v>828</v>
      </c>
      <c r="G1322">
        <v>933316</v>
      </c>
      <c r="H1322" t="s">
        <v>433</v>
      </c>
      <c r="I1322" s="4">
        <v>2000</v>
      </c>
      <c r="J1322" s="4">
        <v>150.72200000000001</v>
      </c>
    </row>
    <row r="1323" spans="1:10" x14ac:dyDescent="0.35">
      <c r="A1323">
        <v>3151272643</v>
      </c>
      <c r="B1323" t="s">
        <v>1050</v>
      </c>
      <c r="C1323" t="s">
        <v>1062</v>
      </c>
      <c r="D1323" t="s">
        <v>431</v>
      </c>
      <c r="E1323" t="s">
        <v>1063</v>
      </c>
      <c r="F1323" t="s">
        <v>828</v>
      </c>
      <c r="G1323">
        <v>933316</v>
      </c>
      <c r="H1323" t="s">
        <v>433</v>
      </c>
      <c r="I1323" s="4">
        <v>480</v>
      </c>
      <c r="J1323" s="4">
        <v>36.173279999999998</v>
      </c>
    </row>
    <row r="1324" spans="1:10" x14ac:dyDescent="0.35">
      <c r="A1324">
        <v>3151272492</v>
      </c>
      <c r="B1324" t="s">
        <v>1050</v>
      </c>
      <c r="C1324" t="s">
        <v>1062</v>
      </c>
      <c r="D1324" t="s">
        <v>431</v>
      </c>
      <c r="E1324" t="s">
        <v>1063</v>
      </c>
      <c r="F1324" t="s">
        <v>828</v>
      </c>
      <c r="G1324">
        <v>933316</v>
      </c>
      <c r="H1324" t="s">
        <v>433</v>
      </c>
      <c r="I1324" s="4">
        <v>800</v>
      </c>
      <c r="J1324" s="4">
        <v>60.288800000000002</v>
      </c>
    </row>
    <row r="1325" spans="1:10" x14ac:dyDescent="0.35">
      <c r="A1325">
        <v>3151272493</v>
      </c>
      <c r="B1325" t="s">
        <v>1050</v>
      </c>
      <c r="C1325" t="s">
        <v>1062</v>
      </c>
      <c r="D1325" t="s">
        <v>431</v>
      </c>
      <c r="E1325" t="s">
        <v>1063</v>
      </c>
      <c r="F1325" t="s">
        <v>828</v>
      </c>
      <c r="G1325">
        <v>933316</v>
      </c>
      <c r="H1325" t="s">
        <v>433</v>
      </c>
      <c r="I1325" s="4">
        <v>240</v>
      </c>
      <c r="J1325" s="4">
        <v>18.086639999999999</v>
      </c>
    </row>
    <row r="1326" spans="1:10" x14ac:dyDescent="0.35">
      <c r="A1326">
        <v>3151272640</v>
      </c>
      <c r="B1326" t="s">
        <v>1050</v>
      </c>
      <c r="C1326" t="s">
        <v>1062</v>
      </c>
      <c r="D1326" t="s">
        <v>524</v>
      </c>
      <c r="E1326" t="s">
        <v>1064</v>
      </c>
      <c r="F1326" t="s">
        <v>828</v>
      </c>
      <c r="G1326">
        <v>949082</v>
      </c>
      <c r="H1326" t="s">
        <v>412</v>
      </c>
      <c r="I1326" s="4">
        <v>2000</v>
      </c>
      <c r="J1326" s="4">
        <v>405</v>
      </c>
    </row>
    <row r="1327" spans="1:10" x14ac:dyDescent="0.35">
      <c r="A1327">
        <v>3151272641</v>
      </c>
      <c r="B1327" t="s">
        <v>1050</v>
      </c>
      <c r="C1327" t="s">
        <v>1062</v>
      </c>
      <c r="D1327" t="s">
        <v>524</v>
      </c>
      <c r="E1327" t="s">
        <v>1064</v>
      </c>
      <c r="F1327" t="s">
        <v>828</v>
      </c>
      <c r="G1327">
        <v>949082</v>
      </c>
      <c r="H1327" t="s">
        <v>412</v>
      </c>
      <c r="I1327" s="4">
        <v>3200</v>
      </c>
      <c r="J1327" s="4">
        <v>648</v>
      </c>
    </row>
    <row r="1328" spans="1:10" x14ac:dyDescent="0.35">
      <c r="A1328">
        <v>3151272642</v>
      </c>
      <c r="B1328" t="s">
        <v>1050</v>
      </c>
      <c r="C1328" t="s">
        <v>1062</v>
      </c>
      <c r="D1328" t="s">
        <v>524</v>
      </c>
      <c r="E1328" t="s">
        <v>1064</v>
      </c>
      <c r="F1328" t="s">
        <v>828</v>
      </c>
      <c r="G1328">
        <v>949082</v>
      </c>
      <c r="H1328" t="s">
        <v>412</v>
      </c>
      <c r="I1328" s="4">
        <v>1500</v>
      </c>
      <c r="J1328" s="4">
        <v>303.75</v>
      </c>
    </row>
    <row r="1329" spans="1:10" x14ac:dyDescent="0.35">
      <c r="A1329">
        <v>3151272643</v>
      </c>
      <c r="B1329" t="s">
        <v>1050</v>
      </c>
      <c r="C1329" t="s">
        <v>1062</v>
      </c>
      <c r="D1329" t="s">
        <v>524</v>
      </c>
      <c r="E1329" t="s">
        <v>1064</v>
      </c>
      <c r="F1329" t="s">
        <v>828</v>
      </c>
      <c r="G1329">
        <v>949082</v>
      </c>
      <c r="H1329" t="s">
        <v>412</v>
      </c>
      <c r="I1329" s="4">
        <v>360</v>
      </c>
      <c r="J1329" s="4">
        <v>72.900000000000006</v>
      </c>
    </row>
    <row r="1330" spans="1:10" x14ac:dyDescent="0.35">
      <c r="A1330">
        <v>3151272492</v>
      </c>
      <c r="B1330" t="s">
        <v>1050</v>
      </c>
      <c r="C1330" t="s">
        <v>1062</v>
      </c>
      <c r="D1330" t="s">
        <v>524</v>
      </c>
      <c r="E1330" t="s">
        <v>1064</v>
      </c>
      <c r="F1330" t="s">
        <v>828</v>
      </c>
      <c r="G1330">
        <v>949082</v>
      </c>
      <c r="H1330" t="s">
        <v>412</v>
      </c>
      <c r="I1330" s="4">
        <v>2000</v>
      </c>
      <c r="J1330" s="4">
        <v>405</v>
      </c>
    </row>
    <row r="1331" spans="1:10" x14ac:dyDescent="0.35">
      <c r="A1331">
        <v>3151272493</v>
      </c>
      <c r="B1331" t="s">
        <v>1050</v>
      </c>
      <c r="C1331" t="s">
        <v>1062</v>
      </c>
      <c r="D1331" t="s">
        <v>524</v>
      </c>
      <c r="E1331" t="s">
        <v>1064</v>
      </c>
      <c r="F1331" t="s">
        <v>828</v>
      </c>
      <c r="G1331">
        <v>949082</v>
      </c>
      <c r="H1331" t="s">
        <v>412</v>
      </c>
      <c r="I1331" s="4">
        <v>360</v>
      </c>
      <c r="J1331" s="4">
        <v>72.900000000000006</v>
      </c>
    </row>
    <row r="1332" spans="1:10" x14ac:dyDescent="0.35">
      <c r="A1332">
        <v>3151272494</v>
      </c>
      <c r="B1332" t="s">
        <v>1050</v>
      </c>
      <c r="C1332" t="s">
        <v>1062</v>
      </c>
      <c r="D1332" t="s">
        <v>524</v>
      </c>
      <c r="E1332" t="s">
        <v>1064</v>
      </c>
      <c r="F1332" t="s">
        <v>828</v>
      </c>
      <c r="G1332">
        <v>949082</v>
      </c>
      <c r="H1332" t="s">
        <v>412</v>
      </c>
      <c r="I1332" s="4">
        <v>1600</v>
      </c>
      <c r="J1332" s="4">
        <v>324</v>
      </c>
    </row>
    <row r="1333" spans="1:10" x14ac:dyDescent="0.35">
      <c r="A1333">
        <v>3151272495</v>
      </c>
      <c r="B1333" t="s">
        <v>1050</v>
      </c>
      <c r="C1333" t="s">
        <v>1062</v>
      </c>
      <c r="D1333" t="s">
        <v>524</v>
      </c>
      <c r="E1333" t="s">
        <v>1064</v>
      </c>
      <c r="F1333" t="s">
        <v>828</v>
      </c>
      <c r="G1333">
        <v>949082</v>
      </c>
      <c r="H1333" t="s">
        <v>412</v>
      </c>
      <c r="I1333" s="4">
        <v>1200</v>
      </c>
      <c r="J1333" s="4">
        <v>243</v>
      </c>
    </row>
    <row r="1334" spans="1:10" x14ac:dyDescent="0.35">
      <c r="A1334">
        <v>3151272640</v>
      </c>
      <c r="B1334" t="s">
        <v>1050</v>
      </c>
      <c r="C1334" t="s">
        <v>1062</v>
      </c>
      <c r="D1334" t="s">
        <v>725</v>
      </c>
      <c r="E1334" t="s">
        <v>1065</v>
      </c>
      <c r="F1334" t="s">
        <v>828</v>
      </c>
      <c r="G1334">
        <v>928709</v>
      </c>
      <c r="H1334" t="s">
        <v>415</v>
      </c>
      <c r="I1334" s="4">
        <v>800</v>
      </c>
      <c r="J1334" s="4">
        <v>604.35199999999998</v>
      </c>
    </row>
    <row r="1335" spans="1:10" x14ac:dyDescent="0.35">
      <c r="A1335">
        <v>3151272641</v>
      </c>
      <c r="B1335" t="s">
        <v>1050</v>
      </c>
      <c r="C1335" t="s">
        <v>1062</v>
      </c>
      <c r="D1335" t="s">
        <v>725</v>
      </c>
      <c r="E1335" t="s">
        <v>1065</v>
      </c>
      <c r="F1335" t="s">
        <v>828</v>
      </c>
      <c r="G1335">
        <v>928709</v>
      </c>
      <c r="H1335" t="s">
        <v>415</v>
      </c>
      <c r="I1335" s="4">
        <v>1600</v>
      </c>
      <c r="J1335" s="4">
        <v>1208.704</v>
      </c>
    </row>
    <row r="1336" spans="1:10" x14ac:dyDescent="0.35">
      <c r="A1336">
        <v>3151272642</v>
      </c>
      <c r="B1336" t="s">
        <v>1050</v>
      </c>
      <c r="C1336" t="s">
        <v>1062</v>
      </c>
      <c r="D1336" t="s">
        <v>725</v>
      </c>
      <c r="E1336" t="s">
        <v>1065</v>
      </c>
      <c r="F1336" t="s">
        <v>828</v>
      </c>
      <c r="G1336">
        <v>928709</v>
      </c>
      <c r="H1336" t="s">
        <v>415</v>
      </c>
      <c r="I1336" s="4">
        <v>1000</v>
      </c>
      <c r="J1336" s="4">
        <v>755.44</v>
      </c>
    </row>
    <row r="1337" spans="1:10" x14ac:dyDescent="0.35">
      <c r="A1337">
        <v>3151272643</v>
      </c>
      <c r="B1337" t="s">
        <v>1050</v>
      </c>
      <c r="C1337" t="s">
        <v>1062</v>
      </c>
      <c r="D1337" t="s">
        <v>725</v>
      </c>
      <c r="E1337" t="s">
        <v>1065</v>
      </c>
      <c r="F1337" t="s">
        <v>828</v>
      </c>
      <c r="G1337">
        <v>928709</v>
      </c>
      <c r="H1337" t="s">
        <v>415</v>
      </c>
      <c r="I1337" s="4">
        <v>360</v>
      </c>
      <c r="J1337" s="4">
        <v>271.95840000000004</v>
      </c>
    </row>
    <row r="1338" spans="1:10" x14ac:dyDescent="0.35">
      <c r="A1338">
        <v>3151272492</v>
      </c>
      <c r="B1338" t="s">
        <v>1050</v>
      </c>
      <c r="C1338" t="s">
        <v>1062</v>
      </c>
      <c r="D1338" t="s">
        <v>725</v>
      </c>
      <c r="E1338" t="s">
        <v>1065</v>
      </c>
      <c r="F1338" t="s">
        <v>828</v>
      </c>
      <c r="G1338">
        <v>928709</v>
      </c>
      <c r="H1338" t="s">
        <v>415</v>
      </c>
      <c r="I1338" s="4">
        <v>800</v>
      </c>
      <c r="J1338" s="4">
        <v>604.35199999999998</v>
      </c>
    </row>
    <row r="1339" spans="1:10" x14ac:dyDescent="0.35">
      <c r="A1339">
        <v>3151272493</v>
      </c>
      <c r="B1339" t="s">
        <v>1050</v>
      </c>
      <c r="C1339" t="s">
        <v>1062</v>
      </c>
      <c r="D1339" t="s">
        <v>725</v>
      </c>
      <c r="E1339" t="s">
        <v>1065</v>
      </c>
      <c r="F1339" t="s">
        <v>828</v>
      </c>
      <c r="G1339">
        <v>928709</v>
      </c>
      <c r="H1339" t="s">
        <v>415</v>
      </c>
      <c r="I1339" s="4">
        <v>360</v>
      </c>
      <c r="J1339" s="4">
        <v>271.95840000000004</v>
      </c>
    </row>
    <row r="1340" spans="1:10" x14ac:dyDescent="0.35">
      <c r="A1340">
        <v>3151272494</v>
      </c>
      <c r="B1340" t="s">
        <v>1050</v>
      </c>
      <c r="C1340" t="s">
        <v>1062</v>
      </c>
      <c r="D1340" t="s">
        <v>725</v>
      </c>
      <c r="E1340" t="s">
        <v>1065</v>
      </c>
      <c r="F1340" t="s">
        <v>828</v>
      </c>
      <c r="G1340">
        <v>928709</v>
      </c>
      <c r="H1340" t="s">
        <v>415</v>
      </c>
      <c r="I1340" s="4">
        <v>1600</v>
      </c>
      <c r="J1340" s="4">
        <v>1208.704</v>
      </c>
    </row>
    <row r="1341" spans="1:10" x14ac:dyDescent="0.35">
      <c r="A1341">
        <v>3151272495</v>
      </c>
      <c r="B1341" t="s">
        <v>1050</v>
      </c>
      <c r="C1341" t="s">
        <v>1062</v>
      </c>
      <c r="D1341" t="s">
        <v>725</v>
      </c>
      <c r="E1341" t="s">
        <v>1065</v>
      </c>
      <c r="F1341" t="s">
        <v>828</v>
      </c>
      <c r="G1341">
        <v>928709</v>
      </c>
      <c r="H1341" t="s">
        <v>415</v>
      </c>
      <c r="I1341" s="4">
        <v>1200</v>
      </c>
      <c r="J1341" s="4">
        <v>906.52800000000013</v>
      </c>
    </row>
    <row r="1342" spans="1:10" x14ac:dyDescent="0.35">
      <c r="A1342">
        <v>3151272640</v>
      </c>
      <c r="B1342" t="s">
        <v>1050</v>
      </c>
      <c r="C1342" t="s">
        <v>1062</v>
      </c>
      <c r="D1342" t="s">
        <v>1055</v>
      </c>
      <c r="E1342" t="s">
        <v>1066</v>
      </c>
      <c r="F1342" t="s">
        <v>828</v>
      </c>
      <c r="G1342">
        <v>928747</v>
      </c>
      <c r="H1342" t="s">
        <v>421</v>
      </c>
      <c r="I1342" s="4">
        <v>200</v>
      </c>
      <c r="J1342" s="4">
        <v>203.09800000000001</v>
      </c>
    </row>
    <row r="1343" spans="1:10" x14ac:dyDescent="0.35">
      <c r="A1343">
        <v>3151272641</v>
      </c>
      <c r="B1343" t="s">
        <v>1050</v>
      </c>
      <c r="C1343" t="s">
        <v>1062</v>
      </c>
      <c r="D1343" t="s">
        <v>1055</v>
      </c>
      <c r="E1343" t="s">
        <v>1066</v>
      </c>
      <c r="F1343" t="s">
        <v>828</v>
      </c>
      <c r="G1343">
        <v>928747</v>
      </c>
      <c r="H1343" t="s">
        <v>421</v>
      </c>
      <c r="I1343" s="4">
        <v>800</v>
      </c>
      <c r="J1343" s="4">
        <v>812.39200000000005</v>
      </c>
    </row>
    <row r="1344" spans="1:10" x14ac:dyDescent="0.35">
      <c r="A1344">
        <v>3151272642</v>
      </c>
      <c r="B1344" t="s">
        <v>1050</v>
      </c>
      <c r="C1344" t="s">
        <v>1062</v>
      </c>
      <c r="D1344" t="s">
        <v>1055</v>
      </c>
      <c r="E1344" t="s">
        <v>1066</v>
      </c>
      <c r="F1344" t="s">
        <v>828</v>
      </c>
      <c r="G1344">
        <v>928747</v>
      </c>
      <c r="H1344" t="s">
        <v>421</v>
      </c>
      <c r="I1344" s="4">
        <v>500</v>
      </c>
      <c r="J1344" s="4">
        <v>507.745</v>
      </c>
    </row>
    <row r="1345" spans="1:10" x14ac:dyDescent="0.35">
      <c r="A1345">
        <v>3151272643</v>
      </c>
      <c r="B1345" t="s">
        <v>1050</v>
      </c>
      <c r="C1345" t="s">
        <v>1062</v>
      </c>
      <c r="D1345" t="s">
        <v>1055</v>
      </c>
      <c r="E1345" t="s">
        <v>1066</v>
      </c>
      <c r="F1345" t="s">
        <v>828</v>
      </c>
      <c r="G1345">
        <v>928747</v>
      </c>
      <c r="H1345" t="s">
        <v>421</v>
      </c>
      <c r="I1345" s="4">
        <v>120</v>
      </c>
      <c r="J1345" s="4">
        <v>121.8588</v>
      </c>
    </row>
    <row r="1346" spans="1:10" x14ac:dyDescent="0.35">
      <c r="A1346">
        <v>3151272492</v>
      </c>
      <c r="B1346" t="s">
        <v>1050</v>
      </c>
      <c r="C1346" t="s">
        <v>1062</v>
      </c>
      <c r="D1346" t="s">
        <v>1055</v>
      </c>
      <c r="E1346" t="s">
        <v>1066</v>
      </c>
      <c r="F1346" t="s">
        <v>828</v>
      </c>
      <c r="G1346">
        <v>928747</v>
      </c>
      <c r="H1346" t="s">
        <v>421</v>
      </c>
      <c r="I1346" s="4">
        <v>200</v>
      </c>
      <c r="J1346" s="4">
        <v>203.09800000000001</v>
      </c>
    </row>
    <row r="1347" spans="1:10" x14ac:dyDescent="0.35">
      <c r="A1347">
        <v>3151272493</v>
      </c>
      <c r="B1347" t="s">
        <v>1050</v>
      </c>
      <c r="C1347" t="s">
        <v>1062</v>
      </c>
      <c r="D1347" t="s">
        <v>1055</v>
      </c>
      <c r="E1347" t="s">
        <v>1066</v>
      </c>
      <c r="F1347" t="s">
        <v>828</v>
      </c>
      <c r="G1347">
        <v>928747</v>
      </c>
      <c r="H1347" t="s">
        <v>421</v>
      </c>
      <c r="I1347" s="4">
        <v>120</v>
      </c>
      <c r="J1347" s="4">
        <v>121.8588</v>
      </c>
    </row>
    <row r="1348" spans="1:10" x14ac:dyDescent="0.35">
      <c r="A1348">
        <v>3151272494</v>
      </c>
      <c r="B1348" t="s">
        <v>1050</v>
      </c>
      <c r="C1348" t="s">
        <v>1062</v>
      </c>
      <c r="D1348" t="s">
        <v>1055</v>
      </c>
      <c r="E1348" t="s">
        <v>1066</v>
      </c>
      <c r="F1348" t="s">
        <v>828</v>
      </c>
      <c r="G1348">
        <v>928747</v>
      </c>
      <c r="H1348" t="s">
        <v>421</v>
      </c>
      <c r="I1348" s="4">
        <v>1600</v>
      </c>
      <c r="J1348" s="4">
        <v>1624.7840000000001</v>
      </c>
    </row>
    <row r="1349" spans="1:10" x14ac:dyDescent="0.35">
      <c r="A1349">
        <v>3151272495</v>
      </c>
      <c r="B1349" t="s">
        <v>1050</v>
      </c>
      <c r="C1349" t="s">
        <v>1062</v>
      </c>
      <c r="D1349" t="s">
        <v>1055</v>
      </c>
      <c r="E1349" t="s">
        <v>1066</v>
      </c>
      <c r="F1349" t="s">
        <v>828</v>
      </c>
      <c r="G1349">
        <v>928747</v>
      </c>
      <c r="H1349" t="s">
        <v>421</v>
      </c>
      <c r="I1349" s="4">
        <v>1200</v>
      </c>
      <c r="J1349" s="4">
        <v>1218.588</v>
      </c>
    </row>
    <row r="1350" spans="1:10" x14ac:dyDescent="0.35">
      <c r="A1350">
        <v>3151272602</v>
      </c>
      <c r="B1350" t="s">
        <v>1050</v>
      </c>
      <c r="C1350" t="s">
        <v>1067</v>
      </c>
      <c r="D1350" t="s">
        <v>524</v>
      </c>
      <c r="E1350" t="s">
        <v>1068</v>
      </c>
      <c r="F1350" t="s">
        <v>420</v>
      </c>
      <c r="G1350">
        <v>949509</v>
      </c>
      <c r="H1350" t="s">
        <v>412</v>
      </c>
      <c r="I1350" s="4">
        <v>400</v>
      </c>
      <c r="J1350" s="4">
        <v>61.079999999999991</v>
      </c>
    </row>
    <row r="1351" spans="1:10" x14ac:dyDescent="0.35">
      <c r="A1351">
        <v>3151272603</v>
      </c>
      <c r="B1351" t="s">
        <v>1050</v>
      </c>
      <c r="C1351" t="s">
        <v>1067</v>
      </c>
      <c r="D1351" t="s">
        <v>524</v>
      </c>
      <c r="E1351" t="s">
        <v>1068</v>
      </c>
      <c r="F1351" t="s">
        <v>420</v>
      </c>
      <c r="G1351">
        <v>949509</v>
      </c>
      <c r="H1351" t="s">
        <v>412</v>
      </c>
      <c r="I1351" s="4">
        <v>180</v>
      </c>
      <c r="J1351" s="4">
        <v>27.485999999999997</v>
      </c>
    </row>
    <row r="1352" spans="1:10" x14ac:dyDescent="0.35">
      <c r="A1352">
        <v>3151272604</v>
      </c>
      <c r="B1352" t="s">
        <v>1050</v>
      </c>
      <c r="C1352" t="s">
        <v>1067</v>
      </c>
      <c r="D1352" t="s">
        <v>524</v>
      </c>
      <c r="E1352" t="s">
        <v>1068</v>
      </c>
      <c r="F1352" t="s">
        <v>420</v>
      </c>
      <c r="G1352">
        <v>949509</v>
      </c>
      <c r="H1352" t="s">
        <v>412</v>
      </c>
      <c r="I1352" s="4">
        <v>300</v>
      </c>
      <c r="J1352" s="4">
        <v>45.81</v>
      </c>
    </row>
    <row r="1353" spans="1:10" x14ac:dyDescent="0.35">
      <c r="A1353">
        <v>3151272605</v>
      </c>
      <c r="B1353" t="s">
        <v>1050</v>
      </c>
      <c r="C1353" t="s">
        <v>1067</v>
      </c>
      <c r="D1353" t="s">
        <v>524</v>
      </c>
      <c r="E1353" t="s">
        <v>1068</v>
      </c>
      <c r="F1353" t="s">
        <v>420</v>
      </c>
      <c r="G1353">
        <v>949509</v>
      </c>
      <c r="H1353" t="s">
        <v>412</v>
      </c>
      <c r="I1353" s="4">
        <v>1000</v>
      </c>
      <c r="J1353" s="4">
        <v>152.70000000000002</v>
      </c>
    </row>
    <row r="1354" spans="1:10" x14ac:dyDescent="0.35">
      <c r="A1354">
        <v>3151272602</v>
      </c>
      <c r="B1354" t="s">
        <v>1050</v>
      </c>
      <c r="C1354" t="s">
        <v>1067</v>
      </c>
      <c r="D1354" t="s">
        <v>725</v>
      </c>
      <c r="E1354" t="s">
        <v>1069</v>
      </c>
      <c r="F1354" t="s">
        <v>420</v>
      </c>
      <c r="G1354">
        <v>920603</v>
      </c>
      <c r="H1354" t="s">
        <v>415</v>
      </c>
      <c r="I1354" s="4">
        <v>800</v>
      </c>
      <c r="J1354" s="4">
        <v>423.04640000000001</v>
      </c>
    </row>
    <row r="1355" spans="1:10" x14ac:dyDescent="0.35">
      <c r="A1355">
        <v>3151272603</v>
      </c>
      <c r="B1355" t="s">
        <v>1050</v>
      </c>
      <c r="C1355" t="s">
        <v>1067</v>
      </c>
      <c r="D1355" t="s">
        <v>725</v>
      </c>
      <c r="E1355" t="s">
        <v>1069</v>
      </c>
      <c r="F1355" t="s">
        <v>420</v>
      </c>
      <c r="G1355">
        <v>920603</v>
      </c>
      <c r="H1355" t="s">
        <v>415</v>
      </c>
      <c r="I1355" s="4">
        <v>360</v>
      </c>
      <c r="J1355" s="4">
        <v>190.37088</v>
      </c>
    </row>
    <row r="1356" spans="1:10" x14ac:dyDescent="0.35">
      <c r="A1356">
        <v>3151272604</v>
      </c>
      <c r="B1356" t="s">
        <v>1050</v>
      </c>
      <c r="C1356" t="s">
        <v>1067</v>
      </c>
      <c r="D1356" t="s">
        <v>725</v>
      </c>
      <c r="E1356" t="s">
        <v>1069</v>
      </c>
      <c r="F1356" t="s">
        <v>420</v>
      </c>
      <c r="G1356">
        <v>920603</v>
      </c>
      <c r="H1356" t="s">
        <v>415</v>
      </c>
      <c r="I1356" s="4">
        <v>600</v>
      </c>
      <c r="J1356" s="4">
        <v>317.28480000000002</v>
      </c>
    </row>
    <row r="1357" spans="1:10" x14ac:dyDescent="0.35">
      <c r="A1357">
        <v>3151272605</v>
      </c>
      <c r="B1357" t="s">
        <v>1050</v>
      </c>
      <c r="C1357" t="s">
        <v>1067</v>
      </c>
      <c r="D1357" t="s">
        <v>725</v>
      </c>
      <c r="E1357" t="s">
        <v>1069</v>
      </c>
      <c r="F1357" t="s">
        <v>420</v>
      </c>
      <c r="G1357">
        <v>920603</v>
      </c>
      <c r="H1357" t="s">
        <v>415</v>
      </c>
      <c r="I1357" s="4">
        <v>600</v>
      </c>
      <c r="J1357" s="4">
        <v>317.28480000000002</v>
      </c>
    </row>
    <row r="1358" spans="1:10" x14ac:dyDescent="0.35">
      <c r="A1358">
        <v>3151272602</v>
      </c>
      <c r="B1358" t="s">
        <v>1050</v>
      </c>
      <c r="C1358" t="s">
        <v>1067</v>
      </c>
      <c r="D1358" t="s">
        <v>1070</v>
      </c>
      <c r="E1358" t="s">
        <v>1071</v>
      </c>
      <c r="F1358" t="s">
        <v>420</v>
      </c>
      <c r="G1358">
        <v>926416</v>
      </c>
      <c r="H1358" t="s">
        <v>421</v>
      </c>
      <c r="I1358" s="4">
        <v>400</v>
      </c>
      <c r="J1358" s="4">
        <v>274.75279999999998</v>
      </c>
    </row>
    <row r="1359" spans="1:10" x14ac:dyDescent="0.35">
      <c r="A1359">
        <v>3151272603</v>
      </c>
      <c r="B1359" t="s">
        <v>1050</v>
      </c>
      <c r="C1359" t="s">
        <v>1067</v>
      </c>
      <c r="D1359" t="s">
        <v>1070</v>
      </c>
      <c r="E1359" t="s">
        <v>1071</v>
      </c>
      <c r="F1359" t="s">
        <v>420</v>
      </c>
      <c r="G1359">
        <v>926416</v>
      </c>
      <c r="H1359" t="s">
        <v>421</v>
      </c>
      <c r="I1359" s="4">
        <v>120</v>
      </c>
      <c r="J1359" s="4">
        <v>82.425839999999994</v>
      </c>
    </row>
    <row r="1360" spans="1:10" x14ac:dyDescent="0.35">
      <c r="A1360">
        <v>3151272604</v>
      </c>
      <c r="B1360" t="s">
        <v>1050</v>
      </c>
      <c r="C1360" t="s">
        <v>1067</v>
      </c>
      <c r="D1360" t="s">
        <v>1070</v>
      </c>
      <c r="E1360" t="s">
        <v>1071</v>
      </c>
      <c r="F1360" t="s">
        <v>420</v>
      </c>
      <c r="G1360">
        <v>926416</v>
      </c>
      <c r="H1360" t="s">
        <v>421</v>
      </c>
      <c r="I1360" s="4">
        <v>300</v>
      </c>
      <c r="J1360" s="4">
        <v>206.06459999999998</v>
      </c>
    </row>
    <row r="1361" spans="1:10" x14ac:dyDescent="0.35">
      <c r="A1361">
        <v>3151272605</v>
      </c>
      <c r="B1361" t="s">
        <v>1050</v>
      </c>
      <c r="C1361" t="s">
        <v>1067</v>
      </c>
      <c r="D1361" t="s">
        <v>1070</v>
      </c>
      <c r="E1361" t="s">
        <v>1071</v>
      </c>
      <c r="F1361" t="s">
        <v>420</v>
      </c>
      <c r="G1361">
        <v>926416</v>
      </c>
      <c r="H1361" t="s">
        <v>421</v>
      </c>
      <c r="I1361" s="4">
        <v>200</v>
      </c>
      <c r="J1361" s="4">
        <v>137.37639999999999</v>
      </c>
    </row>
    <row r="1362" spans="1:10" x14ac:dyDescent="0.35">
      <c r="A1362">
        <v>3151272354</v>
      </c>
      <c r="B1362" t="s">
        <v>1050</v>
      </c>
      <c r="C1362" t="s">
        <v>1072</v>
      </c>
      <c r="D1362" t="s">
        <v>431</v>
      </c>
      <c r="E1362" t="s">
        <v>1073</v>
      </c>
      <c r="F1362" t="s">
        <v>1074</v>
      </c>
      <c r="G1362">
        <v>949149</v>
      </c>
      <c r="H1362" t="s">
        <v>433</v>
      </c>
      <c r="I1362" s="4">
        <v>800</v>
      </c>
      <c r="J1362" s="4">
        <v>60.112000000000002</v>
      </c>
    </row>
    <row r="1363" spans="1:10" x14ac:dyDescent="0.35">
      <c r="A1363">
        <v>3151272355</v>
      </c>
      <c r="B1363" t="s">
        <v>1050</v>
      </c>
      <c r="C1363" t="s">
        <v>1072</v>
      </c>
      <c r="D1363" t="s">
        <v>431</v>
      </c>
      <c r="E1363" t="s">
        <v>1073</v>
      </c>
      <c r="F1363" t="s">
        <v>1074</v>
      </c>
      <c r="G1363">
        <v>949149</v>
      </c>
      <c r="H1363" t="s">
        <v>433</v>
      </c>
      <c r="I1363" s="4">
        <v>480</v>
      </c>
      <c r="J1363" s="4">
        <v>36.0672</v>
      </c>
    </row>
    <row r="1364" spans="1:10" x14ac:dyDescent="0.35">
      <c r="A1364">
        <v>3151272354</v>
      </c>
      <c r="B1364" t="s">
        <v>1050</v>
      </c>
      <c r="C1364" t="s">
        <v>1072</v>
      </c>
      <c r="D1364" t="s">
        <v>524</v>
      </c>
      <c r="E1364" t="s">
        <v>1075</v>
      </c>
      <c r="F1364" t="s">
        <v>1074</v>
      </c>
      <c r="G1364">
        <v>949145</v>
      </c>
      <c r="H1364" t="s">
        <v>412</v>
      </c>
      <c r="I1364" s="4">
        <v>2000</v>
      </c>
      <c r="J1364" s="4">
        <v>405</v>
      </c>
    </row>
    <row r="1365" spans="1:10" x14ac:dyDescent="0.35">
      <c r="A1365">
        <v>3151272355</v>
      </c>
      <c r="B1365" t="s">
        <v>1050</v>
      </c>
      <c r="C1365" t="s">
        <v>1072</v>
      </c>
      <c r="D1365" t="s">
        <v>524</v>
      </c>
      <c r="E1365" t="s">
        <v>1075</v>
      </c>
      <c r="F1365" t="s">
        <v>1074</v>
      </c>
      <c r="G1365">
        <v>949145</v>
      </c>
      <c r="H1365" t="s">
        <v>412</v>
      </c>
      <c r="I1365" s="4">
        <v>360</v>
      </c>
      <c r="J1365" s="4">
        <v>72.900000000000006</v>
      </c>
    </row>
    <row r="1366" spans="1:10" x14ac:dyDescent="0.35">
      <c r="A1366">
        <v>3151272356</v>
      </c>
      <c r="B1366" t="s">
        <v>1050</v>
      </c>
      <c r="C1366" t="s">
        <v>1072</v>
      </c>
      <c r="D1366" t="s">
        <v>524</v>
      </c>
      <c r="E1366" t="s">
        <v>1075</v>
      </c>
      <c r="F1366" t="s">
        <v>1074</v>
      </c>
      <c r="G1366">
        <v>949145</v>
      </c>
      <c r="H1366" t="s">
        <v>412</v>
      </c>
      <c r="I1366" s="4">
        <v>800</v>
      </c>
      <c r="J1366" s="4">
        <v>162</v>
      </c>
    </row>
    <row r="1367" spans="1:10" x14ac:dyDescent="0.35">
      <c r="A1367">
        <v>3151272357</v>
      </c>
      <c r="B1367" t="s">
        <v>1050</v>
      </c>
      <c r="C1367" t="s">
        <v>1072</v>
      </c>
      <c r="D1367" t="s">
        <v>524</v>
      </c>
      <c r="E1367" t="s">
        <v>1075</v>
      </c>
      <c r="F1367" t="s">
        <v>1074</v>
      </c>
      <c r="G1367">
        <v>949145</v>
      </c>
      <c r="H1367" t="s">
        <v>412</v>
      </c>
      <c r="I1367" s="4">
        <v>600</v>
      </c>
      <c r="J1367" s="4">
        <v>121.5</v>
      </c>
    </row>
    <row r="1368" spans="1:10" x14ac:dyDescent="0.35">
      <c r="A1368">
        <v>3151272354</v>
      </c>
      <c r="B1368" t="s">
        <v>1050</v>
      </c>
      <c r="C1368" t="s">
        <v>1072</v>
      </c>
      <c r="D1368" t="s">
        <v>725</v>
      </c>
      <c r="E1368" t="s">
        <v>1076</v>
      </c>
      <c r="F1368" t="s">
        <v>1074</v>
      </c>
      <c r="G1368">
        <v>949141</v>
      </c>
      <c r="H1368" t="s">
        <v>415</v>
      </c>
      <c r="I1368" s="4">
        <v>800</v>
      </c>
      <c r="J1368" s="4">
        <v>604.35199999999998</v>
      </c>
    </row>
    <row r="1369" spans="1:10" x14ac:dyDescent="0.35">
      <c r="A1369">
        <v>3151272355</v>
      </c>
      <c r="B1369" t="s">
        <v>1050</v>
      </c>
      <c r="C1369" t="s">
        <v>1072</v>
      </c>
      <c r="D1369" t="s">
        <v>725</v>
      </c>
      <c r="E1369" t="s">
        <v>1076</v>
      </c>
      <c r="F1369" t="s">
        <v>1074</v>
      </c>
      <c r="G1369">
        <v>949141</v>
      </c>
      <c r="H1369" t="s">
        <v>415</v>
      </c>
      <c r="I1369" s="4">
        <v>360</v>
      </c>
      <c r="J1369" s="4">
        <v>271.95840000000004</v>
      </c>
    </row>
    <row r="1370" spans="1:10" x14ac:dyDescent="0.35">
      <c r="A1370">
        <v>3151272356</v>
      </c>
      <c r="B1370" t="s">
        <v>1050</v>
      </c>
      <c r="C1370" t="s">
        <v>1072</v>
      </c>
      <c r="D1370" t="s">
        <v>725</v>
      </c>
      <c r="E1370" t="s">
        <v>1076</v>
      </c>
      <c r="F1370" t="s">
        <v>1074</v>
      </c>
      <c r="G1370">
        <v>949141</v>
      </c>
      <c r="H1370" t="s">
        <v>415</v>
      </c>
      <c r="I1370" s="4">
        <v>800</v>
      </c>
      <c r="J1370" s="4">
        <v>604.35199999999998</v>
      </c>
    </row>
    <row r="1371" spans="1:10" x14ac:dyDescent="0.35">
      <c r="A1371">
        <v>3151272357</v>
      </c>
      <c r="B1371" t="s">
        <v>1050</v>
      </c>
      <c r="C1371" t="s">
        <v>1072</v>
      </c>
      <c r="D1371" t="s">
        <v>725</v>
      </c>
      <c r="E1371" t="s">
        <v>1076</v>
      </c>
      <c r="F1371" t="s">
        <v>1074</v>
      </c>
      <c r="G1371">
        <v>949141</v>
      </c>
      <c r="H1371" t="s">
        <v>415</v>
      </c>
      <c r="I1371" s="4">
        <v>600</v>
      </c>
      <c r="J1371" s="4">
        <v>453.26400000000007</v>
      </c>
    </row>
    <row r="1372" spans="1:10" x14ac:dyDescent="0.35">
      <c r="A1372">
        <v>3151272354</v>
      </c>
      <c r="B1372" t="s">
        <v>1050</v>
      </c>
      <c r="C1372" t="s">
        <v>1072</v>
      </c>
      <c r="D1372" t="s">
        <v>1055</v>
      </c>
      <c r="E1372" t="s">
        <v>1077</v>
      </c>
      <c r="F1372" t="s">
        <v>1074</v>
      </c>
      <c r="G1372">
        <v>949142</v>
      </c>
      <c r="H1372" t="s">
        <v>421</v>
      </c>
      <c r="I1372" s="4">
        <v>200</v>
      </c>
      <c r="J1372" s="4">
        <v>203.09800000000001</v>
      </c>
    </row>
    <row r="1373" spans="1:10" x14ac:dyDescent="0.35">
      <c r="A1373">
        <v>3151272355</v>
      </c>
      <c r="B1373" t="s">
        <v>1050</v>
      </c>
      <c r="C1373" t="s">
        <v>1072</v>
      </c>
      <c r="D1373" t="s">
        <v>1055</v>
      </c>
      <c r="E1373" t="s">
        <v>1077</v>
      </c>
      <c r="F1373" t="s">
        <v>1074</v>
      </c>
      <c r="G1373">
        <v>949142</v>
      </c>
      <c r="H1373" t="s">
        <v>421</v>
      </c>
      <c r="I1373" s="4">
        <v>120</v>
      </c>
      <c r="J1373" s="4">
        <v>121.8588</v>
      </c>
    </row>
    <row r="1374" spans="1:10" x14ac:dyDescent="0.35">
      <c r="A1374">
        <v>3151272356</v>
      </c>
      <c r="B1374" t="s">
        <v>1050</v>
      </c>
      <c r="C1374" t="s">
        <v>1072</v>
      </c>
      <c r="D1374" t="s">
        <v>1055</v>
      </c>
      <c r="E1374" t="s">
        <v>1077</v>
      </c>
      <c r="F1374" t="s">
        <v>1074</v>
      </c>
      <c r="G1374">
        <v>949142</v>
      </c>
      <c r="H1374" t="s">
        <v>421</v>
      </c>
      <c r="I1374" s="4">
        <v>800</v>
      </c>
      <c r="J1374" s="4">
        <v>812.39200000000005</v>
      </c>
    </row>
    <row r="1375" spans="1:10" x14ac:dyDescent="0.35">
      <c r="A1375">
        <v>3151272357</v>
      </c>
      <c r="B1375" t="s">
        <v>1050</v>
      </c>
      <c r="C1375" t="s">
        <v>1072</v>
      </c>
      <c r="D1375" t="s">
        <v>1055</v>
      </c>
      <c r="E1375" t="s">
        <v>1077</v>
      </c>
      <c r="F1375" t="s">
        <v>1074</v>
      </c>
      <c r="G1375">
        <v>949142</v>
      </c>
      <c r="H1375" t="s">
        <v>421</v>
      </c>
      <c r="I1375" s="4">
        <v>600</v>
      </c>
      <c r="J1375" s="4">
        <v>609.29399999999998</v>
      </c>
    </row>
    <row r="1376" spans="1:10" x14ac:dyDescent="0.35">
      <c r="A1376">
        <v>3151272644</v>
      </c>
      <c r="B1376" t="s">
        <v>1050</v>
      </c>
      <c r="C1376" t="s">
        <v>1078</v>
      </c>
      <c r="D1376" t="s">
        <v>431</v>
      </c>
      <c r="E1376" t="s">
        <v>1079</v>
      </c>
      <c r="F1376" t="s">
        <v>440</v>
      </c>
      <c r="G1376">
        <v>937806</v>
      </c>
      <c r="H1376" t="s">
        <v>433</v>
      </c>
      <c r="I1376" s="4">
        <v>800</v>
      </c>
      <c r="J1376" s="4">
        <v>60.112000000000002</v>
      </c>
    </row>
    <row r="1377" spans="1:10" x14ac:dyDescent="0.35">
      <c r="A1377">
        <v>3151272645</v>
      </c>
      <c r="B1377" t="s">
        <v>1050</v>
      </c>
      <c r="C1377" t="s">
        <v>1078</v>
      </c>
      <c r="D1377" t="s">
        <v>431</v>
      </c>
      <c r="E1377" t="s">
        <v>1079</v>
      </c>
      <c r="F1377" t="s">
        <v>440</v>
      </c>
      <c r="G1377">
        <v>937806</v>
      </c>
      <c r="H1377" t="s">
        <v>433</v>
      </c>
      <c r="I1377" s="4">
        <v>3200</v>
      </c>
      <c r="J1377" s="4">
        <v>240.44800000000001</v>
      </c>
    </row>
    <row r="1378" spans="1:10" x14ac:dyDescent="0.35">
      <c r="A1378">
        <v>3151272646</v>
      </c>
      <c r="B1378" t="s">
        <v>1050</v>
      </c>
      <c r="C1378" t="s">
        <v>1078</v>
      </c>
      <c r="D1378" t="s">
        <v>431</v>
      </c>
      <c r="E1378" t="s">
        <v>1079</v>
      </c>
      <c r="F1378" t="s">
        <v>440</v>
      </c>
      <c r="G1378">
        <v>937806</v>
      </c>
      <c r="H1378" t="s">
        <v>433</v>
      </c>
      <c r="I1378" s="4">
        <v>2000</v>
      </c>
      <c r="J1378" s="4">
        <v>150.28</v>
      </c>
    </row>
    <row r="1379" spans="1:10" x14ac:dyDescent="0.35">
      <c r="A1379">
        <v>3151272647</v>
      </c>
      <c r="B1379" t="s">
        <v>1050</v>
      </c>
      <c r="C1379" t="s">
        <v>1078</v>
      </c>
      <c r="D1379" t="s">
        <v>431</v>
      </c>
      <c r="E1379" t="s">
        <v>1079</v>
      </c>
      <c r="F1379" t="s">
        <v>440</v>
      </c>
      <c r="G1379">
        <v>937806</v>
      </c>
      <c r="H1379" t="s">
        <v>433</v>
      </c>
      <c r="I1379" s="4">
        <v>480</v>
      </c>
      <c r="J1379" s="4">
        <v>36.0672</v>
      </c>
    </row>
    <row r="1380" spans="1:10" x14ac:dyDescent="0.35">
      <c r="A1380">
        <v>3151272644</v>
      </c>
      <c r="B1380" t="s">
        <v>1050</v>
      </c>
      <c r="C1380" t="s">
        <v>1078</v>
      </c>
      <c r="D1380" t="s">
        <v>524</v>
      </c>
      <c r="E1380" t="s">
        <v>1080</v>
      </c>
      <c r="F1380" t="s">
        <v>440</v>
      </c>
      <c r="G1380">
        <v>947612</v>
      </c>
      <c r="H1380" t="s">
        <v>412</v>
      </c>
      <c r="I1380" s="4">
        <v>2000</v>
      </c>
      <c r="J1380" s="4">
        <v>405</v>
      </c>
    </row>
    <row r="1381" spans="1:10" x14ac:dyDescent="0.35">
      <c r="A1381">
        <v>3151272645</v>
      </c>
      <c r="B1381" t="s">
        <v>1050</v>
      </c>
      <c r="C1381" t="s">
        <v>1078</v>
      </c>
      <c r="D1381" t="s">
        <v>524</v>
      </c>
      <c r="E1381" t="s">
        <v>1080</v>
      </c>
      <c r="F1381" t="s">
        <v>440</v>
      </c>
      <c r="G1381">
        <v>947612</v>
      </c>
      <c r="H1381" t="s">
        <v>412</v>
      </c>
      <c r="I1381" s="4">
        <v>3200</v>
      </c>
      <c r="J1381" s="4">
        <v>648</v>
      </c>
    </row>
    <row r="1382" spans="1:10" x14ac:dyDescent="0.35">
      <c r="A1382">
        <v>3151272646</v>
      </c>
      <c r="B1382" t="s">
        <v>1050</v>
      </c>
      <c r="C1382" t="s">
        <v>1078</v>
      </c>
      <c r="D1382" t="s">
        <v>524</v>
      </c>
      <c r="E1382" t="s">
        <v>1080</v>
      </c>
      <c r="F1382" t="s">
        <v>440</v>
      </c>
      <c r="G1382">
        <v>947612</v>
      </c>
      <c r="H1382" t="s">
        <v>412</v>
      </c>
      <c r="I1382" s="4">
        <v>1500</v>
      </c>
      <c r="J1382" s="4">
        <v>303.75</v>
      </c>
    </row>
    <row r="1383" spans="1:10" x14ac:dyDescent="0.35">
      <c r="A1383">
        <v>3151272647</v>
      </c>
      <c r="B1383" t="s">
        <v>1050</v>
      </c>
      <c r="C1383" t="s">
        <v>1078</v>
      </c>
      <c r="D1383" t="s">
        <v>524</v>
      </c>
      <c r="E1383" t="s">
        <v>1080</v>
      </c>
      <c r="F1383" t="s">
        <v>440</v>
      </c>
      <c r="G1383">
        <v>947612</v>
      </c>
      <c r="H1383" t="s">
        <v>412</v>
      </c>
      <c r="I1383" s="4">
        <v>360</v>
      </c>
      <c r="J1383" s="4">
        <v>72.900000000000006</v>
      </c>
    </row>
    <row r="1384" spans="1:10" x14ac:dyDescent="0.35">
      <c r="A1384">
        <v>3151272644</v>
      </c>
      <c r="B1384" t="s">
        <v>1050</v>
      </c>
      <c r="C1384" t="s">
        <v>1078</v>
      </c>
      <c r="D1384" t="s">
        <v>725</v>
      </c>
      <c r="E1384" t="s">
        <v>1081</v>
      </c>
      <c r="F1384" t="s">
        <v>440</v>
      </c>
      <c r="G1384">
        <v>937803</v>
      </c>
      <c r="H1384" t="s">
        <v>415</v>
      </c>
      <c r="I1384" s="4">
        <v>800</v>
      </c>
      <c r="J1384" s="4">
        <v>604.35199999999998</v>
      </c>
    </row>
    <row r="1385" spans="1:10" x14ac:dyDescent="0.35">
      <c r="A1385">
        <v>3151272645</v>
      </c>
      <c r="B1385" t="s">
        <v>1050</v>
      </c>
      <c r="C1385" t="s">
        <v>1078</v>
      </c>
      <c r="D1385" t="s">
        <v>725</v>
      </c>
      <c r="E1385" t="s">
        <v>1081</v>
      </c>
      <c r="F1385" t="s">
        <v>440</v>
      </c>
      <c r="G1385">
        <v>937803</v>
      </c>
      <c r="H1385" t="s">
        <v>415</v>
      </c>
      <c r="I1385" s="4">
        <v>1600</v>
      </c>
      <c r="J1385" s="4">
        <v>1208.704</v>
      </c>
    </row>
    <row r="1386" spans="1:10" x14ac:dyDescent="0.35">
      <c r="A1386">
        <v>3151272646</v>
      </c>
      <c r="B1386" t="s">
        <v>1050</v>
      </c>
      <c r="C1386" t="s">
        <v>1078</v>
      </c>
      <c r="D1386" t="s">
        <v>725</v>
      </c>
      <c r="E1386" t="s">
        <v>1081</v>
      </c>
      <c r="F1386" t="s">
        <v>440</v>
      </c>
      <c r="G1386">
        <v>937803</v>
      </c>
      <c r="H1386" t="s">
        <v>415</v>
      </c>
      <c r="I1386" s="4">
        <v>1000</v>
      </c>
      <c r="J1386" s="4">
        <v>755.44</v>
      </c>
    </row>
    <row r="1387" spans="1:10" x14ac:dyDescent="0.35">
      <c r="A1387">
        <v>3151272647</v>
      </c>
      <c r="B1387" t="s">
        <v>1050</v>
      </c>
      <c r="C1387" t="s">
        <v>1078</v>
      </c>
      <c r="D1387" t="s">
        <v>725</v>
      </c>
      <c r="E1387" t="s">
        <v>1081</v>
      </c>
      <c r="F1387" t="s">
        <v>440</v>
      </c>
      <c r="G1387">
        <v>937803</v>
      </c>
      <c r="H1387" t="s">
        <v>415</v>
      </c>
      <c r="I1387" s="4">
        <v>360</v>
      </c>
      <c r="J1387" s="4">
        <v>271.95840000000004</v>
      </c>
    </row>
    <row r="1388" spans="1:10" x14ac:dyDescent="0.35">
      <c r="A1388">
        <v>3151272644</v>
      </c>
      <c r="B1388" t="s">
        <v>1050</v>
      </c>
      <c r="C1388" t="s">
        <v>1078</v>
      </c>
      <c r="D1388" t="s">
        <v>1055</v>
      </c>
      <c r="E1388" t="s">
        <v>1082</v>
      </c>
      <c r="F1388" t="s">
        <v>440</v>
      </c>
      <c r="G1388">
        <v>937804</v>
      </c>
      <c r="H1388" t="s">
        <v>421</v>
      </c>
      <c r="I1388" s="4">
        <v>200</v>
      </c>
      <c r="J1388" s="4">
        <v>203.09800000000001</v>
      </c>
    </row>
    <row r="1389" spans="1:10" x14ac:dyDescent="0.35">
      <c r="A1389">
        <v>3151272645</v>
      </c>
      <c r="B1389" t="s">
        <v>1050</v>
      </c>
      <c r="C1389" t="s">
        <v>1078</v>
      </c>
      <c r="D1389" t="s">
        <v>1055</v>
      </c>
      <c r="E1389" t="s">
        <v>1082</v>
      </c>
      <c r="F1389" t="s">
        <v>440</v>
      </c>
      <c r="G1389">
        <v>937804</v>
      </c>
      <c r="H1389" t="s">
        <v>421</v>
      </c>
      <c r="I1389" s="4">
        <v>800</v>
      </c>
      <c r="J1389" s="4">
        <v>812.39200000000005</v>
      </c>
    </row>
    <row r="1390" spans="1:10" x14ac:dyDescent="0.35">
      <c r="A1390">
        <v>3151272646</v>
      </c>
      <c r="B1390" t="s">
        <v>1050</v>
      </c>
      <c r="C1390" t="s">
        <v>1078</v>
      </c>
      <c r="D1390" t="s">
        <v>1055</v>
      </c>
      <c r="E1390" t="s">
        <v>1082</v>
      </c>
      <c r="F1390" t="s">
        <v>440</v>
      </c>
      <c r="G1390">
        <v>937804</v>
      </c>
      <c r="H1390" t="s">
        <v>421</v>
      </c>
      <c r="I1390" s="4">
        <v>500</v>
      </c>
      <c r="J1390" s="4">
        <v>507.745</v>
      </c>
    </row>
    <row r="1391" spans="1:10" x14ac:dyDescent="0.35">
      <c r="A1391">
        <v>3151272647</v>
      </c>
      <c r="B1391" t="s">
        <v>1050</v>
      </c>
      <c r="C1391" t="s">
        <v>1078</v>
      </c>
      <c r="D1391" t="s">
        <v>1055</v>
      </c>
      <c r="E1391" t="s">
        <v>1082</v>
      </c>
      <c r="F1391" t="s">
        <v>440</v>
      </c>
      <c r="G1391">
        <v>937804</v>
      </c>
      <c r="H1391" t="s">
        <v>421</v>
      </c>
      <c r="I1391" s="4">
        <v>120</v>
      </c>
      <c r="J1391" s="4">
        <v>121.8588</v>
      </c>
    </row>
    <row r="1392" spans="1:10" x14ac:dyDescent="0.35">
      <c r="A1392">
        <v>3151272261</v>
      </c>
      <c r="B1392" t="s">
        <v>1050</v>
      </c>
      <c r="C1392" t="s">
        <v>1083</v>
      </c>
      <c r="D1392" t="s">
        <v>473</v>
      </c>
      <c r="E1392" t="s">
        <v>1084</v>
      </c>
      <c r="F1392" t="s">
        <v>581</v>
      </c>
      <c r="G1392">
        <v>942610</v>
      </c>
      <c r="H1392" t="s">
        <v>433</v>
      </c>
      <c r="I1392" s="4">
        <v>960</v>
      </c>
      <c r="J1392" s="4">
        <v>71.089920000000021</v>
      </c>
    </row>
    <row r="1393" spans="1:10" x14ac:dyDescent="0.35">
      <c r="A1393">
        <v>3151272262</v>
      </c>
      <c r="B1393" t="s">
        <v>1050</v>
      </c>
      <c r="C1393" t="s">
        <v>1083</v>
      </c>
      <c r="D1393" t="s">
        <v>473</v>
      </c>
      <c r="E1393" t="s">
        <v>1084</v>
      </c>
      <c r="F1393" t="s">
        <v>581</v>
      </c>
      <c r="G1393">
        <v>942610</v>
      </c>
      <c r="H1393" t="s">
        <v>433</v>
      </c>
      <c r="I1393" s="4">
        <v>2000</v>
      </c>
      <c r="J1393" s="4">
        <v>148.10400000000001</v>
      </c>
    </row>
    <row r="1394" spans="1:10" x14ac:dyDescent="0.35">
      <c r="A1394">
        <v>3151272264</v>
      </c>
      <c r="B1394" t="s">
        <v>1050</v>
      </c>
      <c r="C1394" t="s">
        <v>1083</v>
      </c>
      <c r="D1394" t="s">
        <v>473</v>
      </c>
      <c r="E1394" t="s">
        <v>1084</v>
      </c>
      <c r="F1394" t="s">
        <v>581</v>
      </c>
      <c r="G1394">
        <v>942610</v>
      </c>
      <c r="H1394" t="s">
        <v>433</v>
      </c>
      <c r="I1394" s="4">
        <v>1600</v>
      </c>
      <c r="J1394" s="4">
        <v>118.48320000000001</v>
      </c>
    </row>
    <row r="1395" spans="1:10" x14ac:dyDescent="0.35">
      <c r="A1395">
        <v>3151272265</v>
      </c>
      <c r="B1395" t="s">
        <v>1050</v>
      </c>
      <c r="C1395" t="s">
        <v>1083</v>
      </c>
      <c r="D1395" t="s">
        <v>473</v>
      </c>
      <c r="E1395" t="s">
        <v>1084</v>
      </c>
      <c r="F1395" t="s">
        <v>581</v>
      </c>
      <c r="G1395">
        <v>942610</v>
      </c>
      <c r="H1395" t="s">
        <v>433</v>
      </c>
      <c r="I1395" s="4">
        <v>240</v>
      </c>
      <c r="J1395" s="4">
        <v>17.772480000000005</v>
      </c>
    </row>
    <row r="1396" spans="1:10" x14ac:dyDescent="0.35">
      <c r="A1396">
        <v>3151272261</v>
      </c>
      <c r="B1396" t="s">
        <v>1050</v>
      </c>
      <c r="C1396" t="s">
        <v>1083</v>
      </c>
      <c r="D1396" t="s">
        <v>534</v>
      </c>
      <c r="E1396" t="s">
        <v>1085</v>
      </c>
      <c r="F1396" t="s">
        <v>581</v>
      </c>
      <c r="G1396">
        <v>942608</v>
      </c>
      <c r="H1396" t="s">
        <v>412</v>
      </c>
      <c r="I1396" s="4">
        <v>960</v>
      </c>
      <c r="J1396" s="4">
        <v>190.03008000000003</v>
      </c>
    </row>
    <row r="1397" spans="1:10" x14ac:dyDescent="0.35">
      <c r="A1397">
        <v>3151272262</v>
      </c>
      <c r="B1397" t="s">
        <v>1050</v>
      </c>
      <c r="C1397" t="s">
        <v>1083</v>
      </c>
      <c r="D1397" t="s">
        <v>534</v>
      </c>
      <c r="E1397" t="s">
        <v>1085</v>
      </c>
      <c r="F1397" t="s">
        <v>581</v>
      </c>
      <c r="G1397">
        <v>942608</v>
      </c>
      <c r="H1397" t="s">
        <v>412</v>
      </c>
      <c r="I1397" s="4">
        <v>1000</v>
      </c>
      <c r="J1397" s="4">
        <v>197.94800000000001</v>
      </c>
    </row>
    <row r="1398" spans="1:10" x14ac:dyDescent="0.35">
      <c r="A1398">
        <v>3151272264</v>
      </c>
      <c r="B1398" t="s">
        <v>1050</v>
      </c>
      <c r="C1398" t="s">
        <v>1083</v>
      </c>
      <c r="D1398" t="s">
        <v>534</v>
      </c>
      <c r="E1398" t="s">
        <v>1085</v>
      </c>
      <c r="F1398" t="s">
        <v>581</v>
      </c>
      <c r="G1398">
        <v>942608</v>
      </c>
      <c r="H1398" t="s">
        <v>412</v>
      </c>
      <c r="I1398" s="4">
        <v>600</v>
      </c>
      <c r="J1398" s="4">
        <v>118.7688</v>
      </c>
    </row>
    <row r="1399" spans="1:10" x14ac:dyDescent="0.35">
      <c r="A1399">
        <v>3151272265</v>
      </c>
      <c r="B1399" t="s">
        <v>1050</v>
      </c>
      <c r="C1399" t="s">
        <v>1083</v>
      </c>
      <c r="D1399" t="s">
        <v>534</v>
      </c>
      <c r="E1399" t="s">
        <v>1085</v>
      </c>
      <c r="F1399" t="s">
        <v>581</v>
      </c>
      <c r="G1399">
        <v>942608</v>
      </c>
      <c r="H1399" t="s">
        <v>412</v>
      </c>
      <c r="I1399" s="4">
        <v>120</v>
      </c>
      <c r="J1399" s="4">
        <v>23.753760000000003</v>
      </c>
    </row>
    <row r="1400" spans="1:10" x14ac:dyDescent="0.35">
      <c r="A1400">
        <v>3151272261</v>
      </c>
      <c r="B1400" t="s">
        <v>1050</v>
      </c>
      <c r="C1400" t="s">
        <v>1083</v>
      </c>
      <c r="D1400" t="s">
        <v>725</v>
      </c>
      <c r="E1400" t="s">
        <v>1086</v>
      </c>
      <c r="F1400" t="s">
        <v>581</v>
      </c>
      <c r="G1400">
        <v>942607</v>
      </c>
      <c r="H1400" t="s">
        <v>415</v>
      </c>
      <c r="I1400" s="4">
        <v>1200</v>
      </c>
      <c r="J1400" s="4">
        <v>880.62720000000002</v>
      </c>
    </row>
    <row r="1401" spans="1:10" x14ac:dyDescent="0.35">
      <c r="A1401">
        <v>3151272262</v>
      </c>
      <c r="B1401" t="s">
        <v>1050</v>
      </c>
      <c r="C1401" t="s">
        <v>1083</v>
      </c>
      <c r="D1401" t="s">
        <v>725</v>
      </c>
      <c r="E1401" t="s">
        <v>1086</v>
      </c>
      <c r="F1401" t="s">
        <v>581</v>
      </c>
      <c r="G1401">
        <v>942607</v>
      </c>
      <c r="H1401" t="s">
        <v>415</v>
      </c>
      <c r="I1401" s="4">
        <v>1000</v>
      </c>
      <c r="J1401" s="4">
        <v>733.85599999999999</v>
      </c>
    </row>
    <row r="1402" spans="1:10" x14ac:dyDescent="0.35">
      <c r="A1402">
        <v>3151272264</v>
      </c>
      <c r="B1402" t="s">
        <v>1050</v>
      </c>
      <c r="C1402" t="s">
        <v>1083</v>
      </c>
      <c r="D1402" t="s">
        <v>725</v>
      </c>
      <c r="E1402" t="s">
        <v>1086</v>
      </c>
      <c r="F1402" t="s">
        <v>581</v>
      </c>
      <c r="G1402">
        <v>942607</v>
      </c>
      <c r="H1402" t="s">
        <v>415</v>
      </c>
      <c r="I1402" s="4">
        <v>800</v>
      </c>
      <c r="J1402" s="4">
        <v>587.08480000000009</v>
      </c>
    </row>
    <row r="1403" spans="1:10" x14ac:dyDescent="0.35">
      <c r="A1403">
        <v>3151272265</v>
      </c>
      <c r="B1403" t="s">
        <v>1050</v>
      </c>
      <c r="C1403" t="s">
        <v>1083</v>
      </c>
      <c r="D1403" t="s">
        <v>725</v>
      </c>
      <c r="E1403" t="s">
        <v>1086</v>
      </c>
      <c r="F1403" t="s">
        <v>581</v>
      </c>
      <c r="G1403">
        <v>942607</v>
      </c>
      <c r="H1403" t="s">
        <v>415</v>
      </c>
      <c r="I1403" s="4">
        <v>360</v>
      </c>
      <c r="J1403" s="4">
        <v>264.18815999999998</v>
      </c>
    </row>
    <row r="1404" spans="1:10" x14ac:dyDescent="0.35">
      <c r="A1404">
        <v>3151272261</v>
      </c>
      <c r="B1404" t="s">
        <v>1050</v>
      </c>
      <c r="C1404" t="s">
        <v>1083</v>
      </c>
      <c r="D1404" t="s">
        <v>1055</v>
      </c>
      <c r="E1404" t="s">
        <v>1087</v>
      </c>
      <c r="F1404" t="s">
        <v>581</v>
      </c>
      <c r="G1404">
        <v>942609</v>
      </c>
      <c r="H1404" t="s">
        <v>421</v>
      </c>
      <c r="I1404" s="4">
        <v>240</v>
      </c>
      <c r="J1404" s="4">
        <v>236.75423999999998</v>
      </c>
    </row>
    <row r="1405" spans="1:10" x14ac:dyDescent="0.35">
      <c r="A1405">
        <v>3151272262</v>
      </c>
      <c r="B1405" t="s">
        <v>1050</v>
      </c>
      <c r="C1405" t="s">
        <v>1083</v>
      </c>
      <c r="D1405" t="s">
        <v>1055</v>
      </c>
      <c r="E1405" t="s">
        <v>1087</v>
      </c>
      <c r="F1405" t="s">
        <v>581</v>
      </c>
      <c r="G1405">
        <v>942609</v>
      </c>
      <c r="H1405" t="s">
        <v>421</v>
      </c>
      <c r="I1405" s="4">
        <v>1000</v>
      </c>
      <c r="J1405" s="4">
        <v>986.476</v>
      </c>
    </row>
    <row r="1406" spans="1:10" x14ac:dyDescent="0.35">
      <c r="A1406">
        <v>3151272264</v>
      </c>
      <c r="B1406" t="s">
        <v>1050</v>
      </c>
      <c r="C1406" t="s">
        <v>1083</v>
      </c>
      <c r="D1406" t="s">
        <v>1055</v>
      </c>
      <c r="E1406" t="s">
        <v>1087</v>
      </c>
      <c r="F1406" t="s">
        <v>581</v>
      </c>
      <c r="G1406">
        <v>942609</v>
      </c>
      <c r="H1406" t="s">
        <v>421</v>
      </c>
      <c r="I1406" s="4">
        <v>400</v>
      </c>
      <c r="J1406" s="4">
        <v>394.59040000000005</v>
      </c>
    </row>
    <row r="1407" spans="1:10" x14ac:dyDescent="0.35">
      <c r="A1407">
        <v>3151272265</v>
      </c>
      <c r="B1407" t="s">
        <v>1050</v>
      </c>
      <c r="C1407" t="s">
        <v>1083</v>
      </c>
      <c r="D1407" t="s">
        <v>1055</v>
      </c>
      <c r="E1407" t="s">
        <v>1087</v>
      </c>
      <c r="F1407" t="s">
        <v>581</v>
      </c>
      <c r="G1407">
        <v>942609</v>
      </c>
      <c r="H1407" t="s">
        <v>421</v>
      </c>
      <c r="I1407" s="4">
        <v>180</v>
      </c>
      <c r="J1407" s="4">
        <v>177.56567999999999</v>
      </c>
    </row>
    <row r="1408" spans="1:10" x14ac:dyDescent="0.35">
      <c r="A1408">
        <v>3151272266</v>
      </c>
      <c r="B1408" t="s">
        <v>1050</v>
      </c>
      <c r="C1408" t="s">
        <v>1088</v>
      </c>
      <c r="D1408" t="s">
        <v>473</v>
      </c>
      <c r="E1408" t="s">
        <v>1084</v>
      </c>
      <c r="F1408" t="s">
        <v>850</v>
      </c>
      <c r="G1408">
        <v>942117</v>
      </c>
      <c r="H1408" t="s">
        <v>433</v>
      </c>
      <c r="I1408" s="4">
        <v>960</v>
      </c>
      <c r="J1408" s="4">
        <v>71.089920000000021</v>
      </c>
    </row>
    <row r="1409" spans="1:10" x14ac:dyDescent="0.35">
      <c r="A1409">
        <v>3151272267</v>
      </c>
      <c r="B1409" t="s">
        <v>1050</v>
      </c>
      <c r="C1409" t="s">
        <v>1088</v>
      </c>
      <c r="D1409" t="s">
        <v>473</v>
      </c>
      <c r="E1409" t="s">
        <v>1084</v>
      </c>
      <c r="F1409" t="s">
        <v>850</v>
      </c>
      <c r="G1409">
        <v>942117</v>
      </c>
      <c r="H1409" t="s">
        <v>433</v>
      </c>
      <c r="I1409" s="4">
        <v>2000</v>
      </c>
      <c r="J1409" s="4">
        <v>148.10400000000001</v>
      </c>
    </row>
    <row r="1410" spans="1:10" x14ac:dyDescent="0.35">
      <c r="A1410">
        <v>3151272268</v>
      </c>
      <c r="B1410" t="s">
        <v>1050</v>
      </c>
      <c r="C1410" t="s">
        <v>1088</v>
      </c>
      <c r="D1410" t="s">
        <v>473</v>
      </c>
      <c r="E1410" t="s">
        <v>1084</v>
      </c>
      <c r="F1410" t="s">
        <v>850</v>
      </c>
      <c r="G1410">
        <v>942117</v>
      </c>
      <c r="H1410" t="s">
        <v>433</v>
      </c>
      <c r="I1410" s="4">
        <v>1600</v>
      </c>
      <c r="J1410" s="4">
        <v>118.48320000000001</v>
      </c>
    </row>
    <row r="1411" spans="1:10" x14ac:dyDescent="0.35">
      <c r="A1411">
        <v>3151272269</v>
      </c>
      <c r="B1411" t="s">
        <v>1050</v>
      </c>
      <c r="C1411" t="s">
        <v>1088</v>
      </c>
      <c r="D1411" t="s">
        <v>473</v>
      </c>
      <c r="E1411" t="s">
        <v>1084</v>
      </c>
      <c r="F1411" t="s">
        <v>850</v>
      </c>
      <c r="G1411">
        <v>942117</v>
      </c>
      <c r="H1411" t="s">
        <v>433</v>
      </c>
      <c r="I1411" s="4">
        <v>240</v>
      </c>
      <c r="J1411" s="4">
        <v>17.772480000000005</v>
      </c>
    </row>
    <row r="1412" spans="1:10" x14ac:dyDescent="0.35">
      <c r="A1412">
        <v>3151272266</v>
      </c>
      <c r="B1412" t="s">
        <v>1050</v>
      </c>
      <c r="C1412" t="s">
        <v>1088</v>
      </c>
      <c r="D1412" t="s">
        <v>534</v>
      </c>
      <c r="E1412" t="s">
        <v>1085</v>
      </c>
      <c r="F1412" t="s">
        <v>850</v>
      </c>
      <c r="G1412">
        <v>942112</v>
      </c>
      <c r="H1412" t="s">
        <v>412</v>
      </c>
      <c r="I1412" s="4">
        <v>960</v>
      </c>
      <c r="J1412" s="4">
        <v>190.03008000000003</v>
      </c>
    </row>
    <row r="1413" spans="1:10" x14ac:dyDescent="0.35">
      <c r="A1413">
        <v>3151272267</v>
      </c>
      <c r="B1413" t="s">
        <v>1050</v>
      </c>
      <c r="C1413" t="s">
        <v>1088</v>
      </c>
      <c r="D1413" t="s">
        <v>534</v>
      </c>
      <c r="E1413" t="s">
        <v>1085</v>
      </c>
      <c r="F1413" t="s">
        <v>850</v>
      </c>
      <c r="G1413">
        <v>942112</v>
      </c>
      <c r="H1413" t="s">
        <v>412</v>
      </c>
      <c r="I1413" s="4">
        <v>1000</v>
      </c>
      <c r="J1413" s="4">
        <v>197.94800000000001</v>
      </c>
    </row>
    <row r="1414" spans="1:10" x14ac:dyDescent="0.35">
      <c r="A1414">
        <v>3151272268</v>
      </c>
      <c r="B1414" t="s">
        <v>1050</v>
      </c>
      <c r="C1414" t="s">
        <v>1088</v>
      </c>
      <c r="D1414" t="s">
        <v>534</v>
      </c>
      <c r="E1414" t="s">
        <v>1085</v>
      </c>
      <c r="F1414" t="s">
        <v>850</v>
      </c>
      <c r="G1414">
        <v>942112</v>
      </c>
      <c r="H1414" t="s">
        <v>412</v>
      </c>
      <c r="I1414" s="4">
        <v>600</v>
      </c>
      <c r="J1414" s="4">
        <v>118.7688</v>
      </c>
    </row>
    <row r="1415" spans="1:10" x14ac:dyDescent="0.35">
      <c r="A1415">
        <v>3151272269</v>
      </c>
      <c r="B1415" t="s">
        <v>1050</v>
      </c>
      <c r="C1415" t="s">
        <v>1088</v>
      </c>
      <c r="D1415" t="s">
        <v>534</v>
      </c>
      <c r="E1415" t="s">
        <v>1085</v>
      </c>
      <c r="F1415" t="s">
        <v>850</v>
      </c>
      <c r="G1415">
        <v>942112</v>
      </c>
      <c r="H1415" t="s">
        <v>412</v>
      </c>
      <c r="I1415" s="4">
        <v>120</v>
      </c>
      <c r="J1415" s="4">
        <v>23.753760000000003</v>
      </c>
    </row>
    <row r="1416" spans="1:10" x14ac:dyDescent="0.35">
      <c r="A1416">
        <v>3151272266</v>
      </c>
      <c r="B1416" t="s">
        <v>1050</v>
      </c>
      <c r="C1416" t="s">
        <v>1088</v>
      </c>
      <c r="D1416" t="s">
        <v>725</v>
      </c>
      <c r="E1416" t="s">
        <v>1086</v>
      </c>
      <c r="F1416" t="s">
        <v>850</v>
      </c>
      <c r="G1416">
        <v>942131</v>
      </c>
      <c r="H1416" t="s">
        <v>415</v>
      </c>
      <c r="I1416" s="4">
        <v>1200</v>
      </c>
      <c r="J1416" s="4">
        <v>880.62720000000002</v>
      </c>
    </row>
    <row r="1417" spans="1:10" x14ac:dyDescent="0.35">
      <c r="A1417">
        <v>3151272267</v>
      </c>
      <c r="B1417" t="s">
        <v>1050</v>
      </c>
      <c r="C1417" t="s">
        <v>1088</v>
      </c>
      <c r="D1417" t="s">
        <v>725</v>
      </c>
      <c r="E1417" t="s">
        <v>1086</v>
      </c>
      <c r="F1417" t="s">
        <v>850</v>
      </c>
      <c r="G1417">
        <v>942131</v>
      </c>
      <c r="H1417" t="s">
        <v>415</v>
      </c>
      <c r="I1417" s="4">
        <v>1000</v>
      </c>
      <c r="J1417" s="4">
        <v>733.85599999999999</v>
      </c>
    </row>
    <row r="1418" spans="1:10" x14ac:dyDescent="0.35">
      <c r="A1418">
        <v>3151272268</v>
      </c>
      <c r="B1418" t="s">
        <v>1050</v>
      </c>
      <c r="C1418" t="s">
        <v>1088</v>
      </c>
      <c r="D1418" t="s">
        <v>725</v>
      </c>
      <c r="E1418" t="s">
        <v>1086</v>
      </c>
      <c r="F1418" t="s">
        <v>850</v>
      </c>
      <c r="G1418">
        <v>942131</v>
      </c>
      <c r="H1418" t="s">
        <v>415</v>
      </c>
      <c r="I1418" s="4">
        <v>800</v>
      </c>
      <c r="J1418" s="4">
        <v>587.08480000000009</v>
      </c>
    </row>
    <row r="1419" spans="1:10" x14ac:dyDescent="0.35">
      <c r="A1419">
        <v>3151272269</v>
      </c>
      <c r="B1419" t="s">
        <v>1050</v>
      </c>
      <c r="C1419" t="s">
        <v>1088</v>
      </c>
      <c r="D1419" t="s">
        <v>725</v>
      </c>
      <c r="E1419" t="s">
        <v>1086</v>
      </c>
      <c r="F1419" t="s">
        <v>850</v>
      </c>
      <c r="G1419">
        <v>942131</v>
      </c>
      <c r="H1419" t="s">
        <v>415</v>
      </c>
      <c r="I1419" s="4">
        <v>360</v>
      </c>
      <c r="J1419" s="4">
        <v>264.18815999999998</v>
      </c>
    </row>
    <row r="1420" spans="1:10" x14ac:dyDescent="0.35">
      <c r="A1420">
        <v>3151272266</v>
      </c>
      <c r="B1420" t="s">
        <v>1050</v>
      </c>
      <c r="C1420" t="s">
        <v>1088</v>
      </c>
      <c r="D1420" t="s">
        <v>1055</v>
      </c>
      <c r="E1420" t="s">
        <v>1087</v>
      </c>
      <c r="F1420" t="s">
        <v>850</v>
      </c>
      <c r="G1420">
        <v>942115</v>
      </c>
      <c r="H1420" t="s">
        <v>421</v>
      </c>
      <c r="I1420" s="4">
        <v>240</v>
      </c>
      <c r="J1420" s="4">
        <v>236.75423999999998</v>
      </c>
    </row>
    <row r="1421" spans="1:10" x14ac:dyDescent="0.35">
      <c r="A1421">
        <v>3151272267</v>
      </c>
      <c r="B1421" t="s">
        <v>1050</v>
      </c>
      <c r="C1421" t="s">
        <v>1088</v>
      </c>
      <c r="D1421" t="s">
        <v>1055</v>
      </c>
      <c r="E1421" t="s">
        <v>1087</v>
      </c>
      <c r="F1421" t="s">
        <v>850</v>
      </c>
      <c r="G1421">
        <v>942115</v>
      </c>
      <c r="H1421" t="s">
        <v>421</v>
      </c>
      <c r="I1421" s="4">
        <v>1000</v>
      </c>
      <c r="J1421" s="4">
        <v>986.476</v>
      </c>
    </row>
    <row r="1422" spans="1:10" x14ac:dyDescent="0.35">
      <c r="A1422">
        <v>3151272268</v>
      </c>
      <c r="B1422" t="s">
        <v>1050</v>
      </c>
      <c r="C1422" t="s">
        <v>1088</v>
      </c>
      <c r="D1422" t="s">
        <v>1055</v>
      </c>
      <c r="E1422" t="s">
        <v>1087</v>
      </c>
      <c r="F1422" t="s">
        <v>850</v>
      </c>
      <c r="G1422">
        <v>942115</v>
      </c>
      <c r="H1422" t="s">
        <v>421</v>
      </c>
      <c r="I1422" s="4">
        <v>400</v>
      </c>
      <c r="J1422" s="4">
        <v>394.59040000000005</v>
      </c>
    </row>
    <row r="1423" spans="1:10" x14ac:dyDescent="0.35">
      <c r="A1423">
        <v>3151272269</v>
      </c>
      <c r="B1423" t="s">
        <v>1050</v>
      </c>
      <c r="C1423" t="s">
        <v>1088</v>
      </c>
      <c r="D1423" t="s">
        <v>1055</v>
      </c>
      <c r="E1423" t="s">
        <v>1087</v>
      </c>
      <c r="F1423" t="s">
        <v>850</v>
      </c>
      <c r="G1423">
        <v>942115</v>
      </c>
      <c r="H1423" t="s">
        <v>421</v>
      </c>
      <c r="I1423" s="4">
        <v>180</v>
      </c>
      <c r="J1423" s="4">
        <v>177.56567999999999</v>
      </c>
    </row>
    <row r="1424" spans="1:10" x14ac:dyDescent="0.35">
      <c r="A1424">
        <v>3151272099</v>
      </c>
      <c r="B1424" t="s">
        <v>1089</v>
      </c>
      <c r="C1424" t="s">
        <v>1090</v>
      </c>
      <c r="D1424" t="s">
        <v>606</v>
      </c>
      <c r="E1424" t="s">
        <v>1091</v>
      </c>
      <c r="F1424" t="s">
        <v>201</v>
      </c>
      <c r="G1424">
        <v>943592</v>
      </c>
      <c r="H1424" t="s">
        <v>421</v>
      </c>
      <c r="I1424" s="4">
        <v>3780</v>
      </c>
      <c r="J1424" s="4">
        <v>3118.5</v>
      </c>
    </row>
    <row r="1425" spans="1:10" x14ac:dyDescent="0.35">
      <c r="A1425">
        <v>3151272099</v>
      </c>
      <c r="B1425" t="s">
        <v>1089</v>
      </c>
      <c r="C1425" t="s">
        <v>1090</v>
      </c>
      <c r="D1425" t="s">
        <v>900</v>
      </c>
      <c r="E1425" t="s">
        <v>1092</v>
      </c>
      <c r="F1425" t="s">
        <v>201</v>
      </c>
      <c r="G1425">
        <v>943829</v>
      </c>
      <c r="H1425" t="s">
        <v>412</v>
      </c>
      <c r="I1425" s="4">
        <v>4320</v>
      </c>
      <c r="J1425" s="4">
        <v>831.6</v>
      </c>
    </row>
    <row r="1426" spans="1:10" x14ac:dyDescent="0.35">
      <c r="A1426">
        <v>3151272099</v>
      </c>
      <c r="B1426" t="s">
        <v>1089</v>
      </c>
      <c r="C1426" t="s">
        <v>1090</v>
      </c>
      <c r="D1426" t="s">
        <v>449</v>
      </c>
      <c r="E1426" t="s">
        <v>1093</v>
      </c>
      <c r="F1426" t="s">
        <v>201</v>
      </c>
      <c r="G1426">
        <v>943593</v>
      </c>
      <c r="H1426" t="s">
        <v>415</v>
      </c>
      <c r="I1426" s="4">
        <v>1890</v>
      </c>
      <c r="J1426" s="4">
        <v>1018.71</v>
      </c>
    </row>
    <row r="1427" spans="1:10" x14ac:dyDescent="0.35">
      <c r="A1427">
        <v>3151271883</v>
      </c>
      <c r="B1427" t="s">
        <v>1094</v>
      </c>
      <c r="C1427" t="s">
        <v>1095</v>
      </c>
      <c r="D1427" t="s">
        <v>473</v>
      </c>
      <c r="E1427" t="s">
        <v>1096</v>
      </c>
      <c r="F1427" t="s">
        <v>201</v>
      </c>
      <c r="G1427">
        <v>942554</v>
      </c>
      <c r="H1427" t="s">
        <v>433</v>
      </c>
      <c r="I1427" s="4">
        <v>7652</v>
      </c>
      <c r="J1427" s="4">
        <v>499.67559999999997</v>
      </c>
    </row>
    <row r="1428" spans="1:10" x14ac:dyDescent="0.35">
      <c r="A1428">
        <v>3151271883</v>
      </c>
      <c r="B1428" t="s">
        <v>1094</v>
      </c>
      <c r="C1428" t="s">
        <v>1095</v>
      </c>
      <c r="D1428" t="s">
        <v>1097</v>
      </c>
      <c r="E1428" t="s">
        <v>1098</v>
      </c>
      <c r="F1428" t="s">
        <v>201</v>
      </c>
      <c r="G1428">
        <v>942553</v>
      </c>
      <c r="H1428" t="s">
        <v>412</v>
      </c>
      <c r="I1428" s="4">
        <v>3527</v>
      </c>
      <c r="J1428" s="4">
        <v>799.92360000000008</v>
      </c>
    </row>
    <row r="1429" spans="1:10" x14ac:dyDescent="0.35">
      <c r="A1429">
        <v>3151271883</v>
      </c>
      <c r="B1429" t="s">
        <v>1094</v>
      </c>
      <c r="C1429" t="s">
        <v>1095</v>
      </c>
      <c r="D1429" t="s">
        <v>1099</v>
      </c>
      <c r="E1429" t="s">
        <v>1100</v>
      </c>
      <c r="F1429" t="s">
        <v>201</v>
      </c>
      <c r="G1429">
        <v>942558</v>
      </c>
      <c r="H1429" t="s">
        <v>614</v>
      </c>
      <c r="I1429" s="4">
        <v>2594</v>
      </c>
      <c r="J1429" s="4">
        <v>999.98699999999997</v>
      </c>
    </row>
    <row r="1430" spans="1:10" x14ac:dyDescent="0.35">
      <c r="A1430">
        <v>3151271883</v>
      </c>
      <c r="B1430" t="s">
        <v>1094</v>
      </c>
      <c r="C1430" t="s">
        <v>1095</v>
      </c>
      <c r="D1430" t="s">
        <v>618</v>
      </c>
      <c r="E1430" t="s">
        <v>1101</v>
      </c>
      <c r="F1430" t="s">
        <v>201</v>
      </c>
      <c r="G1430">
        <v>942550</v>
      </c>
      <c r="H1430" t="s">
        <v>415</v>
      </c>
      <c r="I1430" s="4">
        <v>2797</v>
      </c>
      <c r="J1430" s="4">
        <v>2000.1347000000001</v>
      </c>
    </row>
    <row r="1431" spans="1:10" x14ac:dyDescent="0.35">
      <c r="A1431">
        <v>3151271883</v>
      </c>
      <c r="B1431" t="s">
        <v>1094</v>
      </c>
      <c r="C1431" t="s">
        <v>1095</v>
      </c>
      <c r="D1431" t="s">
        <v>1102</v>
      </c>
      <c r="E1431" t="s">
        <v>1103</v>
      </c>
      <c r="F1431" t="s">
        <v>201</v>
      </c>
      <c r="G1431">
        <v>942557</v>
      </c>
      <c r="H1431" t="s">
        <v>421</v>
      </c>
      <c r="I1431" s="4">
        <v>2415</v>
      </c>
      <c r="J1431" s="4">
        <v>2000.1030000000001</v>
      </c>
    </row>
    <row r="1432" spans="1:10" x14ac:dyDescent="0.35">
      <c r="A1432">
        <v>3151271882</v>
      </c>
      <c r="B1432" t="s">
        <v>1094</v>
      </c>
      <c r="C1432" t="s">
        <v>1104</v>
      </c>
      <c r="D1432" t="s">
        <v>606</v>
      </c>
      <c r="E1432" t="s">
        <v>1105</v>
      </c>
      <c r="F1432" t="s">
        <v>201</v>
      </c>
      <c r="G1432">
        <v>943737</v>
      </c>
      <c r="H1432" t="s">
        <v>421</v>
      </c>
      <c r="I1432" s="4">
        <v>2472</v>
      </c>
      <c r="J1432" s="4">
        <v>2039.4</v>
      </c>
    </row>
    <row r="1433" spans="1:10" x14ac:dyDescent="0.35">
      <c r="A1433">
        <v>3151271882</v>
      </c>
      <c r="B1433" t="s">
        <v>1094</v>
      </c>
      <c r="C1433" t="s">
        <v>1104</v>
      </c>
      <c r="D1433" t="s">
        <v>447</v>
      </c>
      <c r="E1433" t="s">
        <v>1106</v>
      </c>
      <c r="F1433" t="s">
        <v>201</v>
      </c>
      <c r="G1433">
        <v>943739</v>
      </c>
      <c r="H1433" t="s">
        <v>412</v>
      </c>
      <c r="I1433" s="4">
        <v>2940</v>
      </c>
      <c r="J1433" s="4">
        <v>808.5</v>
      </c>
    </row>
    <row r="1434" spans="1:10" x14ac:dyDescent="0.35">
      <c r="A1434">
        <v>3151271882</v>
      </c>
      <c r="B1434" t="s">
        <v>1094</v>
      </c>
      <c r="C1434" t="s">
        <v>1104</v>
      </c>
      <c r="D1434" t="s">
        <v>1107</v>
      </c>
      <c r="E1434" t="s">
        <v>1108</v>
      </c>
      <c r="F1434" t="s">
        <v>201</v>
      </c>
      <c r="G1434">
        <v>943740</v>
      </c>
      <c r="H1434" t="s">
        <v>614</v>
      </c>
      <c r="I1434" s="4">
        <v>2952</v>
      </c>
      <c r="J1434" s="4">
        <v>1011.3552000000001</v>
      </c>
    </row>
    <row r="1435" spans="1:10" x14ac:dyDescent="0.35">
      <c r="A1435">
        <v>3151271882</v>
      </c>
      <c r="B1435" t="s">
        <v>1094</v>
      </c>
      <c r="C1435" t="s">
        <v>1109</v>
      </c>
      <c r="D1435" t="s">
        <v>445</v>
      </c>
      <c r="E1435" t="s">
        <v>1110</v>
      </c>
      <c r="F1435" t="s">
        <v>201</v>
      </c>
      <c r="G1435">
        <v>944080</v>
      </c>
      <c r="H1435" t="s">
        <v>433</v>
      </c>
      <c r="I1435" s="4">
        <v>9180</v>
      </c>
      <c r="J1435" s="4">
        <v>413.1</v>
      </c>
    </row>
    <row r="1436" spans="1:10" x14ac:dyDescent="0.35">
      <c r="A1436">
        <v>3151271882</v>
      </c>
      <c r="B1436" t="s">
        <v>1094</v>
      </c>
      <c r="C1436" t="s">
        <v>1111</v>
      </c>
      <c r="D1436" t="s">
        <v>1107</v>
      </c>
      <c r="E1436" t="s">
        <v>1112</v>
      </c>
      <c r="F1436" t="s">
        <v>201</v>
      </c>
      <c r="G1436">
        <v>943741</v>
      </c>
      <c r="H1436" t="s">
        <v>614</v>
      </c>
      <c r="I1436" s="4">
        <v>2952</v>
      </c>
      <c r="J1436" s="4">
        <v>1011.3552000000001</v>
      </c>
    </row>
    <row r="1437" spans="1:10" x14ac:dyDescent="0.35">
      <c r="A1437">
        <v>3151272300</v>
      </c>
      <c r="B1437" t="s">
        <v>1094</v>
      </c>
      <c r="C1437" t="s">
        <v>1113</v>
      </c>
      <c r="D1437" t="s">
        <v>445</v>
      </c>
      <c r="E1437" t="s">
        <v>1114</v>
      </c>
      <c r="F1437" t="s">
        <v>201</v>
      </c>
      <c r="G1437">
        <v>948584</v>
      </c>
      <c r="H1437" t="s">
        <v>433</v>
      </c>
      <c r="I1437" s="4">
        <v>12576</v>
      </c>
      <c r="J1437" s="4">
        <v>701.74079999999992</v>
      </c>
    </row>
    <row r="1438" spans="1:10" x14ac:dyDescent="0.35">
      <c r="A1438">
        <v>3151272301</v>
      </c>
      <c r="B1438" t="s">
        <v>1094</v>
      </c>
      <c r="C1438" t="s">
        <v>1113</v>
      </c>
      <c r="D1438" t="s">
        <v>445</v>
      </c>
      <c r="E1438" t="s">
        <v>1114</v>
      </c>
      <c r="F1438" t="s">
        <v>201</v>
      </c>
      <c r="G1438">
        <v>948584</v>
      </c>
      <c r="H1438" t="s">
        <v>433</v>
      </c>
      <c r="I1438" s="4">
        <v>6912</v>
      </c>
      <c r="J1438" s="4">
        <v>385.68959999999998</v>
      </c>
    </row>
    <row r="1439" spans="1:10" x14ac:dyDescent="0.35">
      <c r="A1439">
        <v>3151272302</v>
      </c>
      <c r="B1439" t="s">
        <v>1094</v>
      </c>
      <c r="C1439" t="s">
        <v>1113</v>
      </c>
      <c r="D1439" t="s">
        <v>445</v>
      </c>
      <c r="E1439" t="s">
        <v>1114</v>
      </c>
      <c r="F1439" t="s">
        <v>201</v>
      </c>
      <c r="G1439">
        <v>948584</v>
      </c>
      <c r="H1439" t="s">
        <v>433</v>
      </c>
      <c r="I1439" s="4">
        <v>2592</v>
      </c>
      <c r="J1439" s="4">
        <v>144.6336</v>
      </c>
    </row>
    <row r="1440" spans="1:10" x14ac:dyDescent="0.35">
      <c r="A1440">
        <v>3151272303</v>
      </c>
      <c r="B1440" t="s">
        <v>1094</v>
      </c>
      <c r="C1440" t="s">
        <v>1113</v>
      </c>
      <c r="D1440" t="s">
        <v>445</v>
      </c>
      <c r="E1440" t="s">
        <v>1114</v>
      </c>
      <c r="F1440" t="s">
        <v>201</v>
      </c>
      <c r="G1440">
        <v>948584</v>
      </c>
      <c r="H1440" t="s">
        <v>433</v>
      </c>
      <c r="I1440" s="4">
        <v>9600</v>
      </c>
      <c r="J1440" s="4">
        <v>535.68000000000006</v>
      </c>
    </row>
    <row r="1441" spans="1:10" x14ac:dyDescent="0.35">
      <c r="A1441">
        <v>3151272300</v>
      </c>
      <c r="B1441" t="s">
        <v>1094</v>
      </c>
      <c r="C1441" t="s">
        <v>1113</v>
      </c>
      <c r="D1441" t="s">
        <v>422</v>
      </c>
      <c r="E1441" t="s">
        <v>1115</v>
      </c>
      <c r="F1441" t="s">
        <v>201</v>
      </c>
      <c r="G1441">
        <v>948583</v>
      </c>
      <c r="H1441" t="s">
        <v>412</v>
      </c>
      <c r="I1441" s="4">
        <v>2880</v>
      </c>
      <c r="J1441" s="4">
        <v>803.52</v>
      </c>
    </row>
    <row r="1442" spans="1:10" x14ac:dyDescent="0.35">
      <c r="A1442">
        <v>3151272301</v>
      </c>
      <c r="B1442" t="s">
        <v>1094</v>
      </c>
      <c r="C1442" t="s">
        <v>1113</v>
      </c>
      <c r="D1442" t="s">
        <v>422</v>
      </c>
      <c r="E1442" t="s">
        <v>1115</v>
      </c>
      <c r="F1442" t="s">
        <v>201</v>
      </c>
      <c r="G1442">
        <v>948583</v>
      </c>
      <c r="H1442" t="s">
        <v>412</v>
      </c>
      <c r="I1442" s="4">
        <v>1692</v>
      </c>
      <c r="J1442" s="4">
        <v>472.06799999999998</v>
      </c>
    </row>
    <row r="1443" spans="1:10" x14ac:dyDescent="0.35">
      <c r="A1443">
        <v>3151272302</v>
      </c>
      <c r="B1443" t="s">
        <v>1094</v>
      </c>
      <c r="C1443" t="s">
        <v>1113</v>
      </c>
      <c r="D1443" t="s">
        <v>422</v>
      </c>
      <c r="E1443" t="s">
        <v>1115</v>
      </c>
      <c r="F1443" t="s">
        <v>201</v>
      </c>
      <c r="G1443">
        <v>948583</v>
      </c>
      <c r="H1443" t="s">
        <v>412</v>
      </c>
      <c r="I1443" s="4">
        <v>576</v>
      </c>
      <c r="J1443" s="4">
        <v>160.70400000000001</v>
      </c>
    </row>
    <row r="1444" spans="1:10" x14ac:dyDescent="0.35">
      <c r="A1444">
        <v>3151272303</v>
      </c>
      <c r="B1444" t="s">
        <v>1094</v>
      </c>
      <c r="C1444" t="s">
        <v>1113</v>
      </c>
      <c r="D1444" t="s">
        <v>422</v>
      </c>
      <c r="E1444" t="s">
        <v>1115</v>
      </c>
      <c r="F1444" t="s">
        <v>201</v>
      </c>
      <c r="G1444">
        <v>948583</v>
      </c>
      <c r="H1444" t="s">
        <v>412</v>
      </c>
      <c r="I1444" s="4">
        <v>1800</v>
      </c>
      <c r="J1444" s="4">
        <v>502.2</v>
      </c>
    </row>
    <row r="1445" spans="1:10" x14ac:dyDescent="0.35">
      <c r="A1445">
        <v>3151272300</v>
      </c>
      <c r="B1445" t="s">
        <v>1094</v>
      </c>
      <c r="C1445" t="s">
        <v>1113</v>
      </c>
      <c r="D1445" t="s">
        <v>612</v>
      </c>
      <c r="E1445" t="s">
        <v>1116</v>
      </c>
      <c r="F1445" t="s">
        <v>201</v>
      </c>
      <c r="G1445">
        <v>948586</v>
      </c>
      <c r="H1445" t="s">
        <v>614</v>
      </c>
      <c r="I1445" s="4">
        <v>2000</v>
      </c>
      <c r="J1445" s="4">
        <v>832</v>
      </c>
    </row>
    <row r="1446" spans="1:10" x14ac:dyDescent="0.35">
      <c r="A1446">
        <v>3151272301</v>
      </c>
      <c r="B1446" t="s">
        <v>1094</v>
      </c>
      <c r="C1446" t="s">
        <v>1113</v>
      </c>
      <c r="D1446" t="s">
        <v>612</v>
      </c>
      <c r="E1446" t="s">
        <v>1116</v>
      </c>
      <c r="F1446" t="s">
        <v>201</v>
      </c>
      <c r="G1446">
        <v>948586</v>
      </c>
      <c r="H1446" t="s">
        <v>614</v>
      </c>
      <c r="I1446" s="4">
        <v>1420</v>
      </c>
      <c r="J1446" s="4">
        <v>590.72</v>
      </c>
    </row>
    <row r="1447" spans="1:10" x14ac:dyDescent="0.35">
      <c r="A1447">
        <v>3151272302</v>
      </c>
      <c r="B1447" t="s">
        <v>1094</v>
      </c>
      <c r="C1447" t="s">
        <v>1113</v>
      </c>
      <c r="D1447" t="s">
        <v>612</v>
      </c>
      <c r="E1447" t="s">
        <v>1116</v>
      </c>
      <c r="F1447" t="s">
        <v>201</v>
      </c>
      <c r="G1447">
        <v>948586</v>
      </c>
      <c r="H1447" t="s">
        <v>614</v>
      </c>
      <c r="I1447" s="4">
        <v>900</v>
      </c>
      <c r="J1447" s="4">
        <v>374.40000000000003</v>
      </c>
    </row>
    <row r="1448" spans="1:10" x14ac:dyDescent="0.35">
      <c r="A1448">
        <v>3151272303</v>
      </c>
      <c r="B1448" t="s">
        <v>1094</v>
      </c>
      <c r="C1448" t="s">
        <v>1113</v>
      </c>
      <c r="D1448" t="s">
        <v>612</v>
      </c>
      <c r="E1448" t="s">
        <v>1116</v>
      </c>
      <c r="F1448" t="s">
        <v>201</v>
      </c>
      <c r="G1448">
        <v>948586</v>
      </c>
      <c r="H1448" t="s">
        <v>614</v>
      </c>
      <c r="I1448" s="4">
        <v>2360</v>
      </c>
      <c r="J1448" s="4">
        <v>981.76</v>
      </c>
    </row>
    <row r="1449" spans="1:10" x14ac:dyDescent="0.35">
      <c r="A1449">
        <v>3151272300</v>
      </c>
      <c r="B1449" t="s">
        <v>1094</v>
      </c>
      <c r="C1449" t="s">
        <v>1113</v>
      </c>
      <c r="D1449" t="s">
        <v>449</v>
      </c>
      <c r="E1449" t="s">
        <v>1117</v>
      </c>
      <c r="F1449" t="s">
        <v>201</v>
      </c>
      <c r="G1449">
        <v>948575</v>
      </c>
      <c r="H1449" t="s">
        <v>415</v>
      </c>
      <c r="I1449" s="4">
        <v>1512</v>
      </c>
      <c r="J1449" s="4">
        <v>918.69120000000009</v>
      </c>
    </row>
    <row r="1450" spans="1:10" x14ac:dyDescent="0.35">
      <c r="A1450">
        <v>3151272301</v>
      </c>
      <c r="B1450" t="s">
        <v>1094</v>
      </c>
      <c r="C1450" t="s">
        <v>1113</v>
      </c>
      <c r="D1450" t="s">
        <v>449</v>
      </c>
      <c r="E1450" t="s">
        <v>1117</v>
      </c>
      <c r="F1450" t="s">
        <v>201</v>
      </c>
      <c r="G1450">
        <v>948575</v>
      </c>
      <c r="H1450" t="s">
        <v>415</v>
      </c>
      <c r="I1450" s="4">
        <v>1200</v>
      </c>
      <c r="J1450" s="4">
        <v>729.12</v>
      </c>
    </row>
    <row r="1451" spans="1:10" x14ac:dyDescent="0.35">
      <c r="A1451">
        <v>3151272302</v>
      </c>
      <c r="B1451" t="s">
        <v>1094</v>
      </c>
      <c r="C1451" t="s">
        <v>1113</v>
      </c>
      <c r="D1451" t="s">
        <v>449</v>
      </c>
      <c r="E1451" t="s">
        <v>1117</v>
      </c>
      <c r="F1451" t="s">
        <v>201</v>
      </c>
      <c r="G1451">
        <v>948575</v>
      </c>
      <c r="H1451" t="s">
        <v>415</v>
      </c>
      <c r="I1451" s="4">
        <v>480</v>
      </c>
      <c r="J1451" s="4">
        <v>291.64800000000002</v>
      </c>
    </row>
    <row r="1452" spans="1:10" x14ac:dyDescent="0.35">
      <c r="A1452">
        <v>3151272303</v>
      </c>
      <c r="B1452" t="s">
        <v>1094</v>
      </c>
      <c r="C1452" t="s">
        <v>1113</v>
      </c>
      <c r="D1452" t="s">
        <v>449</v>
      </c>
      <c r="E1452" t="s">
        <v>1117</v>
      </c>
      <c r="F1452" t="s">
        <v>201</v>
      </c>
      <c r="G1452">
        <v>948575</v>
      </c>
      <c r="H1452" t="s">
        <v>415</v>
      </c>
      <c r="I1452" s="4">
        <v>1392</v>
      </c>
      <c r="J1452" s="4">
        <v>845.77920000000006</v>
      </c>
    </row>
    <row r="1453" spans="1:10" x14ac:dyDescent="0.35">
      <c r="A1453">
        <v>3151272300</v>
      </c>
      <c r="B1453" t="s">
        <v>1094</v>
      </c>
      <c r="C1453" t="s">
        <v>1113</v>
      </c>
      <c r="D1453" t="s">
        <v>457</v>
      </c>
      <c r="E1453" t="s">
        <v>1118</v>
      </c>
      <c r="F1453" t="s">
        <v>201</v>
      </c>
      <c r="G1453">
        <v>948574</v>
      </c>
      <c r="H1453" t="s">
        <v>421</v>
      </c>
      <c r="I1453" s="4">
        <v>1080</v>
      </c>
      <c r="J1453" s="4">
        <v>903.96</v>
      </c>
    </row>
    <row r="1454" spans="1:10" x14ac:dyDescent="0.35">
      <c r="A1454">
        <v>3151272301</v>
      </c>
      <c r="B1454" t="s">
        <v>1094</v>
      </c>
      <c r="C1454" t="s">
        <v>1113</v>
      </c>
      <c r="D1454" t="s">
        <v>457</v>
      </c>
      <c r="E1454" t="s">
        <v>1118</v>
      </c>
      <c r="F1454" t="s">
        <v>201</v>
      </c>
      <c r="G1454">
        <v>948574</v>
      </c>
      <c r="H1454" t="s">
        <v>421</v>
      </c>
      <c r="I1454" s="4">
        <v>1005</v>
      </c>
      <c r="J1454" s="4">
        <v>841.18500000000006</v>
      </c>
    </row>
    <row r="1455" spans="1:10" x14ac:dyDescent="0.35">
      <c r="A1455">
        <v>3151272302</v>
      </c>
      <c r="B1455" t="s">
        <v>1094</v>
      </c>
      <c r="C1455" t="s">
        <v>1113</v>
      </c>
      <c r="D1455" t="s">
        <v>457</v>
      </c>
      <c r="E1455" t="s">
        <v>1118</v>
      </c>
      <c r="F1455" t="s">
        <v>201</v>
      </c>
      <c r="G1455">
        <v>948574</v>
      </c>
      <c r="H1455" t="s">
        <v>421</v>
      </c>
      <c r="I1455" s="4">
        <v>450</v>
      </c>
      <c r="J1455" s="4">
        <v>376.65000000000003</v>
      </c>
    </row>
    <row r="1456" spans="1:10" x14ac:dyDescent="0.35">
      <c r="A1456">
        <v>3151272303</v>
      </c>
      <c r="B1456" t="s">
        <v>1094</v>
      </c>
      <c r="C1456" t="s">
        <v>1113</v>
      </c>
      <c r="D1456" t="s">
        <v>457</v>
      </c>
      <c r="E1456" t="s">
        <v>1118</v>
      </c>
      <c r="F1456" t="s">
        <v>201</v>
      </c>
      <c r="G1456">
        <v>948574</v>
      </c>
      <c r="H1456" t="s">
        <v>421</v>
      </c>
      <c r="I1456" s="4">
        <v>990</v>
      </c>
      <c r="J1456" s="4">
        <v>828.63</v>
      </c>
    </row>
    <row r="1457" spans="1:10" x14ac:dyDescent="0.35">
      <c r="A1457">
        <v>3151271730</v>
      </c>
      <c r="B1457" t="s">
        <v>1119</v>
      </c>
      <c r="C1457" t="s">
        <v>1120</v>
      </c>
      <c r="D1457" t="s">
        <v>1121</v>
      </c>
      <c r="E1457" t="s">
        <v>1122</v>
      </c>
      <c r="F1457" t="s">
        <v>201</v>
      </c>
      <c r="G1457">
        <v>691520</v>
      </c>
      <c r="H1457" t="s">
        <v>415</v>
      </c>
      <c r="I1457" s="4">
        <v>2040</v>
      </c>
      <c r="J1457" s="4">
        <v>1409.9500800000001</v>
      </c>
    </row>
    <row r="1458" spans="1:10" x14ac:dyDescent="0.35">
      <c r="A1458">
        <v>3151271730</v>
      </c>
      <c r="B1458" t="s">
        <v>1119</v>
      </c>
      <c r="C1458" t="s">
        <v>1120</v>
      </c>
      <c r="D1458" t="s">
        <v>1123</v>
      </c>
      <c r="E1458" t="s">
        <v>1124</v>
      </c>
      <c r="F1458" t="s">
        <v>201</v>
      </c>
      <c r="G1458">
        <v>691522</v>
      </c>
      <c r="H1458" t="s">
        <v>421</v>
      </c>
      <c r="I1458" s="4">
        <v>2048</v>
      </c>
      <c r="J1458" s="4">
        <v>2140.9792000000002</v>
      </c>
    </row>
    <row r="1459" spans="1:10" x14ac:dyDescent="0.35">
      <c r="A1459">
        <v>3151272222</v>
      </c>
      <c r="B1459" t="s">
        <v>1119</v>
      </c>
      <c r="C1459" t="s">
        <v>1125</v>
      </c>
      <c r="D1459" t="s">
        <v>1126</v>
      </c>
      <c r="E1459" t="s">
        <v>1127</v>
      </c>
      <c r="G1459">
        <v>933591</v>
      </c>
      <c r="H1459" t="s">
        <v>412</v>
      </c>
      <c r="I1459" s="4">
        <v>7416</v>
      </c>
      <c r="J1459" s="4">
        <v>1103.7232800000002</v>
      </c>
    </row>
    <row r="1460" spans="1:10" x14ac:dyDescent="0.35">
      <c r="A1460">
        <v>3151272222</v>
      </c>
      <c r="B1460" t="s">
        <v>1119</v>
      </c>
      <c r="C1460" t="s">
        <v>1125</v>
      </c>
      <c r="D1460" t="s">
        <v>1128</v>
      </c>
      <c r="E1460" t="s">
        <v>1129</v>
      </c>
      <c r="G1460">
        <v>933593</v>
      </c>
      <c r="H1460" t="s">
        <v>412</v>
      </c>
      <c r="I1460" s="4">
        <v>5112</v>
      </c>
      <c r="J1460" s="4">
        <v>1405.8</v>
      </c>
    </row>
    <row r="1461" spans="1:10" x14ac:dyDescent="0.35">
      <c r="A1461">
        <v>3151272222</v>
      </c>
      <c r="B1461" t="s">
        <v>1119</v>
      </c>
      <c r="C1461" t="s">
        <v>1125</v>
      </c>
      <c r="D1461" t="s">
        <v>1130</v>
      </c>
      <c r="E1461" t="s">
        <v>1131</v>
      </c>
      <c r="G1461">
        <v>933587</v>
      </c>
      <c r="H1461" t="s">
        <v>415</v>
      </c>
      <c r="I1461" s="4">
        <v>4176</v>
      </c>
      <c r="J1461" s="4">
        <v>2250.864</v>
      </c>
    </row>
    <row r="1462" spans="1:10" x14ac:dyDescent="0.35">
      <c r="A1462">
        <v>3151272222</v>
      </c>
      <c r="B1462" t="s">
        <v>1119</v>
      </c>
      <c r="C1462" t="s">
        <v>1125</v>
      </c>
      <c r="D1462" t="s">
        <v>1132</v>
      </c>
      <c r="E1462" t="s">
        <v>1133</v>
      </c>
      <c r="G1462">
        <v>933579</v>
      </c>
      <c r="H1462" t="s">
        <v>421</v>
      </c>
      <c r="I1462" s="4">
        <v>2424</v>
      </c>
      <c r="J1462" s="4">
        <v>1799.82</v>
      </c>
    </row>
    <row r="1463" spans="1:10" x14ac:dyDescent="0.35">
      <c r="A1463">
        <v>3151271714</v>
      </c>
      <c r="B1463" t="s">
        <v>1134</v>
      </c>
      <c r="C1463" t="s">
        <v>1135</v>
      </c>
      <c r="D1463" t="s">
        <v>1136</v>
      </c>
      <c r="E1463" t="s">
        <v>1137</v>
      </c>
      <c r="F1463" t="s">
        <v>201</v>
      </c>
      <c r="G1463">
        <v>937336</v>
      </c>
      <c r="H1463" t="s">
        <v>421</v>
      </c>
      <c r="I1463" s="4">
        <v>6000</v>
      </c>
      <c r="J1463" s="4">
        <v>5628</v>
      </c>
    </row>
    <row r="1464" spans="1:10" x14ac:dyDescent="0.35">
      <c r="A1464">
        <v>3151271714</v>
      </c>
      <c r="B1464" t="s">
        <v>1134</v>
      </c>
      <c r="C1464" t="s">
        <v>1135</v>
      </c>
      <c r="D1464" t="s">
        <v>422</v>
      </c>
      <c r="E1464" t="s">
        <v>1138</v>
      </c>
      <c r="F1464" t="s">
        <v>201</v>
      </c>
      <c r="G1464">
        <v>937335</v>
      </c>
      <c r="H1464" t="s">
        <v>412</v>
      </c>
      <c r="I1464" s="4">
        <v>5424</v>
      </c>
      <c r="J1464" s="4">
        <v>1635.336</v>
      </c>
    </row>
    <row r="1465" spans="1:10" x14ac:dyDescent="0.35">
      <c r="A1465">
        <v>3151271976</v>
      </c>
      <c r="B1465" t="s">
        <v>1134</v>
      </c>
      <c r="C1465" t="s">
        <v>1135</v>
      </c>
      <c r="D1465" t="s">
        <v>422</v>
      </c>
      <c r="E1465" t="s">
        <v>1138</v>
      </c>
      <c r="F1465" t="s">
        <v>201</v>
      </c>
      <c r="G1465">
        <v>937335</v>
      </c>
      <c r="H1465" t="s">
        <v>412</v>
      </c>
      <c r="I1465" s="4">
        <v>6000</v>
      </c>
      <c r="J1465" s="4">
        <v>1809</v>
      </c>
    </row>
    <row r="1466" spans="1:10" x14ac:dyDescent="0.35">
      <c r="A1466">
        <v>3151271714</v>
      </c>
      <c r="B1466" t="s">
        <v>1134</v>
      </c>
      <c r="C1466" t="s">
        <v>1135</v>
      </c>
      <c r="D1466" t="s">
        <v>427</v>
      </c>
      <c r="E1466" t="s">
        <v>1139</v>
      </c>
      <c r="F1466" t="s">
        <v>201</v>
      </c>
      <c r="G1466">
        <v>937337</v>
      </c>
      <c r="H1466" t="s">
        <v>415</v>
      </c>
      <c r="I1466" s="4">
        <v>7584</v>
      </c>
      <c r="J1466" s="4">
        <v>4623.9648000000007</v>
      </c>
    </row>
    <row r="1467" spans="1:10" x14ac:dyDescent="0.35">
      <c r="A1467">
        <v>3151271976</v>
      </c>
      <c r="B1467" t="s">
        <v>1134</v>
      </c>
      <c r="C1467" t="s">
        <v>1135</v>
      </c>
      <c r="D1467" t="s">
        <v>427</v>
      </c>
      <c r="E1467" t="s">
        <v>1139</v>
      </c>
      <c r="F1467" t="s">
        <v>201</v>
      </c>
      <c r="G1467">
        <v>937337</v>
      </c>
      <c r="H1467" t="s">
        <v>415</v>
      </c>
      <c r="I1467" s="4">
        <v>6000</v>
      </c>
      <c r="J1467" s="4">
        <v>3658.2000000000007</v>
      </c>
    </row>
    <row r="1468" spans="1:10" x14ac:dyDescent="0.35">
      <c r="A1468">
        <v>3151272599</v>
      </c>
      <c r="B1468" t="s">
        <v>1140</v>
      </c>
      <c r="C1468" t="s">
        <v>1141</v>
      </c>
      <c r="D1468" t="s">
        <v>434</v>
      </c>
      <c r="E1468" t="s">
        <v>1142</v>
      </c>
      <c r="F1468" t="s">
        <v>420</v>
      </c>
      <c r="G1468">
        <v>949674</v>
      </c>
      <c r="H1468" t="s">
        <v>415</v>
      </c>
      <c r="I1468" s="4">
        <v>4032</v>
      </c>
      <c r="J1468" s="4">
        <v>2015.1936000000001</v>
      </c>
    </row>
    <row r="1469" spans="1:10" x14ac:dyDescent="0.35">
      <c r="A1469">
        <v>3151272599</v>
      </c>
      <c r="B1469" t="s">
        <v>1140</v>
      </c>
      <c r="C1469" t="s">
        <v>1143</v>
      </c>
      <c r="D1469" t="s">
        <v>814</v>
      </c>
      <c r="E1469" t="s">
        <v>1144</v>
      </c>
      <c r="F1469" t="s">
        <v>420</v>
      </c>
      <c r="G1469">
        <v>949676</v>
      </c>
      <c r="H1469" t="s">
        <v>412</v>
      </c>
      <c r="I1469" s="4">
        <v>4032</v>
      </c>
      <c r="J1469" s="4">
        <v>523.75680000000011</v>
      </c>
    </row>
    <row r="1470" spans="1:10" x14ac:dyDescent="0.35">
      <c r="A1470">
        <v>3151272093</v>
      </c>
      <c r="B1470" t="s">
        <v>1140</v>
      </c>
      <c r="C1470" t="s">
        <v>1145</v>
      </c>
      <c r="D1470" t="s">
        <v>473</v>
      </c>
      <c r="E1470" t="s">
        <v>1146</v>
      </c>
      <c r="F1470" t="s">
        <v>201</v>
      </c>
      <c r="G1470">
        <v>902189</v>
      </c>
      <c r="H1470" t="s">
        <v>433</v>
      </c>
      <c r="I1470" s="4">
        <v>12276</v>
      </c>
      <c r="J1470" s="4">
        <v>741.96143999999993</v>
      </c>
    </row>
    <row r="1471" spans="1:10" x14ac:dyDescent="0.35">
      <c r="A1471">
        <v>3151272094</v>
      </c>
      <c r="B1471" t="s">
        <v>1140</v>
      </c>
      <c r="C1471" t="s">
        <v>1145</v>
      </c>
      <c r="D1471" t="s">
        <v>473</v>
      </c>
      <c r="E1471" t="s">
        <v>1146</v>
      </c>
      <c r="G1471">
        <v>902189</v>
      </c>
      <c r="H1471" t="s">
        <v>433</v>
      </c>
      <c r="I1471" s="4">
        <v>480</v>
      </c>
      <c r="J1471" s="4">
        <v>29.011199999999999</v>
      </c>
    </row>
    <row r="1472" spans="1:10" x14ac:dyDescent="0.35">
      <c r="A1472">
        <v>3151272095</v>
      </c>
      <c r="B1472" t="s">
        <v>1140</v>
      </c>
      <c r="C1472" t="s">
        <v>1145</v>
      </c>
      <c r="D1472" t="s">
        <v>473</v>
      </c>
      <c r="E1472" t="s">
        <v>1146</v>
      </c>
      <c r="G1472">
        <v>902189</v>
      </c>
      <c r="H1472" t="s">
        <v>433</v>
      </c>
      <c r="I1472" s="4">
        <v>13520</v>
      </c>
      <c r="J1472" s="4">
        <v>817.14879999999994</v>
      </c>
    </row>
    <row r="1473" spans="1:10" x14ac:dyDescent="0.35">
      <c r="A1473">
        <v>3151272365</v>
      </c>
      <c r="B1473" t="s">
        <v>1140</v>
      </c>
      <c r="C1473" t="s">
        <v>1145</v>
      </c>
      <c r="D1473" t="s">
        <v>473</v>
      </c>
      <c r="E1473" t="s">
        <v>1146</v>
      </c>
      <c r="G1473">
        <v>902189</v>
      </c>
      <c r="H1473" t="s">
        <v>433</v>
      </c>
      <c r="I1473" s="4">
        <v>5808</v>
      </c>
      <c r="J1473" s="4">
        <v>351.03551999999996</v>
      </c>
    </row>
    <row r="1474" spans="1:10" x14ac:dyDescent="0.35">
      <c r="A1474">
        <v>3151272367</v>
      </c>
      <c r="B1474" t="s">
        <v>1140</v>
      </c>
      <c r="C1474" t="s">
        <v>1145</v>
      </c>
      <c r="D1474" t="s">
        <v>473</v>
      </c>
      <c r="E1474" t="s">
        <v>1146</v>
      </c>
      <c r="G1474">
        <v>902189</v>
      </c>
      <c r="H1474" t="s">
        <v>433</v>
      </c>
      <c r="I1474" s="4">
        <v>1808</v>
      </c>
      <c r="J1474" s="4">
        <v>109.27551999999999</v>
      </c>
    </row>
    <row r="1475" spans="1:10" x14ac:dyDescent="0.35">
      <c r="A1475">
        <v>3151272093</v>
      </c>
      <c r="B1475" t="s">
        <v>1140</v>
      </c>
      <c r="C1475" t="s">
        <v>1145</v>
      </c>
      <c r="D1475" t="s">
        <v>534</v>
      </c>
      <c r="E1475" t="s">
        <v>1147</v>
      </c>
      <c r="F1475" t="s">
        <v>201</v>
      </c>
      <c r="G1475">
        <v>902190</v>
      </c>
      <c r="H1475" t="s">
        <v>412</v>
      </c>
      <c r="I1475" s="4">
        <v>17568</v>
      </c>
      <c r="J1475" s="4">
        <v>2812.7246399999999</v>
      </c>
    </row>
    <row r="1476" spans="1:10" x14ac:dyDescent="0.35">
      <c r="A1476">
        <v>3151272094</v>
      </c>
      <c r="B1476" t="s">
        <v>1140</v>
      </c>
      <c r="C1476" t="s">
        <v>1145</v>
      </c>
      <c r="D1476" t="s">
        <v>534</v>
      </c>
      <c r="E1476" t="s">
        <v>1147</v>
      </c>
      <c r="F1476" t="s">
        <v>201</v>
      </c>
      <c r="G1476">
        <v>902190</v>
      </c>
      <c r="H1476" t="s">
        <v>412</v>
      </c>
      <c r="I1476" s="4">
        <v>1212</v>
      </c>
      <c r="J1476" s="4">
        <v>194.04725999999999</v>
      </c>
    </row>
    <row r="1477" spans="1:10" x14ac:dyDescent="0.35">
      <c r="A1477">
        <v>3151272095</v>
      </c>
      <c r="B1477" t="s">
        <v>1140</v>
      </c>
      <c r="C1477" t="s">
        <v>1145</v>
      </c>
      <c r="D1477" t="s">
        <v>534</v>
      </c>
      <c r="E1477" t="s">
        <v>1147</v>
      </c>
      <c r="G1477">
        <v>902190</v>
      </c>
      <c r="H1477" t="s">
        <v>412</v>
      </c>
      <c r="I1477" s="4">
        <v>13520</v>
      </c>
      <c r="J1477" s="4">
        <v>2164.6196</v>
      </c>
    </row>
    <row r="1478" spans="1:10" x14ac:dyDescent="0.35">
      <c r="A1478">
        <v>3151272365</v>
      </c>
      <c r="B1478" t="s">
        <v>1140</v>
      </c>
      <c r="C1478" t="s">
        <v>1145</v>
      </c>
      <c r="D1478" t="s">
        <v>534</v>
      </c>
      <c r="E1478" t="s">
        <v>1147</v>
      </c>
      <c r="G1478">
        <v>902190</v>
      </c>
      <c r="H1478" t="s">
        <v>412</v>
      </c>
      <c r="I1478" s="4">
        <v>13164</v>
      </c>
      <c r="J1478" s="4">
        <v>2107.6222199999997</v>
      </c>
    </row>
    <row r="1479" spans="1:10" x14ac:dyDescent="0.35">
      <c r="A1479">
        <v>3151272366</v>
      </c>
      <c r="B1479" t="s">
        <v>1140</v>
      </c>
      <c r="C1479" t="s">
        <v>1145</v>
      </c>
      <c r="D1479" t="s">
        <v>534</v>
      </c>
      <c r="E1479" t="s">
        <v>1147</v>
      </c>
      <c r="G1479">
        <v>902190</v>
      </c>
      <c r="H1479" t="s">
        <v>412</v>
      </c>
      <c r="I1479" s="4">
        <v>8640</v>
      </c>
      <c r="J1479" s="4">
        <v>1383.3072</v>
      </c>
    </row>
    <row r="1480" spans="1:10" x14ac:dyDescent="0.35">
      <c r="A1480">
        <v>3151272367</v>
      </c>
      <c r="B1480" t="s">
        <v>1140</v>
      </c>
      <c r="C1480" t="s">
        <v>1145</v>
      </c>
      <c r="D1480" t="s">
        <v>534</v>
      </c>
      <c r="E1480" t="s">
        <v>1147</v>
      </c>
      <c r="G1480">
        <v>902190</v>
      </c>
      <c r="H1480" t="s">
        <v>412</v>
      </c>
      <c r="I1480" s="4">
        <v>1808</v>
      </c>
      <c r="J1480" s="4">
        <v>289.46983999999998</v>
      </c>
    </row>
    <row r="1481" spans="1:10" x14ac:dyDescent="0.35">
      <c r="A1481">
        <v>3151272093</v>
      </c>
      <c r="B1481" t="s">
        <v>1140</v>
      </c>
      <c r="C1481" t="s">
        <v>1145</v>
      </c>
      <c r="D1481" t="s">
        <v>434</v>
      </c>
      <c r="E1481" t="s">
        <v>1148</v>
      </c>
      <c r="F1481" t="s">
        <v>201</v>
      </c>
      <c r="G1481">
        <v>901970</v>
      </c>
      <c r="H1481" t="s">
        <v>415</v>
      </c>
      <c r="I1481" s="4">
        <v>23944</v>
      </c>
      <c r="J1481" s="4">
        <v>13711.77104</v>
      </c>
    </row>
    <row r="1482" spans="1:10" x14ac:dyDescent="0.35">
      <c r="A1482">
        <v>3151272094</v>
      </c>
      <c r="B1482" t="s">
        <v>1140</v>
      </c>
      <c r="C1482" t="s">
        <v>1145</v>
      </c>
      <c r="D1482" t="s">
        <v>434</v>
      </c>
      <c r="E1482" t="s">
        <v>1148</v>
      </c>
      <c r="F1482" t="s">
        <v>201</v>
      </c>
      <c r="G1482">
        <v>901970</v>
      </c>
      <c r="H1482" t="s">
        <v>415</v>
      </c>
      <c r="I1482" s="4">
        <v>3172</v>
      </c>
      <c r="J1482" s="4">
        <v>1816.4775199999999</v>
      </c>
    </row>
    <row r="1483" spans="1:10" x14ac:dyDescent="0.35">
      <c r="A1483">
        <v>3151272095</v>
      </c>
      <c r="B1483" t="s">
        <v>1140</v>
      </c>
      <c r="C1483" t="s">
        <v>1145</v>
      </c>
      <c r="D1483" t="s">
        <v>434</v>
      </c>
      <c r="E1483" t="s">
        <v>1148</v>
      </c>
      <c r="G1483">
        <v>901970</v>
      </c>
      <c r="H1483" t="s">
        <v>415</v>
      </c>
      <c r="I1483" s="4">
        <v>13520</v>
      </c>
      <c r="J1483" s="4">
        <v>7742.3631999999998</v>
      </c>
    </row>
    <row r="1484" spans="1:10" x14ac:dyDescent="0.35">
      <c r="A1484">
        <v>3151272365</v>
      </c>
      <c r="B1484" t="s">
        <v>1140</v>
      </c>
      <c r="C1484" t="s">
        <v>1145</v>
      </c>
      <c r="D1484" t="s">
        <v>434</v>
      </c>
      <c r="E1484" t="s">
        <v>1148</v>
      </c>
      <c r="G1484">
        <v>901970</v>
      </c>
      <c r="H1484" t="s">
        <v>415</v>
      </c>
      <c r="I1484" s="4">
        <v>45396</v>
      </c>
      <c r="J1484" s="4">
        <v>25996.47336</v>
      </c>
    </row>
    <row r="1485" spans="1:10" x14ac:dyDescent="0.35">
      <c r="A1485">
        <v>3151272366</v>
      </c>
      <c r="B1485" t="s">
        <v>1140</v>
      </c>
      <c r="C1485" t="s">
        <v>1145</v>
      </c>
      <c r="D1485" t="s">
        <v>434</v>
      </c>
      <c r="E1485" t="s">
        <v>1148</v>
      </c>
      <c r="G1485">
        <v>901970</v>
      </c>
      <c r="H1485" t="s">
        <v>415</v>
      </c>
      <c r="I1485" s="4">
        <v>2292</v>
      </c>
      <c r="J1485" s="4">
        <v>1312.5367200000001</v>
      </c>
    </row>
    <row r="1486" spans="1:10" x14ac:dyDescent="0.35">
      <c r="A1486">
        <v>3151272367</v>
      </c>
      <c r="B1486" t="s">
        <v>1140</v>
      </c>
      <c r="C1486" t="s">
        <v>1145</v>
      </c>
      <c r="D1486" t="s">
        <v>434</v>
      </c>
      <c r="E1486" t="s">
        <v>1148</v>
      </c>
      <c r="G1486">
        <v>901970</v>
      </c>
      <c r="H1486" t="s">
        <v>415</v>
      </c>
      <c r="I1486" s="4">
        <v>1808</v>
      </c>
      <c r="J1486" s="4">
        <v>1035.3692799999999</v>
      </c>
    </row>
    <row r="1487" spans="1:10" x14ac:dyDescent="0.35">
      <c r="A1487">
        <v>3151272093</v>
      </c>
      <c r="B1487" t="s">
        <v>1140</v>
      </c>
      <c r="C1487" t="s">
        <v>1145</v>
      </c>
      <c r="D1487" t="s">
        <v>451</v>
      </c>
      <c r="E1487" t="s">
        <v>1149</v>
      </c>
      <c r="F1487" t="s">
        <v>201</v>
      </c>
      <c r="G1487">
        <v>902191</v>
      </c>
      <c r="H1487" t="s">
        <v>421</v>
      </c>
      <c r="I1487" s="4">
        <v>19320</v>
      </c>
      <c r="J1487" s="4">
        <v>14745.023999999999</v>
      </c>
    </row>
    <row r="1488" spans="1:10" x14ac:dyDescent="0.35">
      <c r="A1488">
        <v>3151272365</v>
      </c>
      <c r="B1488" t="s">
        <v>1140</v>
      </c>
      <c r="C1488" t="s">
        <v>1145</v>
      </c>
      <c r="D1488" t="s">
        <v>451</v>
      </c>
      <c r="E1488" t="s">
        <v>1149</v>
      </c>
      <c r="G1488">
        <v>902191</v>
      </c>
      <c r="H1488" t="s">
        <v>421</v>
      </c>
      <c r="I1488" s="4">
        <v>2092</v>
      </c>
      <c r="J1488" s="4">
        <v>1596.6144000000002</v>
      </c>
    </row>
    <row r="1489" spans="1:10" x14ac:dyDescent="0.35">
      <c r="A1489">
        <v>3151272599</v>
      </c>
      <c r="B1489" t="s">
        <v>1140</v>
      </c>
      <c r="C1489" t="s">
        <v>1150</v>
      </c>
      <c r="D1489" t="s">
        <v>434</v>
      </c>
      <c r="E1489" t="s">
        <v>1151</v>
      </c>
      <c r="F1489" t="s">
        <v>420</v>
      </c>
      <c r="G1489">
        <v>949670</v>
      </c>
      <c r="H1489" t="s">
        <v>415</v>
      </c>
      <c r="I1489" s="4">
        <v>4032</v>
      </c>
      <c r="J1489" s="4">
        <v>2015.1936000000001</v>
      </c>
    </row>
    <row r="1490" spans="1:10" x14ac:dyDescent="0.35">
      <c r="A1490">
        <v>3151272599</v>
      </c>
      <c r="B1490" t="s">
        <v>1140</v>
      </c>
      <c r="C1490" t="s">
        <v>1152</v>
      </c>
      <c r="D1490" t="s">
        <v>814</v>
      </c>
      <c r="E1490" t="s">
        <v>1153</v>
      </c>
      <c r="F1490" t="s">
        <v>420</v>
      </c>
      <c r="G1490">
        <v>949675</v>
      </c>
      <c r="H1490" t="s">
        <v>412</v>
      </c>
      <c r="I1490" s="4">
        <v>4032</v>
      </c>
      <c r="J1490" s="4">
        <v>523.75680000000011</v>
      </c>
    </row>
    <row r="1491" spans="1:10" x14ac:dyDescent="0.35">
      <c r="A1491">
        <v>3251165065</v>
      </c>
      <c r="B1491" t="s">
        <v>1154</v>
      </c>
      <c r="C1491" t="s">
        <v>1155</v>
      </c>
      <c r="D1491" t="s">
        <v>1156</v>
      </c>
      <c r="E1491" t="s">
        <v>1157</v>
      </c>
      <c r="F1491" t="s">
        <v>201</v>
      </c>
      <c r="G1491">
        <v>937338</v>
      </c>
      <c r="H1491" t="s">
        <v>433</v>
      </c>
      <c r="I1491" s="4">
        <v>4608</v>
      </c>
      <c r="J1491" s="4">
        <v>281.01427200000001</v>
      </c>
    </row>
    <row r="1492" spans="1:10" x14ac:dyDescent="0.35">
      <c r="A1492">
        <v>3251165066</v>
      </c>
      <c r="B1492" t="s">
        <v>1154</v>
      </c>
      <c r="C1492" t="s">
        <v>1155</v>
      </c>
      <c r="D1492" t="s">
        <v>1156</v>
      </c>
      <c r="E1492" t="s">
        <v>1157</v>
      </c>
      <c r="F1492" t="s">
        <v>201</v>
      </c>
      <c r="G1492">
        <v>937338</v>
      </c>
      <c r="H1492" t="s">
        <v>433</v>
      </c>
      <c r="I1492" s="4">
        <v>5376</v>
      </c>
      <c r="J1492" s="4">
        <v>327.84998400000001</v>
      </c>
    </row>
    <row r="1493" spans="1:10" x14ac:dyDescent="0.35">
      <c r="A1493">
        <v>3251165067</v>
      </c>
      <c r="B1493" t="s">
        <v>1154</v>
      </c>
      <c r="C1493" t="s">
        <v>1155</v>
      </c>
      <c r="D1493" t="s">
        <v>1156</v>
      </c>
      <c r="E1493" t="s">
        <v>1157</v>
      </c>
      <c r="F1493" t="s">
        <v>201</v>
      </c>
      <c r="G1493">
        <v>937338</v>
      </c>
      <c r="H1493" t="s">
        <v>433</v>
      </c>
      <c r="I1493" s="4">
        <v>5760</v>
      </c>
      <c r="J1493" s="4">
        <v>351.26784000000004</v>
      </c>
    </row>
    <row r="1494" spans="1:10" x14ac:dyDescent="0.35">
      <c r="A1494">
        <v>3251165068</v>
      </c>
      <c r="B1494" t="s">
        <v>1154</v>
      </c>
      <c r="C1494" t="s">
        <v>1155</v>
      </c>
      <c r="D1494" t="s">
        <v>1156</v>
      </c>
      <c r="E1494" t="s">
        <v>1157</v>
      </c>
      <c r="F1494" t="s">
        <v>201</v>
      </c>
      <c r="G1494">
        <v>937338</v>
      </c>
      <c r="H1494" t="s">
        <v>433</v>
      </c>
      <c r="I1494" s="4">
        <v>3456</v>
      </c>
      <c r="J1494" s="4">
        <v>210.760704</v>
      </c>
    </row>
    <row r="1495" spans="1:10" x14ac:dyDescent="0.35">
      <c r="A1495">
        <v>3251165065</v>
      </c>
      <c r="B1495" t="s">
        <v>1154</v>
      </c>
      <c r="C1495" t="s">
        <v>1155</v>
      </c>
      <c r="D1495" t="s">
        <v>1158</v>
      </c>
      <c r="E1495" t="s">
        <v>1159</v>
      </c>
      <c r="F1495" t="s">
        <v>201</v>
      </c>
      <c r="G1495">
        <v>937339</v>
      </c>
      <c r="H1495" t="s">
        <v>412</v>
      </c>
      <c r="I1495" s="4">
        <v>3169</v>
      </c>
      <c r="J1495" s="4">
        <v>443.05789000000004</v>
      </c>
    </row>
    <row r="1496" spans="1:10" x14ac:dyDescent="0.35">
      <c r="A1496">
        <v>3251165066</v>
      </c>
      <c r="B1496" t="s">
        <v>1154</v>
      </c>
      <c r="C1496" t="s">
        <v>1155</v>
      </c>
      <c r="D1496" t="s">
        <v>1158</v>
      </c>
      <c r="E1496" t="s">
        <v>1159</v>
      </c>
      <c r="F1496" t="s">
        <v>201</v>
      </c>
      <c r="G1496">
        <v>937339</v>
      </c>
      <c r="H1496" t="s">
        <v>412</v>
      </c>
      <c r="I1496" s="4">
        <v>3265</v>
      </c>
      <c r="J1496" s="4">
        <v>456.47965000000005</v>
      </c>
    </row>
    <row r="1497" spans="1:10" x14ac:dyDescent="0.35">
      <c r="A1497">
        <v>3251165067</v>
      </c>
      <c r="B1497" t="s">
        <v>1154</v>
      </c>
      <c r="C1497" t="s">
        <v>1155</v>
      </c>
      <c r="D1497" t="s">
        <v>1158</v>
      </c>
      <c r="E1497" t="s">
        <v>1159</v>
      </c>
      <c r="F1497" t="s">
        <v>201</v>
      </c>
      <c r="G1497">
        <v>937339</v>
      </c>
      <c r="H1497" t="s">
        <v>412</v>
      </c>
      <c r="I1497" s="4">
        <v>3505</v>
      </c>
      <c r="J1497" s="4">
        <v>490.03404999999998</v>
      </c>
    </row>
    <row r="1498" spans="1:10" x14ac:dyDescent="0.35">
      <c r="A1498">
        <v>3251165068</v>
      </c>
      <c r="B1498" t="s">
        <v>1154</v>
      </c>
      <c r="C1498" t="s">
        <v>1155</v>
      </c>
      <c r="D1498" t="s">
        <v>1158</v>
      </c>
      <c r="E1498" t="s">
        <v>1159</v>
      </c>
      <c r="F1498" t="s">
        <v>201</v>
      </c>
      <c r="G1498">
        <v>937339</v>
      </c>
      <c r="H1498" t="s">
        <v>412</v>
      </c>
      <c r="I1498" s="4">
        <v>1969</v>
      </c>
      <c r="J1498" s="4">
        <v>275.28588999999999</v>
      </c>
    </row>
    <row r="1499" spans="1:10" x14ac:dyDescent="0.35">
      <c r="A1499">
        <v>3251165065</v>
      </c>
      <c r="B1499" t="s">
        <v>1154</v>
      </c>
      <c r="C1499" t="s">
        <v>1155</v>
      </c>
      <c r="D1499" t="s">
        <v>1160</v>
      </c>
      <c r="E1499" t="s">
        <v>1161</v>
      </c>
      <c r="F1499" t="s">
        <v>201</v>
      </c>
      <c r="G1499">
        <v>937340</v>
      </c>
      <c r="H1499" t="s">
        <v>415</v>
      </c>
      <c r="I1499" s="4">
        <v>1896</v>
      </c>
      <c r="J1499" s="4">
        <v>1051.1424</v>
      </c>
    </row>
    <row r="1500" spans="1:10" x14ac:dyDescent="0.35">
      <c r="A1500">
        <v>3251165066</v>
      </c>
      <c r="B1500" t="s">
        <v>1154</v>
      </c>
      <c r="C1500" t="s">
        <v>1155</v>
      </c>
      <c r="D1500" t="s">
        <v>1160</v>
      </c>
      <c r="E1500" t="s">
        <v>1161</v>
      </c>
      <c r="F1500" t="s">
        <v>201</v>
      </c>
      <c r="G1500">
        <v>937340</v>
      </c>
      <c r="H1500" t="s">
        <v>415</v>
      </c>
      <c r="I1500" s="4">
        <v>2016</v>
      </c>
      <c r="J1500" s="4">
        <v>1117.6704</v>
      </c>
    </row>
    <row r="1501" spans="1:10" x14ac:dyDescent="0.35">
      <c r="A1501">
        <v>3251165067</v>
      </c>
      <c r="B1501" t="s">
        <v>1154</v>
      </c>
      <c r="C1501" t="s">
        <v>1155</v>
      </c>
      <c r="D1501" t="s">
        <v>1160</v>
      </c>
      <c r="E1501" t="s">
        <v>1161</v>
      </c>
      <c r="F1501" t="s">
        <v>201</v>
      </c>
      <c r="G1501">
        <v>937340</v>
      </c>
      <c r="H1501" t="s">
        <v>415</v>
      </c>
      <c r="I1501" s="4">
        <v>2160</v>
      </c>
      <c r="J1501" s="4">
        <v>1197.5040000000001</v>
      </c>
    </row>
    <row r="1502" spans="1:10" x14ac:dyDescent="0.35">
      <c r="A1502">
        <v>3251165068</v>
      </c>
      <c r="B1502" t="s">
        <v>1154</v>
      </c>
      <c r="C1502" t="s">
        <v>1155</v>
      </c>
      <c r="D1502" t="s">
        <v>1160</v>
      </c>
      <c r="E1502" t="s">
        <v>1161</v>
      </c>
      <c r="F1502" t="s">
        <v>201</v>
      </c>
      <c r="G1502">
        <v>937340</v>
      </c>
      <c r="H1502" t="s">
        <v>415</v>
      </c>
      <c r="I1502" s="4">
        <v>1176</v>
      </c>
      <c r="J1502" s="4">
        <v>651.97440000000006</v>
      </c>
    </row>
    <row r="1503" spans="1:10" x14ac:dyDescent="0.35">
      <c r="A1503">
        <v>3251165065</v>
      </c>
      <c r="B1503" t="s">
        <v>1154</v>
      </c>
      <c r="C1503" t="s">
        <v>1155</v>
      </c>
      <c r="D1503" t="s">
        <v>1162</v>
      </c>
      <c r="E1503" t="s">
        <v>1163</v>
      </c>
      <c r="F1503" t="s">
        <v>201</v>
      </c>
      <c r="G1503">
        <v>937341</v>
      </c>
      <c r="H1503" t="s">
        <v>421</v>
      </c>
      <c r="I1503" s="4">
        <v>720</v>
      </c>
      <c r="J1503" s="4">
        <v>544.89599999999996</v>
      </c>
    </row>
    <row r="1504" spans="1:10" x14ac:dyDescent="0.35">
      <c r="A1504">
        <v>3251165066</v>
      </c>
      <c r="B1504" t="s">
        <v>1154</v>
      </c>
      <c r="C1504" t="s">
        <v>1155</v>
      </c>
      <c r="D1504" t="s">
        <v>1162</v>
      </c>
      <c r="E1504" t="s">
        <v>1163</v>
      </c>
      <c r="F1504" t="s">
        <v>201</v>
      </c>
      <c r="G1504">
        <v>937341</v>
      </c>
      <c r="H1504" t="s">
        <v>421</v>
      </c>
      <c r="I1504" s="4">
        <v>768</v>
      </c>
      <c r="J1504" s="4">
        <v>581.22239999999988</v>
      </c>
    </row>
    <row r="1505" spans="1:10" x14ac:dyDescent="0.35">
      <c r="A1505">
        <v>3251165067</v>
      </c>
      <c r="B1505" t="s">
        <v>1154</v>
      </c>
      <c r="C1505" t="s">
        <v>1155</v>
      </c>
      <c r="D1505" t="s">
        <v>1162</v>
      </c>
      <c r="E1505" t="s">
        <v>1163</v>
      </c>
      <c r="F1505" t="s">
        <v>201</v>
      </c>
      <c r="G1505">
        <v>937341</v>
      </c>
      <c r="H1505" t="s">
        <v>421</v>
      </c>
      <c r="I1505" s="4">
        <v>792</v>
      </c>
      <c r="J1505" s="4">
        <v>599.38559999999995</v>
      </c>
    </row>
    <row r="1506" spans="1:10" x14ac:dyDescent="0.35">
      <c r="A1506">
        <v>3251165068</v>
      </c>
      <c r="B1506" t="s">
        <v>1154</v>
      </c>
      <c r="C1506" t="s">
        <v>1155</v>
      </c>
      <c r="D1506" t="s">
        <v>1162</v>
      </c>
      <c r="E1506" t="s">
        <v>1163</v>
      </c>
      <c r="F1506" t="s">
        <v>201</v>
      </c>
      <c r="G1506">
        <v>937341</v>
      </c>
      <c r="H1506" t="s">
        <v>421</v>
      </c>
      <c r="I1506" s="4">
        <v>432</v>
      </c>
      <c r="J1506" s="4">
        <v>326.93759999999997</v>
      </c>
    </row>
    <row r="1507" spans="1:10" x14ac:dyDescent="0.35">
      <c r="A1507">
        <v>3251165070</v>
      </c>
      <c r="B1507" t="s">
        <v>1154</v>
      </c>
      <c r="C1507" t="s">
        <v>1164</v>
      </c>
      <c r="D1507" t="s">
        <v>1165</v>
      </c>
      <c r="E1507" t="s">
        <v>1166</v>
      </c>
      <c r="F1507" t="s">
        <v>201</v>
      </c>
      <c r="G1507">
        <v>947313</v>
      </c>
      <c r="H1507" t="s">
        <v>433</v>
      </c>
      <c r="I1507" s="4">
        <v>4608</v>
      </c>
      <c r="J1507" s="4">
        <v>219.73248000000001</v>
      </c>
    </row>
    <row r="1508" spans="1:10" x14ac:dyDescent="0.35">
      <c r="A1508">
        <v>3251165071</v>
      </c>
      <c r="B1508" t="s">
        <v>1154</v>
      </c>
      <c r="C1508" t="s">
        <v>1164</v>
      </c>
      <c r="D1508" t="s">
        <v>1165</v>
      </c>
      <c r="E1508" t="s">
        <v>1166</v>
      </c>
      <c r="F1508" t="s">
        <v>201</v>
      </c>
      <c r="G1508">
        <v>947313</v>
      </c>
      <c r="H1508" t="s">
        <v>433</v>
      </c>
      <c r="I1508" s="4">
        <v>5632</v>
      </c>
      <c r="J1508" s="4">
        <v>268.56192000000004</v>
      </c>
    </row>
    <row r="1509" spans="1:10" x14ac:dyDescent="0.35">
      <c r="A1509">
        <v>3251165072</v>
      </c>
      <c r="B1509" t="s">
        <v>1154</v>
      </c>
      <c r="C1509" t="s">
        <v>1164</v>
      </c>
      <c r="D1509" t="s">
        <v>1165</v>
      </c>
      <c r="E1509" t="s">
        <v>1166</v>
      </c>
      <c r="F1509" t="s">
        <v>201</v>
      </c>
      <c r="G1509">
        <v>947313</v>
      </c>
      <c r="H1509" t="s">
        <v>433</v>
      </c>
      <c r="I1509" s="4">
        <v>5632</v>
      </c>
      <c r="J1509" s="4">
        <v>268.56192000000004</v>
      </c>
    </row>
    <row r="1510" spans="1:10" x14ac:dyDescent="0.35">
      <c r="A1510">
        <v>3251165073</v>
      </c>
      <c r="B1510" t="s">
        <v>1154</v>
      </c>
      <c r="C1510" t="s">
        <v>1164</v>
      </c>
      <c r="D1510" t="s">
        <v>1165</v>
      </c>
      <c r="E1510" t="s">
        <v>1166</v>
      </c>
      <c r="F1510" t="s">
        <v>201</v>
      </c>
      <c r="G1510">
        <v>947313</v>
      </c>
      <c r="H1510" t="s">
        <v>433</v>
      </c>
      <c r="I1510" s="4">
        <v>3072</v>
      </c>
      <c r="J1510" s="4">
        <v>146.48832000000002</v>
      </c>
    </row>
    <row r="1511" spans="1:10" x14ac:dyDescent="0.35">
      <c r="A1511">
        <v>3251165070</v>
      </c>
      <c r="B1511" t="s">
        <v>1154</v>
      </c>
      <c r="C1511" t="s">
        <v>1164</v>
      </c>
      <c r="D1511" t="s">
        <v>706</v>
      </c>
      <c r="E1511" t="s">
        <v>1167</v>
      </c>
      <c r="F1511" t="s">
        <v>201</v>
      </c>
      <c r="G1511">
        <v>947312</v>
      </c>
      <c r="H1511" t="s">
        <v>412</v>
      </c>
      <c r="I1511" s="4">
        <v>2816</v>
      </c>
      <c r="J1511" s="4">
        <v>265.37983999999994</v>
      </c>
    </row>
    <row r="1512" spans="1:10" x14ac:dyDescent="0.35">
      <c r="A1512">
        <v>3251165071</v>
      </c>
      <c r="B1512" t="s">
        <v>1154</v>
      </c>
      <c r="C1512" t="s">
        <v>1164</v>
      </c>
      <c r="D1512" t="s">
        <v>706</v>
      </c>
      <c r="E1512" t="s">
        <v>1167</v>
      </c>
      <c r="F1512" t="s">
        <v>201</v>
      </c>
      <c r="G1512">
        <v>947312</v>
      </c>
      <c r="H1512" t="s">
        <v>412</v>
      </c>
      <c r="I1512" s="4">
        <v>3072</v>
      </c>
      <c r="J1512" s="4">
        <v>289.50527999999997</v>
      </c>
    </row>
    <row r="1513" spans="1:10" x14ac:dyDescent="0.35">
      <c r="A1513">
        <v>3251165072</v>
      </c>
      <c r="B1513" t="s">
        <v>1154</v>
      </c>
      <c r="C1513" t="s">
        <v>1164</v>
      </c>
      <c r="D1513" t="s">
        <v>706</v>
      </c>
      <c r="E1513" t="s">
        <v>1167</v>
      </c>
      <c r="F1513" t="s">
        <v>201</v>
      </c>
      <c r="G1513">
        <v>947312</v>
      </c>
      <c r="H1513" t="s">
        <v>412</v>
      </c>
      <c r="I1513" s="4">
        <v>3072</v>
      </c>
      <c r="J1513" s="4">
        <v>289.50527999999997</v>
      </c>
    </row>
    <row r="1514" spans="1:10" x14ac:dyDescent="0.35">
      <c r="A1514">
        <v>3251165073</v>
      </c>
      <c r="B1514" t="s">
        <v>1154</v>
      </c>
      <c r="C1514" t="s">
        <v>1164</v>
      </c>
      <c r="D1514" t="s">
        <v>706</v>
      </c>
      <c r="E1514" t="s">
        <v>1167</v>
      </c>
      <c r="F1514" t="s">
        <v>201</v>
      </c>
      <c r="G1514">
        <v>947312</v>
      </c>
      <c r="H1514" t="s">
        <v>412</v>
      </c>
      <c r="I1514" s="4">
        <v>1536</v>
      </c>
      <c r="J1514" s="4">
        <v>144.75263999999999</v>
      </c>
    </row>
    <row r="1515" spans="1:10" x14ac:dyDescent="0.35">
      <c r="A1515">
        <v>3251165070</v>
      </c>
      <c r="B1515" t="s">
        <v>1154</v>
      </c>
      <c r="C1515" t="s">
        <v>1164</v>
      </c>
      <c r="D1515" t="s">
        <v>712</v>
      </c>
      <c r="E1515" t="s">
        <v>1168</v>
      </c>
      <c r="F1515" t="s">
        <v>201</v>
      </c>
      <c r="G1515">
        <v>947310</v>
      </c>
      <c r="H1515" t="s">
        <v>415</v>
      </c>
      <c r="I1515" s="4">
        <v>1872</v>
      </c>
      <c r="J1515" s="4">
        <v>717.05088000000001</v>
      </c>
    </row>
    <row r="1516" spans="1:10" x14ac:dyDescent="0.35">
      <c r="A1516">
        <v>3251165071</v>
      </c>
      <c r="B1516" t="s">
        <v>1154</v>
      </c>
      <c r="C1516" t="s">
        <v>1164</v>
      </c>
      <c r="D1516" t="s">
        <v>712</v>
      </c>
      <c r="E1516" t="s">
        <v>1168</v>
      </c>
      <c r="F1516" t="s">
        <v>201</v>
      </c>
      <c r="G1516">
        <v>947310</v>
      </c>
      <c r="H1516" t="s">
        <v>415</v>
      </c>
      <c r="I1516" s="4">
        <v>2016</v>
      </c>
      <c r="J1516" s="4">
        <v>772.20864000000006</v>
      </c>
    </row>
    <row r="1517" spans="1:10" x14ac:dyDescent="0.35">
      <c r="A1517">
        <v>3251165072</v>
      </c>
      <c r="B1517" t="s">
        <v>1154</v>
      </c>
      <c r="C1517" t="s">
        <v>1164</v>
      </c>
      <c r="D1517" t="s">
        <v>712</v>
      </c>
      <c r="E1517" t="s">
        <v>1168</v>
      </c>
      <c r="F1517" t="s">
        <v>201</v>
      </c>
      <c r="G1517">
        <v>947310</v>
      </c>
      <c r="H1517" t="s">
        <v>415</v>
      </c>
      <c r="I1517" s="4">
        <v>2160</v>
      </c>
      <c r="J1517" s="4">
        <v>827.3664</v>
      </c>
    </row>
    <row r="1518" spans="1:10" x14ac:dyDescent="0.35">
      <c r="A1518">
        <v>3251165073</v>
      </c>
      <c r="B1518" t="s">
        <v>1154</v>
      </c>
      <c r="C1518" t="s">
        <v>1164</v>
      </c>
      <c r="D1518" t="s">
        <v>712</v>
      </c>
      <c r="E1518" t="s">
        <v>1168</v>
      </c>
      <c r="F1518" t="s">
        <v>201</v>
      </c>
      <c r="G1518">
        <v>947310</v>
      </c>
      <c r="H1518" t="s">
        <v>415</v>
      </c>
      <c r="I1518" s="4">
        <v>1152</v>
      </c>
      <c r="J1518" s="4">
        <v>441.26208000000003</v>
      </c>
    </row>
    <row r="1519" spans="1:10" x14ac:dyDescent="0.35">
      <c r="A1519">
        <v>3151272055</v>
      </c>
      <c r="B1519" t="s">
        <v>1169</v>
      </c>
      <c r="C1519" t="s">
        <v>1170</v>
      </c>
      <c r="D1519" t="s">
        <v>473</v>
      </c>
      <c r="E1519" t="s">
        <v>1171</v>
      </c>
      <c r="G1519">
        <v>934845</v>
      </c>
      <c r="H1519" t="s">
        <v>433</v>
      </c>
      <c r="I1519" s="4">
        <v>7200</v>
      </c>
      <c r="J1519" s="4">
        <v>476.7192</v>
      </c>
    </row>
    <row r="1520" spans="1:10" x14ac:dyDescent="0.35">
      <c r="A1520">
        <v>3151272001</v>
      </c>
      <c r="B1520" t="s">
        <v>1169</v>
      </c>
      <c r="C1520" t="s">
        <v>1172</v>
      </c>
      <c r="D1520" t="s">
        <v>861</v>
      </c>
      <c r="E1520" t="s">
        <v>1173</v>
      </c>
      <c r="F1520" t="s">
        <v>201</v>
      </c>
      <c r="G1520">
        <v>918125</v>
      </c>
      <c r="H1520" t="s">
        <v>412</v>
      </c>
      <c r="I1520" s="4">
        <v>16200</v>
      </c>
      <c r="J1520" s="4">
        <v>3394.7910000000002</v>
      </c>
    </row>
    <row r="1521" spans="1:10" x14ac:dyDescent="0.35">
      <c r="A1521">
        <v>3151272001</v>
      </c>
      <c r="B1521" t="s">
        <v>1169</v>
      </c>
      <c r="C1521" t="s">
        <v>1174</v>
      </c>
      <c r="D1521" t="s">
        <v>618</v>
      </c>
      <c r="E1521" t="s">
        <v>1175</v>
      </c>
      <c r="F1521" t="s">
        <v>201</v>
      </c>
      <c r="G1521">
        <v>918121</v>
      </c>
      <c r="H1521" t="s">
        <v>415</v>
      </c>
      <c r="I1521" s="4">
        <v>2880</v>
      </c>
      <c r="J1521" s="4">
        <v>2169.1872000000003</v>
      </c>
    </row>
    <row r="1522" spans="1:10" x14ac:dyDescent="0.35">
      <c r="A1522">
        <v>3151272001</v>
      </c>
      <c r="B1522" t="s">
        <v>1169</v>
      </c>
      <c r="C1522" t="s">
        <v>1176</v>
      </c>
      <c r="D1522" t="s">
        <v>816</v>
      </c>
      <c r="E1522" t="s">
        <v>1177</v>
      </c>
      <c r="F1522" t="s">
        <v>201</v>
      </c>
      <c r="G1522">
        <v>918124</v>
      </c>
      <c r="H1522" t="s">
        <v>415</v>
      </c>
      <c r="I1522" s="4">
        <v>1728</v>
      </c>
      <c r="J1522" s="4">
        <v>1118.9335679999999</v>
      </c>
    </row>
    <row r="1523" spans="1:10" x14ac:dyDescent="0.35">
      <c r="A1523">
        <v>3151272001</v>
      </c>
      <c r="B1523" t="s">
        <v>1169</v>
      </c>
      <c r="C1523" t="s">
        <v>1178</v>
      </c>
      <c r="D1523" t="s">
        <v>473</v>
      </c>
      <c r="E1523" t="s">
        <v>1179</v>
      </c>
      <c r="F1523" t="s">
        <v>201</v>
      </c>
      <c r="G1523">
        <v>918126</v>
      </c>
      <c r="H1523" t="s">
        <v>433</v>
      </c>
      <c r="I1523" s="4">
        <v>28800</v>
      </c>
      <c r="J1523" s="4">
        <v>2179.7568000000001</v>
      </c>
    </row>
    <row r="1524" spans="1:10" x14ac:dyDescent="0.35">
      <c r="A1524">
        <v>3151272381</v>
      </c>
      <c r="B1524" t="s">
        <v>1169</v>
      </c>
      <c r="C1524" t="s">
        <v>1180</v>
      </c>
      <c r="D1524" t="s">
        <v>473</v>
      </c>
      <c r="E1524" t="s">
        <v>1181</v>
      </c>
      <c r="F1524" t="s">
        <v>201</v>
      </c>
      <c r="G1524">
        <v>918120</v>
      </c>
      <c r="H1524" t="s">
        <v>433</v>
      </c>
      <c r="I1524" s="4">
        <v>11400</v>
      </c>
      <c r="J1524" s="4">
        <v>645.55919999999992</v>
      </c>
    </row>
    <row r="1525" spans="1:10" x14ac:dyDescent="0.35">
      <c r="A1525">
        <v>3151272002</v>
      </c>
      <c r="B1525" t="s">
        <v>1169</v>
      </c>
      <c r="C1525" t="s">
        <v>1180</v>
      </c>
      <c r="D1525" t="s">
        <v>473</v>
      </c>
      <c r="E1525" t="s">
        <v>1181</v>
      </c>
      <c r="F1525" t="s">
        <v>201</v>
      </c>
      <c r="G1525">
        <v>918120</v>
      </c>
      <c r="H1525" t="s">
        <v>433</v>
      </c>
      <c r="I1525" s="4">
        <v>46800</v>
      </c>
      <c r="J1525" s="4">
        <v>2650.1904</v>
      </c>
    </row>
    <row r="1526" spans="1:10" x14ac:dyDescent="0.35">
      <c r="A1526">
        <v>3151272003</v>
      </c>
      <c r="B1526" t="s">
        <v>1169</v>
      </c>
      <c r="C1526" t="s">
        <v>1180</v>
      </c>
      <c r="D1526" t="s">
        <v>473</v>
      </c>
      <c r="E1526" t="s">
        <v>1181</v>
      </c>
      <c r="F1526" t="s">
        <v>201</v>
      </c>
      <c r="G1526">
        <v>934738</v>
      </c>
      <c r="H1526" t="s">
        <v>433</v>
      </c>
      <c r="I1526" s="4">
        <v>10800</v>
      </c>
      <c r="J1526" s="4">
        <v>611.58240000000001</v>
      </c>
    </row>
    <row r="1527" spans="1:10" x14ac:dyDescent="0.35">
      <c r="A1527">
        <v>3151272381</v>
      </c>
      <c r="B1527" t="s">
        <v>1169</v>
      </c>
      <c r="C1527" t="s">
        <v>1182</v>
      </c>
      <c r="D1527" t="s">
        <v>524</v>
      </c>
      <c r="E1527" t="s">
        <v>1183</v>
      </c>
      <c r="F1527" t="s">
        <v>201</v>
      </c>
      <c r="G1527">
        <v>918117</v>
      </c>
      <c r="H1527" t="s">
        <v>412</v>
      </c>
      <c r="I1527" s="4">
        <v>4824</v>
      </c>
      <c r="J1527" s="4">
        <v>825.232032</v>
      </c>
    </row>
    <row r="1528" spans="1:10" x14ac:dyDescent="0.35">
      <c r="A1528">
        <v>3151272002</v>
      </c>
      <c r="B1528" t="s">
        <v>1169</v>
      </c>
      <c r="C1528" t="s">
        <v>1182</v>
      </c>
      <c r="D1528" t="s">
        <v>524</v>
      </c>
      <c r="E1528" t="s">
        <v>1183</v>
      </c>
      <c r="F1528" t="s">
        <v>201</v>
      </c>
      <c r="G1528">
        <v>918117</v>
      </c>
      <c r="H1528" t="s">
        <v>412</v>
      </c>
      <c r="I1528" s="4">
        <v>23760</v>
      </c>
      <c r="J1528" s="4">
        <v>4064.5756800000004</v>
      </c>
    </row>
    <row r="1529" spans="1:10" x14ac:dyDescent="0.35">
      <c r="A1529">
        <v>3151272003</v>
      </c>
      <c r="B1529" t="s">
        <v>1169</v>
      </c>
      <c r="C1529" t="s">
        <v>1182</v>
      </c>
      <c r="D1529" t="s">
        <v>524</v>
      </c>
      <c r="E1529" t="s">
        <v>1183</v>
      </c>
      <c r="F1529" t="s">
        <v>201</v>
      </c>
      <c r="G1529">
        <v>934736</v>
      </c>
      <c r="H1529" t="s">
        <v>412</v>
      </c>
      <c r="I1529" s="4">
        <v>2160</v>
      </c>
      <c r="J1529" s="4">
        <v>369.50688000000002</v>
      </c>
    </row>
    <row r="1530" spans="1:10" x14ac:dyDescent="0.35">
      <c r="A1530">
        <v>3151272002</v>
      </c>
      <c r="B1530" t="s">
        <v>1169</v>
      </c>
      <c r="C1530" t="s">
        <v>1184</v>
      </c>
      <c r="D1530" t="s">
        <v>809</v>
      </c>
      <c r="E1530" t="s">
        <v>1185</v>
      </c>
      <c r="F1530" t="s">
        <v>201</v>
      </c>
      <c r="G1530">
        <v>918116</v>
      </c>
      <c r="H1530" t="s">
        <v>415</v>
      </c>
      <c r="I1530" s="4">
        <v>5760</v>
      </c>
      <c r="J1530" s="4">
        <v>3068.8703999999998</v>
      </c>
    </row>
    <row r="1531" spans="1:10" x14ac:dyDescent="0.35">
      <c r="A1531">
        <v>3151272381</v>
      </c>
      <c r="B1531" t="s">
        <v>1169</v>
      </c>
      <c r="C1531" t="s">
        <v>1186</v>
      </c>
      <c r="D1531" t="s">
        <v>816</v>
      </c>
      <c r="E1531" t="s">
        <v>1187</v>
      </c>
      <c r="F1531" t="s">
        <v>201</v>
      </c>
      <c r="G1531">
        <v>918115</v>
      </c>
      <c r="H1531" t="s">
        <v>415</v>
      </c>
      <c r="I1531" s="4">
        <v>10200</v>
      </c>
      <c r="J1531" s="4">
        <v>6585.5280000000002</v>
      </c>
    </row>
    <row r="1532" spans="1:10" x14ac:dyDescent="0.35">
      <c r="A1532">
        <v>3151272002</v>
      </c>
      <c r="B1532" t="s">
        <v>1169</v>
      </c>
      <c r="C1532" t="s">
        <v>1186</v>
      </c>
      <c r="D1532" t="s">
        <v>816</v>
      </c>
      <c r="E1532" t="s">
        <v>1187</v>
      </c>
      <c r="F1532" t="s">
        <v>201</v>
      </c>
      <c r="G1532">
        <v>918115</v>
      </c>
      <c r="H1532" t="s">
        <v>415</v>
      </c>
      <c r="I1532" s="4">
        <v>8448</v>
      </c>
      <c r="J1532" s="4">
        <v>5454.36672</v>
      </c>
    </row>
    <row r="1533" spans="1:10" x14ac:dyDescent="0.35">
      <c r="A1533">
        <v>3151272003</v>
      </c>
      <c r="B1533" t="s">
        <v>1169</v>
      </c>
      <c r="C1533" t="s">
        <v>1186</v>
      </c>
      <c r="D1533" t="s">
        <v>816</v>
      </c>
      <c r="E1533" t="s">
        <v>1187</v>
      </c>
      <c r="F1533" t="s">
        <v>201</v>
      </c>
      <c r="G1533">
        <v>934734</v>
      </c>
      <c r="H1533" t="s">
        <v>415</v>
      </c>
      <c r="I1533" s="4">
        <v>1536</v>
      </c>
      <c r="J1533" s="4">
        <v>991.7030400000001</v>
      </c>
    </row>
    <row r="1534" spans="1:10" x14ac:dyDescent="0.35">
      <c r="A1534">
        <v>3151272002</v>
      </c>
      <c r="B1534" t="s">
        <v>1169</v>
      </c>
      <c r="C1534" t="s">
        <v>1188</v>
      </c>
      <c r="D1534" t="s">
        <v>1189</v>
      </c>
      <c r="E1534" t="s">
        <v>1190</v>
      </c>
      <c r="F1534" t="s">
        <v>201</v>
      </c>
      <c r="G1534">
        <v>918119</v>
      </c>
      <c r="H1534" t="s">
        <v>614</v>
      </c>
      <c r="I1534" s="4">
        <v>6336</v>
      </c>
      <c r="J1534" s="4">
        <v>2270.25216</v>
      </c>
    </row>
    <row r="1535" spans="1:10" x14ac:dyDescent="0.35">
      <c r="A1535">
        <v>3151272003</v>
      </c>
      <c r="B1535" t="s">
        <v>1169</v>
      </c>
      <c r="C1535" t="s">
        <v>1188</v>
      </c>
      <c r="D1535" t="s">
        <v>1189</v>
      </c>
      <c r="E1535" t="s">
        <v>1190</v>
      </c>
      <c r="F1535" t="s">
        <v>201</v>
      </c>
      <c r="G1535">
        <v>934737</v>
      </c>
      <c r="H1535" t="s">
        <v>614</v>
      </c>
      <c r="I1535" s="4">
        <v>1728</v>
      </c>
      <c r="J1535" s="4">
        <v>619.15968000000009</v>
      </c>
    </row>
    <row r="1536" spans="1:10" x14ac:dyDescent="0.35">
      <c r="A1536">
        <v>3151272231</v>
      </c>
      <c r="B1536" t="s">
        <v>1169</v>
      </c>
      <c r="C1536" t="s">
        <v>1191</v>
      </c>
      <c r="D1536" t="s">
        <v>434</v>
      </c>
      <c r="E1536" t="s">
        <v>1192</v>
      </c>
      <c r="F1536" t="s">
        <v>581</v>
      </c>
      <c r="G1536">
        <v>929460</v>
      </c>
      <c r="H1536" t="s">
        <v>415</v>
      </c>
      <c r="I1536" s="4">
        <v>13680</v>
      </c>
      <c r="J1536" s="4">
        <v>5982.3187200000002</v>
      </c>
    </row>
    <row r="1537" spans="1:10" x14ac:dyDescent="0.35">
      <c r="A1537">
        <v>3151272025</v>
      </c>
      <c r="B1537" t="s">
        <v>1169</v>
      </c>
      <c r="C1537" t="s">
        <v>1193</v>
      </c>
      <c r="D1537" t="s">
        <v>445</v>
      </c>
      <c r="E1537" t="s">
        <v>1194</v>
      </c>
      <c r="G1537">
        <v>692777</v>
      </c>
      <c r="H1537" t="s">
        <v>433</v>
      </c>
      <c r="I1537" s="4">
        <v>45720</v>
      </c>
      <c r="J1537" s="4">
        <v>2518.2576000000004</v>
      </c>
    </row>
    <row r="1538" spans="1:10" x14ac:dyDescent="0.35">
      <c r="A1538">
        <v>3151272593</v>
      </c>
      <c r="B1538" t="s">
        <v>1169</v>
      </c>
      <c r="C1538" t="s">
        <v>1104</v>
      </c>
      <c r="D1538" t="s">
        <v>606</v>
      </c>
      <c r="E1538" t="s">
        <v>1195</v>
      </c>
      <c r="G1538">
        <v>949858</v>
      </c>
      <c r="H1538" t="s">
        <v>421</v>
      </c>
      <c r="I1538" s="4">
        <v>2667</v>
      </c>
      <c r="J1538" s="4">
        <v>2001.5835</v>
      </c>
    </row>
    <row r="1539" spans="1:10" x14ac:dyDescent="0.35">
      <c r="A1539">
        <v>3151272207</v>
      </c>
      <c r="B1539" t="s">
        <v>1169</v>
      </c>
      <c r="C1539" t="s">
        <v>1196</v>
      </c>
      <c r="D1539" t="s">
        <v>1197</v>
      </c>
      <c r="E1539" t="s">
        <v>1198</v>
      </c>
      <c r="F1539" t="s">
        <v>201</v>
      </c>
      <c r="G1539">
        <v>926809</v>
      </c>
      <c r="H1539" t="s">
        <v>614</v>
      </c>
      <c r="I1539" s="4">
        <v>3420</v>
      </c>
      <c r="J1539" s="4">
        <v>1373.8071599999998</v>
      </c>
    </row>
    <row r="1540" spans="1:10" x14ac:dyDescent="0.35">
      <c r="A1540">
        <v>3151272559</v>
      </c>
      <c r="B1540" t="s">
        <v>1169</v>
      </c>
      <c r="C1540" t="s">
        <v>1196</v>
      </c>
      <c r="D1540" t="s">
        <v>1197</v>
      </c>
      <c r="E1540" t="s">
        <v>1198</v>
      </c>
      <c r="F1540" t="s">
        <v>201</v>
      </c>
      <c r="G1540">
        <v>926809</v>
      </c>
      <c r="H1540" t="s">
        <v>614</v>
      </c>
      <c r="I1540" s="4">
        <v>2592</v>
      </c>
      <c r="J1540" s="4">
        <v>1041.2012159999999</v>
      </c>
    </row>
    <row r="1541" spans="1:10" x14ac:dyDescent="0.35">
      <c r="A1541">
        <v>3151272184</v>
      </c>
      <c r="B1541" t="s">
        <v>1169</v>
      </c>
      <c r="C1541" t="s">
        <v>1196</v>
      </c>
      <c r="D1541" t="s">
        <v>1197</v>
      </c>
      <c r="E1541" t="s">
        <v>1198</v>
      </c>
      <c r="F1541" t="s">
        <v>201</v>
      </c>
      <c r="G1541">
        <v>926809</v>
      </c>
      <c r="H1541" t="s">
        <v>614</v>
      </c>
      <c r="I1541" s="4">
        <v>4608</v>
      </c>
      <c r="J1541" s="4">
        <v>1851.0243839999998</v>
      </c>
    </row>
    <row r="1542" spans="1:10" x14ac:dyDescent="0.35">
      <c r="A1542">
        <v>3151272230</v>
      </c>
      <c r="B1542" t="s">
        <v>1169</v>
      </c>
      <c r="C1542" t="s">
        <v>1196</v>
      </c>
      <c r="D1542" t="s">
        <v>1197</v>
      </c>
      <c r="E1542" t="s">
        <v>1198</v>
      </c>
      <c r="F1542" t="s">
        <v>201</v>
      </c>
      <c r="G1542">
        <v>926809</v>
      </c>
      <c r="H1542" t="s">
        <v>614</v>
      </c>
      <c r="I1542" s="4">
        <v>4140</v>
      </c>
      <c r="J1542" s="4">
        <v>1663.02972</v>
      </c>
    </row>
    <row r="1543" spans="1:10" x14ac:dyDescent="0.35">
      <c r="A1543">
        <v>3151272207</v>
      </c>
      <c r="B1543" t="s">
        <v>1169</v>
      </c>
      <c r="C1543" t="s">
        <v>1199</v>
      </c>
      <c r="D1543" t="s">
        <v>861</v>
      </c>
      <c r="E1543" t="s">
        <v>1200</v>
      </c>
      <c r="F1543" t="s">
        <v>201</v>
      </c>
      <c r="G1543">
        <v>920334</v>
      </c>
      <c r="H1543" t="s">
        <v>412</v>
      </c>
      <c r="I1543" s="4">
        <v>9000</v>
      </c>
      <c r="J1543" s="4">
        <v>2068.317</v>
      </c>
    </row>
    <row r="1544" spans="1:10" x14ac:dyDescent="0.35">
      <c r="A1544">
        <v>3151272559</v>
      </c>
      <c r="B1544" t="s">
        <v>1169</v>
      </c>
      <c r="C1544" t="s">
        <v>1199</v>
      </c>
      <c r="D1544" t="s">
        <v>861</v>
      </c>
      <c r="E1544" t="s">
        <v>1200</v>
      </c>
      <c r="F1544" t="s">
        <v>201</v>
      </c>
      <c r="G1544">
        <v>920334</v>
      </c>
      <c r="H1544" t="s">
        <v>412</v>
      </c>
      <c r="I1544" s="4">
        <v>15120</v>
      </c>
      <c r="J1544" s="4">
        <v>3474.7725599999999</v>
      </c>
    </row>
    <row r="1545" spans="1:10" x14ac:dyDescent="0.35">
      <c r="A1545">
        <v>3151272184</v>
      </c>
      <c r="B1545" t="s">
        <v>1169</v>
      </c>
      <c r="C1545" t="s">
        <v>1199</v>
      </c>
      <c r="D1545" t="s">
        <v>861</v>
      </c>
      <c r="E1545" t="s">
        <v>1200</v>
      </c>
      <c r="F1545" t="s">
        <v>201</v>
      </c>
      <c r="G1545">
        <v>920334</v>
      </c>
      <c r="H1545" t="s">
        <v>412</v>
      </c>
      <c r="I1545" s="4">
        <v>34560</v>
      </c>
      <c r="J1545" s="4">
        <v>7942.3372799999997</v>
      </c>
    </row>
    <row r="1546" spans="1:10" x14ac:dyDescent="0.35">
      <c r="A1546">
        <v>3151272230</v>
      </c>
      <c r="B1546" t="s">
        <v>1169</v>
      </c>
      <c r="C1546" t="s">
        <v>1199</v>
      </c>
      <c r="D1546" t="s">
        <v>861</v>
      </c>
      <c r="E1546" t="s">
        <v>1200</v>
      </c>
      <c r="F1546" t="s">
        <v>201</v>
      </c>
      <c r="G1546">
        <v>920334</v>
      </c>
      <c r="H1546" t="s">
        <v>412</v>
      </c>
      <c r="I1546" s="4">
        <v>9000</v>
      </c>
      <c r="J1546" s="4">
        <v>2068.317</v>
      </c>
    </row>
    <row r="1547" spans="1:10" x14ac:dyDescent="0.35">
      <c r="A1547">
        <v>3151272207</v>
      </c>
      <c r="B1547" t="s">
        <v>1169</v>
      </c>
      <c r="C1547" t="s">
        <v>1199</v>
      </c>
      <c r="D1547" t="s">
        <v>725</v>
      </c>
      <c r="E1547" t="s">
        <v>1201</v>
      </c>
      <c r="F1547" t="s">
        <v>201</v>
      </c>
      <c r="G1547">
        <v>920333</v>
      </c>
      <c r="H1547" t="s">
        <v>415</v>
      </c>
      <c r="I1547" s="4">
        <v>7800</v>
      </c>
      <c r="J1547" s="4">
        <v>5277.9324000000006</v>
      </c>
    </row>
    <row r="1548" spans="1:10" x14ac:dyDescent="0.35">
      <c r="A1548">
        <v>3151272559</v>
      </c>
      <c r="B1548" t="s">
        <v>1169</v>
      </c>
      <c r="C1548" t="s">
        <v>1199</v>
      </c>
      <c r="D1548" t="s">
        <v>725</v>
      </c>
      <c r="E1548" t="s">
        <v>1201</v>
      </c>
      <c r="F1548" t="s">
        <v>201</v>
      </c>
      <c r="G1548">
        <v>920333</v>
      </c>
      <c r="H1548" t="s">
        <v>415</v>
      </c>
      <c r="I1548" s="4">
        <v>6048</v>
      </c>
      <c r="J1548" s="4">
        <v>4092.4275840000005</v>
      </c>
    </row>
    <row r="1549" spans="1:10" x14ac:dyDescent="0.35">
      <c r="A1549">
        <v>3151272230</v>
      </c>
      <c r="B1549" t="s">
        <v>1169</v>
      </c>
      <c r="C1549" t="s">
        <v>1199</v>
      </c>
      <c r="D1549" t="s">
        <v>725</v>
      </c>
      <c r="E1549" t="s">
        <v>1201</v>
      </c>
      <c r="F1549" t="s">
        <v>201</v>
      </c>
      <c r="G1549">
        <v>920333</v>
      </c>
      <c r="H1549" t="s">
        <v>415</v>
      </c>
      <c r="I1549" s="4">
        <v>7320</v>
      </c>
      <c r="J1549" s="4">
        <v>4953.1365600000008</v>
      </c>
    </row>
    <row r="1550" spans="1:10" x14ac:dyDescent="0.35">
      <c r="A1550">
        <v>3151272205</v>
      </c>
      <c r="B1550" t="s">
        <v>1169</v>
      </c>
      <c r="C1550" t="s">
        <v>1202</v>
      </c>
      <c r="D1550" t="s">
        <v>530</v>
      </c>
      <c r="E1550" t="s">
        <v>1203</v>
      </c>
      <c r="F1550" t="s">
        <v>201</v>
      </c>
      <c r="G1550">
        <v>921270</v>
      </c>
      <c r="H1550" t="s">
        <v>421</v>
      </c>
      <c r="I1550" s="4">
        <v>1824</v>
      </c>
      <c r="J1550" s="4">
        <v>1831.9945920000002</v>
      </c>
    </row>
    <row r="1551" spans="1:10" x14ac:dyDescent="0.35">
      <c r="A1551">
        <v>3151272186</v>
      </c>
      <c r="B1551" t="s">
        <v>1169</v>
      </c>
      <c r="C1551" t="s">
        <v>1204</v>
      </c>
      <c r="D1551" t="s">
        <v>861</v>
      </c>
      <c r="E1551" t="s">
        <v>1205</v>
      </c>
      <c r="F1551" t="s">
        <v>201</v>
      </c>
      <c r="G1551">
        <v>920329</v>
      </c>
      <c r="H1551" t="s">
        <v>412</v>
      </c>
      <c r="I1551" s="4">
        <v>60480</v>
      </c>
      <c r="J1551" s="4">
        <v>11729.854080000001</v>
      </c>
    </row>
    <row r="1552" spans="1:10" x14ac:dyDescent="0.35">
      <c r="A1552">
        <v>3151272496</v>
      </c>
      <c r="B1552" t="s">
        <v>1169</v>
      </c>
      <c r="C1552" t="s">
        <v>1204</v>
      </c>
      <c r="D1552" t="s">
        <v>861</v>
      </c>
      <c r="E1552" t="s">
        <v>1205</v>
      </c>
      <c r="G1552">
        <v>920329</v>
      </c>
      <c r="H1552" t="s">
        <v>412</v>
      </c>
      <c r="I1552" s="4">
        <v>69840</v>
      </c>
      <c r="J1552" s="4">
        <v>13545.18864</v>
      </c>
    </row>
    <row r="1553" spans="1:10" x14ac:dyDescent="0.35">
      <c r="A1553">
        <v>3151272186</v>
      </c>
      <c r="B1553" t="s">
        <v>1169</v>
      </c>
      <c r="C1553" t="s">
        <v>1204</v>
      </c>
      <c r="D1553" t="s">
        <v>1197</v>
      </c>
      <c r="E1553" t="s">
        <v>1206</v>
      </c>
      <c r="F1553" t="s">
        <v>201</v>
      </c>
      <c r="G1553">
        <v>926810</v>
      </c>
      <c r="H1553" t="s">
        <v>614</v>
      </c>
      <c r="I1553" s="4">
        <v>480</v>
      </c>
      <c r="J1553" s="4">
        <v>165.94176000000002</v>
      </c>
    </row>
    <row r="1554" spans="1:10" x14ac:dyDescent="0.35">
      <c r="A1554">
        <v>3151272496</v>
      </c>
      <c r="B1554" t="s">
        <v>1169</v>
      </c>
      <c r="C1554" t="s">
        <v>1204</v>
      </c>
      <c r="D1554" t="s">
        <v>1197</v>
      </c>
      <c r="E1554" t="s">
        <v>1206</v>
      </c>
      <c r="G1554">
        <v>926810</v>
      </c>
      <c r="H1554" t="s">
        <v>614</v>
      </c>
      <c r="I1554" s="4">
        <v>21120</v>
      </c>
      <c r="J1554" s="4">
        <v>7301.4374399999997</v>
      </c>
    </row>
    <row r="1555" spans="1:10" x14ac:dyDescent="0.35">
      <c r="A1555">
        <v>3151272246</v>
      </c>
      <c r="B1555" t="s">
        <v>1169</v>
      </c>
      <c r="C1555" t="s">
        <v>1204</v>
      </c>
      <c r="D1555" t="s">
        <v>1197</v>
      </c>
      <c r="E1555" t="s">
        <v>1206</v>
      </c>
      <c r="F1555" t="s">
        <v>201</v>
      </c>
      <c r="G1555">
        <v>926810</v>
      </c>
      <c r="H1555" t="s">
        <v>614</v>
      </c>
      <c r="I1555" s="4">
        <v>22560</v>
      </c>
      <c r="J1555" s="4">
        <v>7799.2627199999997</v>
      </c>
    </row>
    <row r="1556" spans="1:10" x14ac:dyDescent="0.35">
      <c r="A1556">
        <v>3151272186</v>
      </c>
      <c r="B1556" t="s">
        <v>1169</v>
      </c>
      <c r="C1556" t="s">
        <v>1204</v>
      </c>
      <c r="D1556" t="s">
        <v>1207</v>
      </c>
      <c r="E1556" t="s">
        <v>1208</v>
      </c>
      <c r="F1556" t="s">
        <v>201</v>
      </c>
      <c r="G1556">
        <v>920328</v>
      </c>
      <c r="H1556" t="s">
        <v>415</v>
      </c>
      <c r="I1556" s="4">
        <v>22464</v>
      </c>
      <c r="J1556" s="4">
        <v>13735.612800000001</v>
      </c>
    </row>
    <row r="1557" spans="1:10" x14ac:dyDescent="0.35">
      <c r="A1557">
        <v>3151272496</v>
      </c>
      <c r="B1557" t="s">
        <v>1169</v>
      </c>
      <c r="C1557" t="s">
        <v>1204</v>
      </c>
      <c r="D1557" t="s">
        <v>1207</v>
      </c>
      <c r="E1557" t="s">
        <v>1208</v>
      </c>
      <c r="G1557">
        <v>920328</v>
      </c>
      <c r="H1557" t="s">
        <v>415</v>
      </c>
      <c r="I1557" s="4">
        <v>27072</v>
      </c>
      <c r="J1557" s="4">
        <v>16553.1744</v>
      </c>
    </row>
    <row r="1558" spans="1:10" x14ac:dyDescent="0.35">
      <c r="A1558">
        <v>3151272030</v>
      </c>
      <c r="B1558" t="s">
        <v>1169</v>
      </c>
      <c r="C1558" t="s">
        <v>1209</v>
      </c>
      <c r="D1558" t="s">
        <v>1210</v>
      </c>
      <c r="E1558" t="s">
        <v>1211</v>
      </c>
      <c r="F1558" t="s">
        <v>850</v>
      </c>
      <c r="G1558">
        <v>932855</v>
      </c>
      <c r="H1558" t="s">
        <v>415</v>
      </c>
      <c r="I1558" s="4">
        <v>18000</v>
      </c>
      <c r="J1558" s="4">
        <v>8919.36</v>
      </c>
    </row>
    <row r="1559" spans="1:10" x14ac:dyDescent="0.35">
      <c r="A1559">
        <v>3151272098</v>
      </c>
      <c r="B1559" t="s">
        <v>1169</v>
      </c>
      <c r="C1559" t="s">
        <v>1209</v>
      </c>
      <c r="D1559" t="s">
        <v>1210</v>
      </c>
      <c r="E1559" t="s">
        <v>1211</v>
      </c>
      <c r="F1559" t="s">
        <v>850</v>
      </c>
      <c r="G1559">
        <v>932855</v>
      </c>
      <c r="H1559" t="s">
        <v>415</v>
      </c>
      <c r="I1559" s="4">
        <v>9792</v>
      </c>
      <c r="J1559" s="4">
        <v>4852.13184</v>
      </c>
    </row>
    <row r="1560" spans="1:10" x14ac:dyDescent="0.35">
      <c r="A1560">
        <v>3151272801</v>
      </c>
      <c r="B1560" t="s">
        <v>1169</v>
      </c>
      <c r="C1560" t="s">
        <v>1209</v>
      </c>
      <c r="D1560" t="s">
        <v>1210</v>
      </c>
      <c r="E1560" t="s">
        <v>1211</v>
      </c>
      <c r="F1560" t="s">
        <v>850</v>
      </c>
      <c r="G1560">
        <v>932855</v>
      </c>
      <c r="H1560" t="s">
        <v>415</v>
      </c>
      <c r="I1560" s="4">
        <v>35840</v>
      </c>
      <c r="J1560" s="4">
        <v>17759.436799999999</v>
      </c>
    </row>
    <row r="1561" spans="1:10" x14ac:dyDescent="0.35">
      <c r="A1561">
        <v>3151272024</v>
      </c>
      <c r="B1561" t="s">
        <v>1169</v>
      </c>
      <c r="C1561" t="s">
        <v>1212</v>
      </c>
      <c r="D1561" t="s">
        <v>445</v>
      </c>
      <c r="E1561" t="s">
        <v>1213</v>
      </c>
      <c r="G1561">
        <v>692931</v>
      </c>
      <c r="H1561" t="s">
        <v>433</v>
      </c>
      <c r="I1561" s="4">
        <v>11100</v>
      </c>
      <c r="J1561" s="4">
        <v>407.59199999999998</v>
      </c>
    </row>
    <row r="1562" spans="1:10" x14ac:dyDescent="0.35">
      <c r="A1562">
        <v>3151272000</v>
      </c>
      <c r="B1562" t="s">
        <v>1169</v>
      </c>
      <c r="C1562" t="s">
        <v>1214</v>
      </c>
      <c r="D1562" t="s">
        <v>445</v>
      </c>
      <c r="E1562" t="s">
        <v>1215</v>
      </c>
      <c r="F1562" t="s">
        <v>201</v>
      </c>
      <c r="G1562">
        <v>692008</v>
      </c>
      <c r="H1562" t="s">
        <v>433</v>
      </c>
      <c r="I1562" s="4">
        <v>30000</v>
      </c>
      <c r="J1562" s="4">
        <v>1098.9000000000001</v>
      </c>
    </row>
    <row r="1563" spans="1:10" x14ac:dyDescent="0.35">
      <c r="A1563">
        <v>3151272000</v>
      </c>
      <c r="B1563" t="s">
        <v>1169</v>
      </c>
      <c r="C1563" t="s">
        <v>1216</v>
      </c>
      <c r="D1563" t="s">
        <v>1217</v>
      </c>
      <c r="E1563" t="s">
        <v>1218</v>
      </c>
      <c r="F1563" t="s">
        <v>201</v>
      </c>
      <c r="G1563">
        <v>696460</v>
      </c>
      <c r="H1563" t="s">
        <v>412</v>
      </c>
      <c r="I1563" s="4">
        <v>14400</v>
      </c>
      <c r="J1563" s="4">
        <v>1662.0912000000001</v>
      </c>
    </row>
    <row r="1564" spans="1:10" x14ac:dyDescent="0.35">
      <c r="A1564">
        <v>3151272000</v>
      </c>
      <c r="B1564" t="s">
        <v>1169</v>
      </c>
      <c r="C1564" t="s">
        <v>1219</v>
      </c>
      <c r="D1564" t="s">
        <v>1220</v>
      </c>
      <c r="E1564" t="s">
        <v>1221</v>
      </c>
      <c r="F1564" t="s">
        <v>201</v>
      </c>
      <c r="G1564">
        <v>696459</v>
      </c>
      <c r="H1564" t="s">
        <v>415</v>
      </c>
      <c r="I1564" s="4">
        <v>5832</v>
      </c>
      <c r="J1564" s="4">
        <v>2279.7637919999997</v>
      </c>
    </row>
    <row r="1565" spans="1:10" x14ac:dyDescent="0.35">
      <c r="A1565">
        <v>3151272443</v>
      </c>
      <c r="B1565" t="s">
        <v>1169</v>
      </c>
      <c r="C1565" t="s">
        <v>1222</v>
      </c>
      <c r="D1565" t="s">
        <v>1223</v>
      </c>
      <c r="E1565" t="s">
        <v>1224</v>
      </c>
      <c r="F1565" t="s">
        <v>201</v>
      </c>
      <c r="G1565">
        <v>926367</v>
      </c>
      <c r="H1565" t="s">
        <v>614</v>
      </c>
      <c r="I1565" s="4">
        <v>1200</v>
      </c>
      <c r="J1565" s="4">
        <v>318.14159999999998</v>
      </c>
    </row>
    <row r="1566" spans="1:10" x14ac:dyDescent="0.35">
      <c r="A1566">
        <v>3151272000</v>
      </c>
      <c r="B1566" t="s">
        <v>1169</v>
      </c>
      <c r="C1566" t="s">
        <v>1222</v>
      </c>
      <c r="D1566" t="s">
        <v>1223</v>
      </c>
      <c r="E1566" t="s">
        <v>1224</v>
      </c>
      <c r="F1566" t="s">
        <v>201</v>
      </c>
      <c r="G1566">
        <v>926367</v>
      </c>
      <c r="H1566" t="s">
        <v>614</v>
      </c>
      <c r="I1566" s="4">
        <v>1440</v>
      </c>
      <c r="J1566" s="4">
        <v>381.76992000000001</v>
      </c>
    </row>
    <row r="1567" spans="1:10" x14ac:dyDescent="0.35">
      <c r="A1567">
        <v>3151272392</v>
      </c>
      <c r="B1567" t="s">
        <v>1225</v>
      </c>
      <c r="C1567" t="s">
        <v>1226</v>
      </c>
      <c r="D1567" t="s">
        <v>473</v>
      </c>
      <c r="E1567" t="s">
        <v>1227</v>
      </c>
      <c r="F1567" t="s">
        <v>201</v>
      </c>
      <c r="G1567">
        <v>944977</v>
      </c>
      <c r="H1567" t="s">
        <v>433</v>
      </c>
      <c r="I1567" s="4">
        <v>11664</v>
      </c>
      <c r="J1567" s="4">
        <v>660.50899200000003</v>
      </c>
    </row>
    <row r="1568" spans="1:10" x14ac:dyDescent="0.35">
      <c r="A1568">
        <v>3151272396</v>
      </c>
      <c r="B1568" t="s">
        <v>1225</v>
      </c>
      <c r="C1568" t="s">
        <v>1226</v>
      </c>
      <c r="D1568" t="s">
        <v>473</v>
      </c>
      <c r="E1568" t="s">
        <v>1227</v>
      </c>
      <c r="F1568" t="s">
        <v>201</v>
      </c>
      <c r="G1568">
        <v>944977</v>
      </c>
      <c r="H1568" t="s">
        <v>433</v>
      </c>
      <c r="I1568" s="4">
        <v>3888</v>
      </c>
      <c r="J1568" s="4">
        <v>220.16966399999998</v>
      </c>
    </row>
    <row r="1569" spans="1:10" x14ac:dyDescent="0.35">
      <c r="A1569">
        <v>3151272400</v>
      </c>
      <c r="B1569" t="s">
        <v>1225</v>
      </c>
      <c r="C1569" t="s">
        <v>1226</v>
      </c>
      <c r="D1569" t="s">
        <v>473</v>
      </c>
      <c r="E1569" t="s">
        <v>1227</v>
      </c>
      <c r="F1569" t="s">
        <v>201</v>
      </c>
      <c r="G1569">
        <v>944977</v>
      </c>
      <c r="H1569" t="s">
        <v>433</v>
      </c>
      <c r="I1569" s="4">
        <v>3888</v>
      </c>
      <c r="J1569" s="4">
        <v>220.16966399999998</v>
      </c>
    </row>
    <row r="1570" spans="1:10" x14ac:dyDescent="0.35">
      <c r="A1570">
        <v>3151272401</v>
      </c>
      <c r="B1570" t="s">
        <v>1225</v>
      </c>
      <c r="C1570" t="s">
        <v>1226</v>
      </c>
      <c r="D1570" t="s">
        <v>473</v>
      </c>
      <c r="E1570" t="s">
        <v>1227</v>
      </c>
      <c r="F1570" t="s">
        <v>201</v>
      </c>
      <c r="G1570">
        <v>944977</v>
      </c>
      <c r="H1570" t="s">
        <v>433</v>
      </c>
      <c r="I1570" s="4">
        <v>3888</v>
      </c>
      <c r="J1570" s="4">
        <v>220.16966399999998</v>
      </c>
    </row>
    <row r="1571" spans="1:10" x14ac:dyDescent="0.35">
      <c r="A1571">
        <v>3151272406</v>
      </c>
      <c r="B1571" t="s">
        <v>1225</v>
      </c>
      <c r="C1571" t="s">
        <v>1226</v>
      </c>
      <c r="D1571" t="s">
        <v>473</v>
      </c>
      <c r="E1571" t="s">
        <v>1227</v>
      </c>
      <c r="F1571" t="s">
        <v>201</v>
      </c>
      <c r="G1571">
        <v>944977</v>
      </c>
      <c r="H1571" t="s">
        <v>433</v>
      </c>
      <c r="I1571" s="4">
        <v>30024</v>
      </c>
      <c r="J1571" s="4">
        <v>1700.1990719999999</v>
      </c>
    </row>
    <row r="1572" spans="1:10" x14ac:dyDescent="0.35">
      <c r="A1572">
        <v>3151272490</v>
      </c>
      <c r="B1572" t="s">
        <v>1225</v>
      </c>
      <c r="C1572" t="s">
        <v>1226</v>
      </c>
      <c r="D1572" t="s">
        <v>473</v>
      </c>
      <c r="E1572" t="s">
        <v>1227</v>
      </c>
      <c r="F1572" t="s">
        <v>201</v>
      </c>
      <c r="G1572">
        <v>944977</v>
      </c>
      <c r="H1572" t="s">
        <v>433</v>
      </c>
      <c r="I1572" s="4">
        <v>30024</v>
      </c>
      <c r="J1572" s="4">
        <v>1700.1990719999999</v>
      </c>
    </row>
    <row r="1573" spans="1:10" x14ac:dyDescent="0.35">
      <c r="A1573">
        <v>3151272410</v>
      </c>
      <c r="B1573" t="s">
        <v>1225</v>
      </c>
      <c r="C1573" t="s">
        <v>1226</v>
      </c>
      <c r="D1573" t="s">
        <v>473</v>
      </c>
      <c r="E1573" t="s">
        <v>1227</v>
      </c>
      <c r="F1573" t="s">
        <v>201</v>
      </c>
      <c r="G1573">
        <v>944977</v>
      </c>
      <c r="H1573" t="s">
        <v>433</v>
      </c>
      <c r="I1573" s="4">
        <v>30024</v>
      </c>
      <c r="J1573" s="4">
        <v>1700.1990719999999</v>
      </c>
    </row>
    <row r="1574" spans="1:10" x14ac:dyDescent="0.35">
      <c r="A1574">
        <v>3151272415</v>
      </c>
      <c r="B1574" t="s">
        <v>1225</v>
      </c>
      <c r="C1574" t="s">
        <v>1226</v>
      </c>
      <c r="D1574" t="s">
        <v>473</v>
      </c>
      <c r="E1574" t="s">
        <v>1227</v>
      </c>
      <c r="F1574" t="s">
        <v>201</v>
      </c>
      <c r="G1574">
        <v>944977</v>
      </c>
      <c r="H1574" t="s">
        <v>433</v>
      </c>
      <c r="I1574" s="4">
        <v>30024</v>
      </c>
      <c r="J1574" s="4">
        <v>1700.1990719999999</v>
      </c>
    </row>
    <row r="1575" spans="1:10" x14ac:dyDescent="0.35">
      <c r="A1575">
        <v>3151272417</v>
      </c>
      <c r="B1575" t="s">
        <v>1225</v>
      </c>
      <c r="C1575" t="s">
        <v>1226</v>
      </c>
      <c r="D1575" t="s">
        <v>473</v>
      </c>
      <c r="E1575" t="s">
        <v>1227</v>
      </c>
      <c r="F1575" t="s">
        <v>201</v>
      </c>
      <c r="G1575">
        <v>944977</v>
      </c>
      <c r="H1575" t="s">
        <v>433</v>
      </c>
      <c r="I1575" s="4">
        <v>30024</v>
      </c>
      <c r="J1575" s="4">
        <v>1700.1990719999999</v>
      </c>
    </row>
    <row r="1576" spans="1:10" x14ac:dyDescent="0.35">
      <c r="A1576">
        <v>3151272420</v>
      </c>
      <c r="B1576" t="s">
        <v>1225</v>
      </c>
      <c r="C1576" t="s">
        <v>1226</v>
      </c>
      <c r="D1576" t="s">
        <v>473</v>
      </c>
      <c r="E1576" t="s">
        <v>1227</v>
      </c>
      <c r="F1576" t="s">
        <v>201</v>
      </c>
      <c r="G1576">
        <v>944977</v>
      </c>
      <c r="H1576" t="s">
        <v>433</v>
      </c>
      <c r="I1576" s="4">
        <v>3888</v>
      </c>
      <c r="J1576" s="4">
        <v>220.16966399999998</v>
      </c>
    </row>
    <row r="1577" spans="1:10" x14ac:dyDescent="0.35">
      <c r="A1577">
        <v>3151272422</v>
      </c>
      <c r="B1577" t="s">
        <v>1225</v>
      </c>
      <c r="C1577" t="s">
        <v>1226</v>
      </c>
      <c r="D1577" t="s">
        <v>473</v>
      </c>
      <c r="E1577" t="s">
        <v>1227</v>
      </c>
      <c r="F1577" t="s">
        <v>201</v>
      </c>
      <c r="G1577">
        <v>944977</v>
      </c>
      <c r="H1577" t="s">
        <v>433</v>
      </c>
      <c r="I1577" s="4">
        <v>3888</v>
      </c>
      <c r="J1577" s="4">
        <v>220.16966399999998</v>
      </c>
    </row>
    <row r="1578" spans="1:10" x14ac:dyDescent="0.35">
      <c r="A1578">
        <v>3151272057</v>
      </c>
      <c r="B1578" t="s">
        <v>1225</v>
      </c>
      <c r="C1578" t="s">
        <v>1226</v>
      </c>
      <c r="D1578" t="s">
        <v>473</v>
      </c>
      <c r="E1578" t="s">
        <v>1227</v>
      </c>
      <c r="G1578">
        <v>944977</v>
      </c>
      <c r="H1578" t="s">
        <v>433</v>
      </c>
      <c r="I1578" s="4">
        <v>7344</v>
      </c>
      <c r="J1578" s="4">
        <v>415.87603200000001</v>
      </c>
    </row>
    <row r="1579" spans="1:10" x14ac:dyDescent="0.35">
      <c r="A1579">
        <v>3151272063</v>
      </c>
      <c r="B1579" t="s">
        <v>1225</v>
      </c>
      <c r="C1579" t="s">
        <v>1226</v>
      </c>
      <c r="D1579" t="s">
        <v>473</v>
      </c>
      <c r="E1579" t="s">
        <v>1227</v>
      </c>
      <c r="G1579">
        <v>944977</v>
      </c>
      <c r="H1579" t="s">
        <v>433</v>
      </c>
      <c r="I1579" s="4">
        <v>8640</v>
      </c>
      <c r="J1579" s="4">
        <v>489.26591999999999</v>
      </c>
    </row>
    <row r="1580" spans="1:10" x14ac:dyDescent="0.35">
      <c r="A1580">
        <v>3151272057</v>
      </c>
      <c r="B1580" t="s">
        <v>1225</v>
      </c>
      <c r="C1580" t="s">
        <v>1226</v>
      </c>
      <c r="D1580" t="s">
        <v>524</v>
      </c>
      <c r="E1580" t="s">
        <v>1228</v>
      </c>
      <c r="G1580">
        <v>944976</v>
      </c>
      <c r="H1580" t="s">
        <v>412</v>
      </c>
      <c r="I1580" s="4">
        <v>2100</v>
      </c>
      <c r="J1580" s="4">
        <v>359.24280000000005</v>
      </c>
    </row>
    <row r="1581" spans="1:10" x14ac:dyDescent="0.35">
      <c r="A1581">
        <v>3151272063</v>
      </c>
      <c r="B1581" t="s">
        <v>1225</v>
      </c>
      <c r="C1581" t="s">
        <v>1226</v>
      </c>
      <c r="D1581" t="s">
        <v>524</v>
      </c>
      <c r="E1581" t="s">
        <v>1228</v>
      </c>
      <c r="G1581">
        <v>944976</v>
      </c>
      <c r="H1581" t="s">
        <v>412</v>
      </c>
      <c r="I1581" s="4">
        <v>3000</v>
      </c>
      <c r="J1581" s="4">
        <v>513.20400000000006</v>
      </c>
    </row>
    <row r="1582" spans="1:10" x14ac:dyDescent="0.35">
      <c r="A1582">
        <v>3151272053</v>
      </c>
      <c r="B1582" t="s">
        <v>1225</v>
      </c>
      <c r="C1582" t="s">
        <v>1226</v>
      </c>
      <c r="D1582" t="s">
        <v>816</v>
      </c>
      <c r="E1582" t="s">
        <v>1229</v>
      </c>
      <c r="G1582">
        <v>944975</v>
      </c>
      <c r="H1582" t="s">
        <v>415</v>
      </c>
      <c r="I1582" s="4">
        <v>1500</v>
      </c>
      <c r="J1582" s="4">
        <v>855.024</v>
      </c>
    </row>
    <row r="1583" spans="1:10" x14ac:dyDescent="0.35">
      <c r="A1583">
        <v>3151272057</v>
      </c>
      <c r="B1583" t="s">
        <v>1225</v>
      </c>
      <c r="C1583" t="s">
        <v>1226</v>
      </c>
      <c r="D1583" t="s">
        <v>816</v>
      </c>
      <c r="E1583" t="s">
        <v>1229</v>
      </c>
      <c r="G1583">
        <v>944975</v>
      </c>
      <c r="H1583" t="s">
        <v>415</v>
      </c>
      <c r="I1583" s="4">
        <v>3210</v>
      </c>
      <c r="J1583" s="4">
        <v>1829.75136</v>
      </c>
    </row>
    <row r="1584" spans="1:10" x14ac:dyDescent="0.35">
      <c r="A1584">
        <v>3151272063</v>
      </c>
      <c r="B1584" t="s">
        <v>1225</v>
      </c>
      <c r="C1584" t="s">
        <v>1226</v>
      </c>
      <c r="D1584" t="s">
        <v>816</v>
      </c>
      <c r="E1584" t="s">
        <v>1229</v>
      </c>
      <c r="G1584">
        <v>944975</v>
      </c>
      <c r="H1584" t="s">
        <v>415</v>
      </c>
      <c r="I1584" s="4">
        <v>1500</v>
      </c>
      <c r="J1584" s="4">
        <v>855.024</v>
      </c>
    </row>
    <row r="1585" spans="1:10" x14ac:dyDescent="0.35">
      <c r="A1585">
        <v>3151272391</v>
      </c>
      <c r="B1585" t="s">
        <v>1225</v>
      </c>
      <c r="C1585" t="s">
        <v>1230</v>
      </c>
      <c r="D1585" t="s">
        <v>445</v>
      </c>
      <c r="E1585" t="s">
        <v>1231</v>
      </c>
      <c r="F1585" t="s">
        <v>201</v>
      </c>
      <c r="G1585">
        <v>944980</v>
      </c>
      <c r="H1585" t="s">
        <v>433</v>
      </c>
      <c r="I1585" s="4">
        <v>18480</v>
      </c>
      <c r="J1585" s="4">
        <v>698.54399999999998</v>
      </c>
    </row>
    <row r="1586" spans="1:10" x14ac:dyDescent="0.35">
      <c r="A1586">
        <v>3151272394</v>
      </c>
      <c r="B1586" t="s">
        <v>1225</v>
      </c>
      <c r="C1586" t="s">
        <v>1230</v>
      </c>
      <c r="D1586" t="s">
        <v>445</v>
      </c>
      <c r="E1586" t="s">
        <v>1231</v>
      </c>
      <c r="F1586" t="s">
        <v>201</v>
      </c>
      <c r="G1586">
        <v>944980</v>
      </c>
      <c r="H1586" t="s">
        <v>433</v>
      </c>
      <c r="I1586" s="4">
        <v>33600</v>
      </c>
      <c r="J1586" s="4">
        <v>1270.08</v>
      </c>
    </row>
    <row r="1587" spans="1:10" x14ac:dyDescent="0.35">
      <c r="A1587">
        <v>3151272397</v>
      </c>
      <c r="B1587" t="s">
        <v>1225</v>
      </c>
      <c r="C1587" t="s">
        <v>1230</v>
      </c>
      <c r="D1587" t="s">
        <v>445</v>
      </c>
      <c r="E1587" t="s">
        <v>1231</v>
      </c>
      <c r="F1587" t="s">
        <v>201</v>
      </c>
      <c r="G1587">
        <v>944980</v>
      </c>
      <c r="H1587" t="s">
        <v>433</v>
      </c>
      <c r="I1587" s="4">
        <v>30240</v>
      </c>
      <c r="J1587" s="4">
        <v>1143.0720000000001</v>
      </c>
    </row>
    <row r="1588" spans="1:10" x14ac:dyDescent="0.35">
      <c r="A1588">
        <v>3151272398</v>
      </c>
      <c r="B1588" t="s">
        <v>1225</v>
      </c>
      <c r="C1588" t="s">
        <v>1230</v>
      </c>
      <c r="D1588" t="s">
        <v>445</v>
      </c>
      <c r="E1588" t="s">
        <v>1231</v>
      </c>
      <c r="F1588" t="s">
        <v>201</v>
      </c>
      <c r="G1588">
        <v>944980</v>
      </c>
      <c r="H1588" t="s">
        <v>433</v>
      </c>
      <c r="I1588" s="4">
        <v>30240</v>
      </c>
      <c r="J1588" s="4">
        <v>1143.0720000000001</v>
      </c>
    </row>
    <row r="1589" spans="1:10" x14ac:dyDescent="0.35">
      <c r="A1589">
        <v>3151272403</v>
      </c>
      <c r="B1589" t="s">
        <v>1225</v>
      </c>
      <c r="C1589" t="s">
        <v>1230</v>
      </c>
      <c r="D1589" t="s">
        <v>445</v>
      </c>
      <c r="E1589" t="s">
        <v>1231</v>
      </c>
      <c r="F1589" t="s">
        <v>201</v>
      </c>
      <c r="G1589">
        <v>944980</v>
      </c>
      <c r="H1589" t="s">
        <v>433</v>
      </c>
      <c r="I1589" s="4">
        <v>30240</v>
      </c>
      <c r="J1589" s="4">
        <v>1143.0720000000001</v>
      </c>
    </row>
    <row r="1590" spans="1:10" x14ac:dyDescent="0.35">
      <c r="A1590">
        <v>3151272404</v>
      </c>
      <c r="B1590" t="s">
        <v>1225</v>
      </c>
      <c r="C1590" t="s">
        <v>1230</v>
      </c>
      <c r="D1590" t="s">
        <v>445</v>
      </c>
      <c r="E1590" t="s">
        <v>1231</v>
      </c>
      <c r="F1590" t="s">
        <v>201</v>
      </c>
      <c r="G1590">
        <v>944980</v>
      </c>
      <c r="H1590" t="s">
        <v>433</v>
      </c>
      <c r="I1590" s="4">
        <v>22848</v>
      </c>
      <c r="J1590" s="4">
        <v>863.6543999999999</v>
      </c>
    </row>
    <row r="1591" spans="1:10" x14ac:dyDescent="0.35">
      <c r="A1591">
        <v>3151272408</v>
      </c>
      <c r="B1591" t="s">
        <v>1225</v>
      </c>
      <c r="C1591" t="s">
        <v>1230</v>
      </c>
      <c r="D1591" t="s">
        <v>445</v>
      </c>
      <c r="E1591" t="s">
        <v>1231</v>
      </c>
      <c r="F1591" t="s">
        <v>201</v>
      </c>
      <c r="G1591">
        <v>944980</v>
      </c>
      <c r="H1591" t="s">
        <v>433</v>
      </c>
      <c r="I1591" s="4">
        <v>22848</v>
      </c>
      <c r="J1591" s="4">
        <v>863.6543999999999</v>
      </c>
    </row>
    <row r="1592" spans="1:10" x14ac:dyDescent="0.35">
      <c r="A1592">
        <v>3151272411</v>
      </c>
      <c r="B1592" t="s">
        <v>1225</v>
      </c>
      <c r="C1592" t="s">
        <v>1230</v>
      </c>
      <c r="D1592" t="s">
        <v>445</v>
      </c>
      <c r="E1592" t="s">
        <v>1231</v>
      </c>
      <c r="F1592" t="s">
        <v>201</v>
      </c>
      <c r="G1592">
        <v>944980</v>
      </c>
      <c r="H1592" t="s">
        <v>433</v>
      </c>
      <c r="I1592" s="4">
        <v>22848</v>
      </c>
      <c r="J1592" s="4">
        <v>863.6543999999999</v>
      </c>
    </row>
    <row r="1593" spans="1:10" x14ac:dyDescent="0.35">
      <c r="A1593">
        <v>3151272412</v>
      </c>
      <c r="B1593" t="s">
        <v>1225</v>
      </c>
      <c r="C1593" t="s">
        <v>1230</v>
      </c>
      <c r="D1593" t="s">
        <v>445</v>
      </c>
      <c r="E1593" t="s">
        <v>1231</v>
      </c>
      <c r="F1593" t="s">
        <v>201</v>
      </c>
      <c r="G1593">
        <v>944980</v>
      </c>
      <c r="H1593" t="s">
        <v>433</v>
      </c>
      <c r="I1593" s="4">
        <v>22848</v>
      </c>
      <c r="J1593" s="4">
        <v>863.6543999999999</v>
      </c>
    </row>
    <row r="1594" spans="1:10" x14ac:dyDescent="0.35">
      <c r="A1594">
        <v>3151272416</v>
      </c>
      <c r="B1594" t="s">
        <v>1225</v>
      </c>
      <c r="C1594" t="s">
        <v>1230</v>
      </c>
      <c r="D1594" t="s">
        <v>445</v>
      </c>
      <c r="E1594" t="s">
        <v>1231</v>
      </c>
      <c r="F1594" t="s">
        <v>201</v>
      </c>
      <c r="G1594">
        <v>944980</v>
      </c>
      <c r="H1594" t="s">
        <v>433</v>
      </c>
      <c r="I1594" s="4">
        <v>22848</v>
      </c>
      <c r="J1594" s="4">
        <v>863.6543999999999</v>
      </c>
    </row>
    <row r="1595" spans="1:10" x14ac:dyDescent="0.35">
      <c r="A1595">
        <v>3151272418</v>
      </c>
      <c r="B1595" t="s">
        <v>1225</v>
      </c>
      <c r="C1595" t="s">
        <v>1230</v>
      </c>
      <c r="D1595" t="s">
        <v>445</v>
      </c>
      <c r="E1595" t="s">
        <v>1231</v>
      </c>
      <c r="F1595" t="s">
        <v>201</v>
      </c>
      <c r="G1595">
        <v>944980</v>
      </c>
      <c r="H1595" t="s">
        <v>433</v>
      </c>
      <c r="I1595" s="4">
        <v>30240</v>
      </c>
      <c r="J1595" s="4">
        <v>1143.0720000000001</v>
      </c>
    </row>
    <row r="1596" spans="1:10" x14ac:dyDescent="0.35">
      <c r="A1596">
        <v>3151272423</v>
      </c>
      <c r="B1596" t="s">
        <v>1225</v>
      </c>
      <c r="C1596" t="s">
        <v>1230</v>
      </c>
      <c r="D1596" t="s">
        <v>445</v>
      </c>
      <c r="E1596" t="s">
        <v>1231</v>
      </c>
      <c r="F1596" t="s">
        <v>201</v>
      </c>
      <c r="G1596">
        <v>944980</v>
      </c>
      <c r="H1596" t="s">
        <v>433</v>
      </c>
      <c r="I1596" s="4">
        <v>30240</v>
      </c>
      <c r="J1596" s="4">
        <v>1143.0720000000001</v>
      </c>
    </row>
    <row r="1597" spans="1:10" x14ac:dyDescent="0.35">
      <c r="A1597">
        <v>3151272056</v>
      </c>
      <c r="B1597" t="s">
        <v>1225</v>
      </c>
      <c r="C1597" t="s">
        <v>1230</v>
      </c>
      <c r="D1597" t="s">
        <v>445</v>
      </c>
      <c r="E1597" t="s">
        <v>1231</v>
      </c>
      <c r="G1597">
        <v>944980</v>
      </c>
      <c r="H1597" t="s">
        <v>433</v>
      </c>
      <c r="I1597" s="4">
        <v>6720</v>
      </c>
      <c r="J1597" s="4">
        <v>254.01599999999996</v>
      </c>
    </row>
    <row r="1598" spans="1:10" x14ac:dyDescent="0.35">
      <c r="A1598">
        <v>3151272062</v>
      </c>
      <c r="B1598" t="s">
        <v>1225</v>
      </c>
      <c r="C1598" t="s">
        <v>1230</v>
      </c>
      <c r="D1598" t="s">
        <v>445</v>
      </c>
      <c r="E1598" t="s">
        <v>1231</v>
      </c>
      <c r="G1598">
        <v>944980</v>
      </c>
      <c r="H1598" t="s">
        <v>433</v>
      </c>
      <c r="I1598" s="4">
        <v>33600</v>
      </c>
      <c r="J1598" s="4">
        <v>1270.08</v>
      </c>
    </row>
    <row r="1599" spans="1:10" x14ac:dyDescent="0.35">
      <c r="A1599">
        <v>3151272391</v>
      </c>
      <c r="B1599" t="s">
        <v>1225</v>
      </c>
      <c r="C1599" t="s">
        <v>1230</v>
      </c>
      <c r="D1599" t="s">
        <v>1217</v>
      </c>
      <c r="E1599" t="s">
        <v>1232</v>
      </c>
      <c r="F1599" t="s">
        <v>201</v>
      </c>
      <c r="G1599">
        <v>944979</v>
      </c>
      <c r="H1599" t="s">
        <v>412</v>
      </c>
      <c r="I1599" s="4">
        <v>17472</v>
      </c>
      <c r="J1599" s="4">
        <v>2011.7260800000001</v>
      </c>
    </row>
    <row r="1600" spans="1:10" x14ac:dyDescent="0.35">
      <c r="A1600">
        <v>3151272394</v>
      </c>
      <c r="B1600" t="s">
        <v>1225</v>
      </c>
      <c r="C1600" t="s">
        <v>1230</v>
      </c>
      <c r="D1600" t="s">
        <v>1217</v>
      </c>
      <c r="E1600" t="s">
        <v>1232</v>
      </c>
      <c r="F1600" t="s">
        <v>201</v>
      </c>
      <c r="G1600">
        <v>944979</v>
      </c>
      <c r="H1600" t="s">
        <v>412</v>
      </c>
      <c r="I1600" s="4">
        <v>3264</v>
      </c>
      <c r="J1600" s="4">
        <v>375.81696000000005</v>
      </c>
    </row>
    <row r="1601" spans="1:10" x14ac:dyDescent="0.35">
      <c r="A1601">
        <v>3151272397</v>
      </c>
      <c r="B1601" t="s">
        <v>1225</v>
      </c>
      <c r="C1601" t="s">
        <v>1230</v>
      </c>
      <c r="D1601" t="s">
        <v>1217</v>
      </c>
      <c r="E1601" t="s">
        <v>1232</v>
      </c>
      <c r="F1601" t="s">
        <v>201</v>
      </c>
      <c r="G1601">
        <v>944979</v>
      </c>
      <c r="H1601" t="s">
        <v>412</v>
      </c>
      <c r="I1601" s="4">
        <v>16800</v>
      </c>
      <c r="J1601" s="4">
        <v>1934.3520000000001</v>
      </c>
    </row>
    <row r="1602" spans="1:10" x14ac:dyDescent="0.35">
      <c r="A1602">
        <v>3151272398</v>
      </c>
      <c r="B1602" t="s">
        <v>1225</v>
      </c>
      <c r="C1602" t="s">
        <v>1230</v>
      </c>
      <c r="D1602" t="s">
        <v>1217</v>
      </c>
      <c r="E1602" t="s">
        <v>1232</v>
      </c>
      <c r="F1602" t="s">
        <v>201</v>
      </c>
      <c r="G1602">
        <v>944979</v>
      </c>
      <c r="H1602" t="s">
        <v>412</v>
      </c>
      <c r="I1602" s="4">
        <v>16800</v>
      </c>
      <c r="J1602" s="4">
        <v>1934.3520000000001</v>
      </c>
    </row>
    <row r="1603" spans="1:10" x14ac:dyDescent="0.35">
      <c r="A1603">
        <v>3151272403</v>
      </c>
      <c r="B1603" t="s">
        <v>1225</v>
      </c>
      <c r="C1603" t="s">
        <v>1230</v>
      </c>
      <c r="D1603" t="s">
        <v>1217</v>
      </c>
      <c r="E1603" t="s">
        <v>1232</v>
      </c>
      <c r="F1603" t="s">
        <v>201</v>
      </c>
      <c r="G1603">
        <v>944979</v>
      </c>
      <c r="H1603" t="s">
        <v>412</v>
      </c>
      <c r="I1603" s="4">
        <v>16800</v>
      </c>
      <c r="J1603" s="4">
        <v>1934.3520000000001</v>
      </c>
    </row>
    <row r="1604" spans="1:10" x14ac:dyDescent="0.35">
      <c r="A1604">
        <v>3151272404</v>
      </c>
      <c r="B1604" t="s">
        <v>1225</v>
      </c>
      <c r="C1604" t="s">
        <v>1230</v>
      </c>
      <c r="D1604" t="s">
        <v>1217</v>
      </c>
      <c r="E1604" t="s">
        <v>1232</v>
      </c>
      <c r="F1604" t="s">
        <v>201</v>
      </c>
      <c r="G1604">
        <v>944979</v>
      </c>
      <c r="H1604" t="s">
        <v>412</v>
      </c>
      <c r="I1604" s="4">
        <v>10560</v>
      </c>
      <c r="J1604" s="4">
        <v>1215.8783999999998</v>
      </c>
    </row>
    <row r="1605" spans="1:10" x14ac:dyDescent="0.35">
      <c r="A1605">
        <v>3151272408</v>
      </c>
      <c r="B1605" t="s">
        <v>1225</v>
      </c>
      <c r="C1605" t="s">
        <v>1230</v>
      </c>
      <c r="D1605" t="s">
        <v>1217</v>
      </c>
      <c r="E1605" t="s">
        <v>1232</v>
      </c>
      <c r="F1605" t="s">
        <v>201</v>
      </c>
      <c r="G1605">
        <v>944979</v>
      </c>
      <c r="H1605" t="s">
        <v>412</v>
      </c>
      <c r="I1605" s="4">
        <v>10560</v>
      </c>
      <c r="J1605" s="4">
        <v>1215.8783999999998</v>
      </c>
    </row>
    <row r="1606" spans="1:10" x14ac:dyDescent="0.35">
      <c r="A1606">
        <v>3151272411</v>
      </c>
      <c r="B1606" t="s">
        <v>1225</v>
      </c>
      <c r="C1606" t="s">
        <v>1230</v>
      </c>
      <c r="D1606" t="s">
        <v>1217</v>
      </c>
      <c r="E1606" t="s">
        <v>1232</v>
      </c>
      <c r="F1606" t="s">
        <v>201</v>
      </c>
      <c r="G1606">
        <v>944979</v>
      </c>
      <c r="H1606" t="s">
        <v>412</v>
      </c>
      <c r="I1606" s="4">
        <v>10560</v>
      </c>
      <c r="J1606" s="4">
        <v>1215.8783999999998</v>
      </c>
    </row>
    <row r="1607" spans="1:10" x14ac:dyDescent="0.35">
      <c r="A1607">
        <v>3151272412</v>
      </c>
      <c r="B1607" t="s">
        <v>1225</v>
      </c>
      <c r="C1607" t="s">
        <v>1230</v>
      </c>
      <c r="D1607" t="s">
        <v>1217</v>
      </c>
      <c r="E1607" t="s">
        <v>1232</v>
      </c>
      <c r="F1607" t="s">
        <v>201</v>
      </c>
      <c r="G1607">
        <v>944979</v>
      </c>
      <c r="H1607" t="s">
        <v>412</v>
      </c>
      <c r="I1607" s="4">
        <v>10560</v>
      </c>
      <c r="J1607" s="4">
        <v>1215.8783999999998</v>
      </c>
    </row>
    <row r="1608" spans="1:10" x14ac:dyDescent="0.35">
      <c r="A1608">
        <v>3151272416</v>
      </c>
      <c r="B1608" t="s">
        <v>1225</v>
      </c>
      <c r="C1608" t="s">
        <v>1230</v>
      </c>
      <c r="D1608" t="s">
        <v>1217</v>
      </c>
      <c r="E1608" t="s">
        <v>1232</v>
      </c>
      <c r="F1608" t="s">
        <v>201</v>
      </c>
      <c r="G1608">
        <v>944979</v>
      </c>
      <c r="H1608" t="s">
        <v>412</v>
      </c>
      <c r="I1608" s="4">
        <v>10560</v>
      </c>
      <c r="J1608" s="4">
        <v>1215.8783999999998</v>
      </c>
    </row>
    <row r="1609" spans="1:10" x14ac:dyDescent="0.35">
      <c r="A1609">
        <v>3151272418</v>
      </c>
      <c r="B1609" t="s">
        <v>1225</v>
      </c>
      <c r="C1609" t="s">
        <v>1230</v>
      </c>
      <c r="D1609" t="s">
        <v>1217</v>
      </c>
      <c r="E1609" t="s">
        <v>1232</v>
      </c>
      <c r="F1609" t="s">
        <v>201</v>
      </c>
      <c r="G1609">
        <v>944979</v>
      </c>
      <c r="H1609" t="s">
        <v>412</v>
      </c>
      <c r="I1609" s="4">
        <v>16800</v>
      </c>
      <c r="J1609" s="4">
        <v>1934.3520000000001</v>
      </c>
    </row>
    <row r="1610" spans="1:10" x14ac:dyDescent="0.35">
      <c r="A1610">
        <v>3151272423</v>
      </c>
      <c r="B1610" t="s">
        <v>1225</v>
      </c>
      <c r="C1610" t="s">
        <v>1230</v>
      </c>
      <c r="D1610" t="s">
        <v>1217</v>
      </c>
      <c r="E1610" t="s">
        <v>1232</v>
      </c>
      <c r="F1610" t="s">
        <v>201</v>
      </c>
      <c r="G1610">
        <v>944979</v>
      </c>
      <c r="H1610" t="s">
        <v>412</v>
      </c>
      <c r="I1610" s="4">
        <v>16800</v>
      </c>
      <c r="J1610" s="4">
        <v>1934.3520000000001</v>
      </c>
    </row>
    <row r="1611" spans="1:10" x14ac:dyDescent="0.35">
      <c r="A1611">
        <v>3151272056</v>
      </c>
      <c r="B1611" t="s">
        <v>1225</v>
      </c>
      <c r="C1611" t="s">
        <v>1230</v>
      </c>
      <c r="D1611" t="s">
        <v>1217</v>
      </c>
      <c r="E1611" t="s">
        <v>1232</v>
      </c>
      <c r="G1611">
        <v>944979</v>
      </c>
      <c r="H1611" t="s">
        <v>412</v>
      </c>
      <c r="I1611" s="4">
        <v>2496</v>
      </c>
      <c r="J1611" s="4">
        <v>287.38944000000004</v>
      </c>
    </row>
    <row r="1612" spans="1:10" x14ac:dyDescent="0.35">
      <c r="A1612">
        <v>3151272062</v>
      </c>
      <c r="B1612" t="s">
        <v>1225</v>
      </c>
      <c r="C1612" t="s">
        <v>1230</v>
      </c>
      <c r="D1612" t="s">
        <v>1217</v>
      </c>
      <c r="E1612" t="s">
        <v>1232</v>
      </c>
      <c r="G1612">
        <v>944979</v>
      </c>
      <c r="H1612" t="s">
        <v>412</v>
      </c>
      <c r="I1612" s="4">
        <v>9600</v>
      </c>
      <c r="J1612" s="4">
        <v>1105.3440000000001</v>
      </c>
    </row>
    <row r="1613" spans="1:10" x14ac:dyDescent="0.35">
      <c r="A1613">
        <v>3151272393</v>
      </c>
      <c r="B1613" t="s">
        <v>1225</v>
      </c>
      <c r="C1613" t="s">
        <v>1230</v>
      </c>
      <c r="D1613" t="s">
        <v>1223</v>
      </c>
      <c r="E1613" t="s">
        <v>1233</v>
      </c>
      <c r="F1613" t="s">
        <v>201</v>
      </c>
      <c r="G1613">
        <v>926439</v>
      </c>
      <c r="H1613" t="s">
        <v>614</v>
      </c>
      <c r="I1613" s="4">
        <v>3168</v>
      </c>
      <c r="J1613" s="4">
        <v>839.893824</v>
      </c>
    </row>
    <row r="1614" spans="1:10" x14ac:dyDescent="0.35">
      <c r="A1614">
        <v>3151272395</v>
      </c>
      <c r="B1614" t="s">
        <v>1225</v>
      </c>
      <c r="C1614" t="s">
        <v>1230</v>
      </c>
      <c r="D1614" t="s">
        <v>1223</v>
      </c>
      <c r="E1614" t="s">
        <v>1233</v>
      </c>
      <c r="F1614" t="s">
        <v>201</v>
      </c>
      <c r="G1614">
        <v>926439</v>
      </c>
      <c r="H1614" t="s">
        <v>614</v>
      </c>
      <c r="I1614" s="4">
        <v>1680</v>
      </c>
      <c r="J1614" s="4">
        <v>445.39823999999999</v>
      </c>
    </row>
    <row r="1615" spans="1:10" x14ac:dyDescent="0.35">
      <c r="A1615">
        <v>3151272399</v>
      </c>
      <c r="B1615" t="s">
        <v>1225</v>
      </c>
      <c r="C1615" t="s">
        <v>1230</v>
      </c>
      <c r="D1615" t="s">
        <v>1223</v>
      </c>
      <c r="E1615" t="s">
        <v>1233</v>
      </c>
      <c r="F1615" t="s">
        <v>201</v>
      </c>
      <c r="G1615">
        <v>926439</v>
      </c>
      <c r="H1615" t="s">
        <v>614</v>
      </c>
      <c r="I1615" s="4">
        <v>1680</v>
      </c>
      <c r="J1615" s="4">
        <v>445.39823999999999</v>
      </c>
    </row>
    <row r="1616" spans="1:10" x14ac:dyDescent="0.35">
      <c r="A1616">
        <v>3151272402</v>
      </c>
      <c r="B1616" t="s">
        <v>1225</v>
      </c>
      <c r="C1616" t="s">
        <v>1230</v>
      </c>
      <c r="D1616" t="s">
        <v>1223</v>
      </c>
      <c r="E1616" t="s">
        <v>1233</v>
      </c>
      <c r="F1616" t="s">
        <v>201</v>
      </c>
      <c r="G1616">
        <v>926439</v>
      </c>
      <c r="H1616" t="s">
        <v>614</v>
      </c>
      <c r="I1616" s="4">
        <v>1680</v>
      </c>
      <c r="J1616" s="4">
        <v>445.39823999999999</v>
      </c>
    </row>
    <row r="1617" spans="1:10" x14ac:dyDescent="0.35">
      <c r="A1617">
        <v>3151272405</v>
      </c>
      <c r="B1617" t="s">
        <v>1225</v>
      </c>
      <c r="C1617" t="s">
        <v>1230</v>
      </c>
      <c r="D1617" t="s">
        <v>1223</v>
      </c>
      <c r="E1617" t="s">
        <v>1233</v>
      </c>
      <c r="F1617" t="s">
        <v>201</v>
      </c>
      <c r="G1617">
        <v>926439</v>
      </c>
      <c r="H1617" t="s">
        <v>614</v>
      </c>
      <c r="I1617" s="4">
        <v>3360</v>
      </c>
      <c r="J1617" s="4">
        <v>890.79647999999997</v>
      </c>
    </row>
    <row r="1618" spans="1:10" x14ac:dyDescent="0.35">
      <c r="A1618">
        <v>3151272489</v>
      </c>
      <c r="B1618" t="s">
        <v>1225</v>
      </c>
      <c r="C1618" t="s">
        <v>1230</v>
      </c>
      <c r="D1618" t="s">
        <v>1223</v>
      </c>
      <c r="E1618" t="s">
        <v>1233</v>
      </c>
      <c r="F1618" t="s">
        <v>201</v>
      </c>
      <c r="G1618">
        <v>926439</v>
      </c>
      <c r="H1618" t="s">
        <v>614</v>
      </c>
      <c r="I1618" s="4">
        <v>3360</v>
      </c>
      <c r="J1618" s="4">
        <v>890.79647999999997</v>
      </c>
    </row>
    <row r="1619" spans="1:10" x14ac:dyDescent="0.35">
      <c r="A1619">
        <v>3151272409</v>
      </c>
      <c r="B1619" t="s">
        <v>1225</v>
      </c>
      <c r="C1619" t="s">
        <v>1230</v>
      </c>
      <c r="D1619" t="s">
        <v>1223</v>
      </c>
      <c r="E1619" t="s">
        <v>1233</v>
      </c>
      <c r="F1619" t="s">
        <v>201</v>
      </c>
      <c r="G1619">
        <v>926439</v>
      </c>
      <c r="H1619" t="s">
        <v>614</v>
      </c>
      <c r="I1619" s="4">
        <v>3360</v>
      </c>
      <c r="J1619" s="4">
        <v>890.79647999999997</v>
      </c>
    </row>
    <row r="1620" spans="1:10" x14ac:dyDescent="0.35">
      <c r="A1620">
        <v>3151272413</v>
      </c>
      <c r="B1620" t="s">
        <v>1225</v>
      </c>
      <c r="C1620" t="s">
        <v>1230</v>
      </c>
      <c r="D1620" t="s">
        <v>1223</v>
      </c>
      <c r="E1620" t="s">
        <v>1233</v>
      </c>
      <c r="F1620" t="s">
        <v>201</v>
      </c>
      <c r="G1620">
        <v>926439</v>
      </c>
      <c r="H1620" t="s">
        <v>614</v>
      </c>
      <c r="I1620" s="4">
        <v>3360</v>
      </c>
      <c r="J1620" s="4">
        <v>890.79647999999997</v>
      </c>
    </row>
    <row r="1621" spans="1:10" x14ac:dyDescent="0.35">
      <c r="A1621">
        <v>3151272414</v>
      </c>
      <c r="B1621" t="s">
        <v>1225</v>
      </c>
      <c r="C1621" t="s">
        <v>1230</v>
      </c>
      <c r="D1621" t="s">
        <v>1223</v>
      </c>
      <c r="E1621" t="s">
        <v>1233</v>
      </c>
      <c r="F1621" t="s">
        <v>201</v>
      </c>
      <c r="G1621">
        <v>926439</v>
      </c>
      <c r="H1621" t="s">
        <v>614</v>
      </c>
      <c r="I1621" s="4">
        <v>3360</v>
      </c>
      <c r="J1621" s="4">
        <v>890.79647999999997</v>
      </c>
    </row>
    <row r="1622" spans="1:10" x14ac:dyDescent="0.35">
      <c r="A1622">
        <v>3151272419</v>
      </c>
      <c r="B1622" t="s">
        <v>1225</v>
      </c>
      <c r="C1622" t="s">
        <v>1230</v>
      </c>
      <c r="D1622" t="s">
        <v>1223</v>
      </c>
      <c r="E1622" t="s">
        <v>1233</v>
      </c>
      <c r="F1622" t="s">
        <v>201</v>
      </c>
      <c r="G1622">
        <v>926439</v>
      </c>
      <c r="H1622" t="s">
        <v>614</v>
      </c>
      <c r="I1622" s="4">
        <v>1680</v>
      </c>
      <c r="J1622" s="4">
        <v>445.39823999999999</v>
      </c>
    </row>
    <row r="1623" spans="1:10" x14ac:dyDescent="0.35">
      <c r="A1623">
        <v>3151272421</v>
      </c>
      <c r="B1623" t="s">
        <v>1225</v>
      </c>
      <c r="C1623" t="s">
        <v>1230</v>
      </c>
      <c r="D1623" t="s">
        <v>1223</v>
      </c>
      <c r="E1623" t="s">
        <v>1233</v>
      </c>
      <c r="F1623" t="s">
        <v>201</v>
      </c>
      <c r="G1623">
        <v>926439</v>
      </c>
      <c r="H1623" t="s">
        <v>614</v>
      </c>
      <c r="I1623" s="4">
        <v>1680</v>
      </c>
      <c r="J1623" s="4">
        <v>445.39823999999999</v>
      </c>
    </row>
    <row r="1624" spans="1:10" x14ac:dyDescent="0.35">
      <c r="A1624">
        <v>3151272056</v>
      </c>
      <c r="B1624" t="s">
        <v>1225</v>
      </c>
      <c r="C1624" t="s">
        <v>1230</v>
      </c>
      <c r="D1624" t="s">
        <v>1223</v>
      </c>
      <c r="E1624" t="s">
        <v>1233</v>
      </c>
      <c r="G1624">
        <v>926439</v>
      </c>
      <c r="H1624" t="s">
        <v>614</v>
      </c>
      <c r="I1624" s="4">
        <v>3600</v>
      </c>
      <c r="J1624" s="4">
        <v>954.4248</v>
      </c>
    </row>
    <row r="1625" spans="1:10" x14ac:dyDescent="0.35">
      <c r="A1625">
        <v>3151272062</v>
      </c>
      <c r="B1625" t="s">
        <v>1225</v>
      </c>
      <c r="C1625" t="s">
        <v>1230</v>
      </c>
      <c r="D1625" t="s">
        <v>1223</v>
      </c>
      <c r="E1625" t="s">
        <v>1233</v>
      </c>
      <c r="G1625">
        <v>926439</v>
      </c>
      <c r="H1625" t="s">
        <v>614</v>
      </c>
      <c r="I1625" s="4">
        <v>4800</v>
      </c>
      <c r="J1625" s="4">
        <v>1272.5663999999999</v>
      </c>
    </row>
    <row r="1626" spans="1:10" x14ac:dyDescent="0.35">
      <c r="A1626">
        <v>3151272391</v>
      </c>
      <c r="B1626" t="s">
        <v>1225</v>
      </c>
      <c r="C1626" t="s">
        <v>1230</v>
      </c>
      <c r="D1626" t="s">
        <v>1234</v>
      </c>
      <c r="E1626" t="s">
        <v>1235</v>
      </c>
      <c r="F1626" t="s">
        <v>201</v>
      </c>
      <c r="G1626">
        <v>944978</v>
      </c>
      <c r="H1626" t="s">
        <v>415</v>
      </c>
      <c r="I1626" s="4">
        <v>11520</v>
      </c>
      <c r="J1626" s="4">
        <v>4786.3641600000001</v>
      </c>
    </row>
    <row r="1627" spans="1:10" x14ac:dyDescent="0.35">
      <c r="A1627">
        <v>3151272394</v>
      </c>
      <c r="B1627" t="s">
        <v>1225</v>
      </c>
      <c r="C1627" t="s">
        <v>1230</v>
      </c>
      <c r="D1627" t="s">
        <v>1234</v>
      </c>
      <c r="E1627" t="s">
        <v>1235</v>
      </c>
      <c r="F1627" t="s">
        <v>201</v>
      </c>
      <c r="G1627">
        <v>944978</v>
      </c>
      <c r="H1627" t="s">
        <v>415</v>
      </c>
      <c r="I1627" s="4">
        <v>11184</v>
      </c>
      <c r="J1627" s="4">
        <v>4646.7618720000009</v>
      </c>
    </row>
    <row r="1628" spans="1:10" x14ac:dyDescent="0.35">
      <c r="A1628">
        <v>3151272397</v>
      </c>
      <c r="B1628" t="s">
        <v>1225</v>
      </c>
      <c r="C1628" t="s">
        <v>1230</v>
      </c>
      <c r="D1628" t="s">
        <v>1234</v>
      </c>
      <c r="E1628" t="s">
        <v>1235</v>
      </c>
      <c r="F1628" t="s">
        <v>201</v>
      </c>
      <c r="G1628">
        <v>944978</v>
      </c>
      <c r="H1628" t="s">
        <v>415</v>
      </c>
      <c r="I1628" s="4">
        <v>9600</v>
      </c>
      <c r="J1628" s="4">
        <v>3988.6367999999998</v>
      </c>
    </row>
    <row r="1629" spans="1:10" x14ac:dyDescent="0.35">
      <c r="A1629">
        <v>3151272398</v>
      </c>
      <c r="B1629" t="s">
        <v>1225</v>
      </c>
      <c r="C1629" t="s">
        <v>1230</v>
      </c>
      <c r="D1629" t="s">
        <v>1234</v>
      </c>
      <c r="E1629" t="s">
        <v>1235</v>
      </c>
      <c r="F1629" t="s">
        <v>201</v>
      </c>
      <c r="G1629">
        <v>944978</v>
      </c>
      <c r="H1629" t="s">
        <v>415</v>
      </c>
      <c r="I1629" s="4">
        <v>9600</v>
      </c>
      <c r="J1629" s="4">
        <v>3988.6367999999998</v>
      </c>
    </row>
    <row r="1630" spans="1:10" x14ac:dyDescent="0.35">
      <c r="A1630">
        <v>3151272403</v>
      </c>
      <c r="B1630" t="s">
        <v>1225</v>
      </c>
      <c r="C1630" t="s">
        <v>1230</v>
      </c>
      <c r="D1630" t="s">
        <v>1234</v>
      </c>
      <c r="E1630" t="s">
        <v>1235</v>
      </c>
      <c r="F1630" t="s">
        <v>201</v>
      </c>
      <c r="G1630">
        <v>944978</v>
      </c>
      <c r="H1630" t="s">
        <v>415</v>
      </c>
      <c r="I1630" s="4">
        <v>9600</v>
      </c>
      <c r="J1630" s="4">
        <v>3988.6367999999998</v>
      </c>
    </row>
    <row r="1631" spans="1:10" x14ac:dyDescent="0.35">
      <c r="A1631">
        <v>3151272404</v>
      </c>
      <c r="B1631" t="s">
        <v>1225</v>
      </c>
      <c r="C1631" t="s">
        <v>1230</v>
      </c>
      <c r="D1631" t="s">
        <v>1234</v>
      </c>
      <c r="E1631" t="s">
        <v>1235</v>
      </c>
      <c r="F1631" t="s">
        <v>201</v>
      </c>
      <c r="G1631">
        <v>944978</v>
      </c>
      <c r="H1631" t="s">
        <v>415</v>
      </c>
      <c r="I1631" s="4">
        <v>7968</v>
      </c>
      <c r="J1631" s="4">
        <v>3310.5685440000002</v>
      </c>
    </row>
    <row r="1632" spans="1:10" x14ac:dyDescent="0.35">
      <c r="A1632">
        <v>3151272408</v>
      </c>
      <c r="B1632" t="s">
        <v>1225</v>
      </c>
      <c r="C1632" t="s">
        <v>1230</v>
      </c>
      <c r="D1632" t="s">
        <v>1234</v>
      </c>
      <c r="E1632" t="s">
        <v>1235</v>
      </c>
      <c r="F1632" t="s">
        <v>201</v>
      </c>
      <c r="G1632">
        <v>944978</v>
      </c>
      <c r="H1632" t="s">
        <v>415</v>
      </c>
      <c r="I1632" s="4">
        <v>7968</v>
      </c>
      <c r="J1632" s="4">
        <v>3310.5685440000002</v>
      </c>
    </row>
    <row r="1633" spans="1:10" x14ac:dyDescent="0.35">
      <c r="A1633">
        <v>3151272411</v>
      </c>
      <c r="B1633" t="s">
        <v>1225</v>
      </c>
      <c r="C1633" t="s">
        <v>1230</v>
      </c>
      <c r="D1633" t="s">
        <v>1234</v>
      </c>
      <c r="E1633" t="s">
        <v>1235</v>
      </c>
      <c r="F1633" t="s">
        <v>201</v>
      </c>
      <c r="G1633">
        <v>944978</v>
      </c>
      <c r="H1633" t="s">
        <v>415</v>
      </c>
      <c r="I1633" s="4">
        <v>7968</v>
      </c>
      <c r="J1633" s="4">
        <v>3310.5685440000002</v>
      </c>
    </row>
    <row r="1634" spans="1:10" x14ac:dyDescent="0.35">
      <c r="A1634">
        <v>3151272412</v>
      </c>
      <c r="B1634" t="s">
        <v>1225</v>
      </c>
      <c r="C1634" t="s">
        <v>1230</v>
      </c>
      <c r="D1634" t="s">
        <v>1234</v>
      </c>
      <c r="E1634" t="s">
        <v>1235</v>
      </c>
      <c r="F1634" t="s">
        <v>201</v>
      </c>
      <c r="G1634">
        <v>944978</v>
      </c>
      <c r="H1634" t="s">
        <v>415</v>
      </c>
      <c r="I1634" s="4">
        <v>7968</v>
      </c>
      <c r="J1634" s="4">
        <v>3310.5685440000002</v>
      </c>
    </row>
    <row r="1635" spans="1:10" x14ac:dyDescent="0.35">
      <c r="A1635">
        <v>3151272416</v>
      </c>
      <c r="B1635" t="s">
        <v>1225</v>
      </c>
      <c r="C1635" t="s">
        <v>1230</v>
      </c>
      <c r="D1635" t="s">
        <v>1234</v>
      </c>
      <c r="E1635" t="s">
        <v>1235</v>
      </c>
      <c r="F1635" t="s">
        <v>201</v>
      </c>
      <c r="G1635">
        <v>944978</v>
      </c>
      <c r="H1635" t="s">
        <v>415</v>
      </c>
      <c r="I1635" s="4">
        <v>7968</v>
      </c>
      <c r="J1635" s="4">
        <v>3310.5685440000002</v>
      </c>
    </row>
    <row r="1636" spans="1:10" x14ac:dyDescent="0.35">
      <c r="A1636">
        <v>3151272418</v>
      </c>
      <c r="B1636" t="s">
        <v>1225</v>
      </c>
      <c r="C1636" t="s">
        <v>1230</v>
      </c>
      <c r="D1636" t="s">
        <v>1234</v>
      </c>
      <c r="E1636" t="s">
        <v>1235</v>
      </c>
      <c r="F1636" t="s">
        <v>201</v>
      </c>
      <c r="G1636">
        <v>944978</v>
      </c>
      <c r="H1636" t="s">
        <v>415</v>
      </c>
      <c r="I1636" s="4">
        <v>9600</v>
      </c>
      <c r="J1636" s="4">
        <v>3988.6367999999998</v>
      </c>
    </row>
    <row r="1637" spans="1:10" x14ac:dyDescent="0.35">
      <c r="A1637">
        <v>3151272423</v>
      </c>
      <c r="B1637" t="s">
        <v>1225</v>
      </c>
      <c r="C1637" t="s">
        <v>1230</v>
      </c>
      <c r="D1637" t="s">
        <v>1234</v>
      </c>
      <c r="E1637" t="s">
        <v>1235</v>
      </c>
      <c r="F1637" t="s">
        <v>201</v>
      </c>
      <c r="G1637">
        <v>944978</v>
      </c>
      <c r="H1637" t="s">
        <v>415</v>
      </c>
      <c r="I1637" s="4">
        <v>9600</v>
      </c>
      <c r="J1637" s="4">
        <v>3988.6367999999998</v>
      </c>
    </row>
    <row r="1638" spans="1:10" x14ac:dyDescent="0.35">
      <c r="A1638">
        <v>3151272052</v>
      </c>
      <c r="B1638" t="s">
        <v>1225</v>
      </c>
      <c r="C1638" t="s">
        <v>1230</v>
      </c>
      <c r="D1638" t="s">
        <v>1234</v>
      </c>
      <c r="E1638" t="s">
        <v>1235</v>
      </c>
      <c r="G1638">
        <v>944978</v>
      </c>
      <c r="H1638" t="s">
        <v>415</v>
      </c>
      <c r="I1638" s="4">
        <v>2880</v>
      </c>
      <c r="J1638" s="4">
        <v>1196.59104</v>
      </c>
    </row>
    <row r="1639" spans="1:10" x14ac:dyDescent="0.35">
      <c r="A1639">
        <v>3151272056</v>
      </c>
      <c r="B1639" t="s">
        <v>1225</v>
      </c>
      <c r="C1639" t="s">
        <v>1230</v>
      </c>
      <c r="D1639" t="s">
        <v>1234</v>
      </c>
      <c r="E1639" t="s">
        <v>1235</v>
      </c>
      <c r="G1639">
        <v>944978</v>
      </c>
      <c r="H1639" t="s">
        <v>415</v>
      </c>
      <c r="I1639" s="4">
        <v>1560</v>
      </c>
      <c r="J1639" s="4">
        <v>648.15347999999994</v>
      </c>
    </row>
    <row r="1640" spans="1:10" x14ac:dyDescent="0.35">
      <c r="A1640">
        <v>3151272062</v>
      </c>
      <c r="B1640" t="s">
        <v>1225</v>
      </c>
      <c r="C1640" t="s">
        <v>1230</v>
      </c>
      <c r="D1640" t="s">
        <v>1234</v>
      </c>
      <c r="E1640" t="s">
        <v>1235</v>
      </c>
      <c r="G1640">
        <v>944978</v>
      </c>
      <c r="H1640" t="s">
        <v>415</v>
      </c>
      <c r="I1640" s="4">
        <v>3024</v>
      </c>
      <c r="J1640" s="4">
        <v>1256.4205919999999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/>
  </sheetViews>
  <sheetFormatPr defaultRowHeight="14.5" x14ac:dyDescent="0.35"/>
  <cols>
    <col min="1" max="1" width="10.81640625" bestFit="1" customWidth="1"/>
    <col min="2" max="2" width="15.81640625" bestFit="1" customWidth="1"/>
    <col min="3" max="3" width="16" bestFit="1" customWidth="1"/>
    <col min="4" max="5" width="12.26953125" bestFit="1" customWidth="1"/>
    <col min="6" max="6" width="4.81640625" bestFit="1" customWidth="1"/>
  </cols>
  <sheetData>
    <row r="1" spans="1:6" x14ac:dyDescent="0.35">
      <c r="A1" t="s">
        <v>1236</v>
      </c>
      <c r="B1" t="s">
        <v>1237</v>
      </c>
      <c r="C1" t="s">
        <v>1238</v>
      </c>
      <c r="D1" t="s">
        <v>1239</v>
      </c>
      <c r="E1" t="s">
        <v>1240</v>
      </c>
      <c r="F1" t="s">
        <v>1241</v>
      </c>
    </row>
    <row r="2" spans="1:6" x14ac:dyDescent="0.35">
      <c r="A2" t="s">
        <v>415</v>
      </c>
      <c r="B2">
        <v>2117848.6515463917</v>
      </c>
      <c r="C2">
        <v>1116328.6714007419</v>
      </c>
      <c r="D2">
        <v>22.904691486530627</v>
      </c>
      <c r="E2">
        <v>527.10502735199282</v>
      </c>
      <c r="F2">
        <v>36.6</v>
      </c>
    </row>
    <row r="3" spans="1:6" x14ac:dyDescent="0.35">
      <c r="A3" t="s">
        <v>517</v>
      </c>
      <c r="B3">
        <v>213921.64948453609</v>
      </c>
      <c r="C3">
        <v>141027.30066804119</v>
      </c>
      <c r="D3">
        <v>2.313578630916493</v>
      </c>
      <c r="E3">
        <v>659.24744413601638</v>
      </c>
      <c r="F3">
        <v>75.400000000000006</v>
      </c>
    </row>
    <row r="4" spans="1:6" x14ac:dyDescent="0.35">
      <c r="A4" t="s">
        <v>649</v>
      </c>
      <c r="B4">
        <v>49484.536082474231</v>
      </c>
      <c r="C4">
        <v>2032.1505649484536</v>
      </c>
      <c r="D4">
        <v>0.53517895695500661</v>
      </c>
      <c r="E4">
        <v>41.066375999999998</v>
      </c>
      <c r="F4">
        <v>37.700000000000003</v>
      </c>
    </row>
    <row r="5" spans="1:6" x14ac:dyDescent="0.35">
      <c r="A5" t="s">
        <v>412</v>
      </c>
      <c r="B5">
        <v>2613720.6185567011</v>
      </c>
      <c r="C5">
        <v>461779.51943505177</v>
      </c>
      <c r="D5">
        <v>28.26758387872168</v>
      </c>
      <c r="E5">
        <v>176.67516419182047</v>
      </c>
      <c r="F5">
        <v>29</v>
      </c>
    </row>
    <row r="6" spans="1:6" x14ac:dyDescent="0.35">
      <c r="A6" t="s">
        <v>614</v>
      </c>
      <c r="B6">
        <v>357098.96907216497</v>
      </c>
      <c r="C6">
        <v>105302.54161649481</v>
      </c>
      <c r="D6">
        <v>3.8620520454961853</v>
      </c>
      <c r="E6">
        <v>294.88335373831495</v>
      </c>
      <c r="F6">
        <v>30.4</v>
      </c>
    </row>
    <row r="7" spans="1:6" x14ac:dyDescent="0.35">
      <c r="A7" t="s">
        <v>421</v>
      </c>
      <c r="B7">
        <v>419269.17525773193</v>
      </c>
      <c r="C7">
        <v>332310.71269298968</v>
      </c>
      <c r="D7">
        <v>4.5344274729350884</v>
      </c>
      <c r="E7">
        <v>792.59514484629733</v>
      </c>
      <c r="F7">
        <v>47</v>
      </c>
    </row>
    <row r="8" spans="1:6" x14ac:dyDescent="0.35">
      <c r="A8" t="s">
        <v>433</v>
      </c>
      <c r="B8">
        <v>3475009.501030928</v>
      </c>
      <c r="C8">
        <v>188403.87910647405</v>
      </c>
      <c r="D8">
        <v>37.582487528444908</v>
      </c>
      <c r="E8">
        <v>54.21679539310049</v>
      </c>
      <c r="F8">
        <v>22.8</v>
      </c>
    </row>
    <row r="9" spans="1:6" x14ac:dyDescent="0.35">
      <c r="A9" t="s">
        <v>390</v>
      </c>
      <c r="B9">
        <f>SUM(B2:B8)</f>
        <v>9246353.101030929</v>
      </c>
      <c r="C9">
        <f>SUM(C2:C8)</f>
        <v>2347184.7754847421</v>
      </c>
      <c r="D9">
        <f t="shared" ref="D9:E9" si="0">SUM(D2:D8)</f>
        <v>99.999999999999986</v>
      </c>
      <c r="E9">
        <f t="shared" si="0"/>
        <v>2545.7893056575426</v>
      </c>
    </row>
    <row r="10" spans="1:6" x14ac:dyDescent="0.35">
      <c r="A10" t="s">
        <v>1243</v>
      </c>
      <c r="B10" s="20">
        <f>B9/30</f>
        <v>308211.77003436431</v>
      </c>
      <c r="C10" s="3">
        <f>C9/30</f>
        <v>78239.492516158076</v>
      </c>
      <c r="D10">
        <f>B10/C10</f>
        <v>3.9393375407018674</v>
      </c>
    </row>
    <row r="12" spans="1:6" x14ac:dyDescent="0.35">
      <c r="A12" t="s">
        <v>1242</v>
      </c>
      <c r="B1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topLeftCell="D1" workbookViewId="0">
      <selection activeCell="J18" sqref="J18"/>
    </sheetView>
  </sheetViews>
  <sheetFormatPr defaultRowHeight="14.5" x14ac:dyDescent="0.35"/>
  <cols>
    <col min="1" max="1" width="6" bestFit="1" customWidth="1"/>
    <col min="2" max="2" width="32.26953125" bestFit="1" customWidth="1"/>
    <col min="3" max="6" width="8.54296875" bestFit="1" customWidth="1"/>
    <col min="7" max="7" width="9.54296875" bestFit="1" customWidth="1"/>
    <col min="8" max="8" width="9.453125" bestFit="1" customWidth="1"/>
    <col min="9" max="9" width="7.81640625" bestFit="1" customWidth="1"/>
    <col min="10" max="10" width="9" bestFit="1" customWidth="1"/>
  </cols>
  <sheetData>
    <row r="1" spans="1:10" x14ac:dyDescent="0.35">
      <c r="A1" t="s">
        <v>1244</v>
      </c>
      <c r="B1" t="s">
        <v>1245</v>
      </c>
      <c r="C1" t="s">
        <v>1246</v>
      </c>
      <c r="D1" t="s">
        <v>1247</v>
      </c>
      <c r="E1" t="s">
        <v>1248</v>
      </c>
      <c r="F1" t="s">
        <v>1249</v>
      </c>
      <c r="G1" t="s">
        <v>1250</v>
      </c>
      <c r="H1" t="s">
        <v>1251</v>
      </c>
      <c r="I1" t="s">
        <v>1252</v>
      </c>
      <c r="J1" t="s">
        <v>1253</v>
      </c>
    </row>
    <row r="2" spans="1:10" x14ac:dyDescent="0.35">
      <c r="A2">
        <v>1</v>
      </c>
      <c r="B2" t="s">
        <v>1254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</row>
    <row r="3" spans="1:10" x14ac:dyDescent="0.35">
      <c r="A3">
        <v>2</v>
      </c>
      <c r="B3" t="s">
        <v>1255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</row>
    <row r="4" spans="1:10" x14ac:dyDescent="0.35">
      <c r="A4">
        <v>3</v>
      </c>
      <c r="B4" t="s">
        <v>1256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</row>
    <row r="5" spans="1:10" x14ac:dyDescent="0.35">
      <c r="A5">
        <v>4</v>
      </c>
      <c r="B5" t="s">
        <v>1257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</row>
    <row r="6" spans="1:10" x14ac:dyDescent="0.35">
      <c r="A6">
        <v>5</v>
      </c>
      <c r="B6" t="s">
        <v>1258</v>
      </c>
      <c r="C6" s="21">
        <f>(C$2*Size_wise_details_summary!$B$10)/100</f>
        <v>11903.138558727149</v>
      </c>
      <c r="D6" s="21">
        <f>(D$2*Size_wise_details_summary!$B$10)/100</f>
        <v>13974.321653358078</v>
      </c>
      <c r="E6" s="21">
        <f>(E$2*Size_wise_details_summary!$B$10)/100</f>
        <v>70580.495337869419</v>
      </c>
      <c r="F6" s="21">
        <f>(F$2*Size_wise_details_summary!$B$10)/100</f>
        <v>87131.467388714795</v>
      </c>
      <c r="G6" s="21">
        <f>(G$2*Size_wise_details_summary!$B$10)/100</f>
        <v>115825.9831789141</v>
      </c>
      <c r="H6" s="21">
        <f>(H$2*Size_wise_details_summary!$B$10)/100</f>
        <v>1648.932969683849</v>
      </c>
      <c r="I6" s="21">
        <f>(I$2*Size_wise_details_summary!$B$10)/100</f>
        <v>0</v>
      </c>
      <c r="J6" s="21">
        <f>(J$2*Size_wise_details_summary!$B$10)/100</f>
        <v>7132.0203585951904</v>
      </c>
    </row>
    <row r="7" spans="1:10" x14ac:dyDescent="0.35">
      <c r="A7">
        <v>6</v>
      </c>
      <c r="B7" t="s">
        <v>1259</v>
      </c>
      <c r="C7" s="4">
        <f>ROUND(+C5/C4-0.5,0)</f>
        <v>5</v>
      </c>
      <c r="D7" s="4">
        <f t="shared" ref="D7:H7" si="0">ROUND(+D5/D4-0.5,0)</f>
        <v>3</v>
      </c>
      <c r="E7" s="4">
        <f t="shared" si="0"/>
        <v>3</v>
      </c>
      <c r="F7" s="4">
        <f>ROUND(+F5/F4-0.5,0)</f>
        <v>6</v>
      </c>
      <c r="G7" s="4">
        <f>ROUND(+G5/G4-0.5,0)</f>
        <v>8</v>
      </c>
      <c r="H7" s="4">
        <f t="shared" si="0"/>
        <v>7</v>
      </c>
      <c r="I7" s="4">
        <f>ROUND(+I5/I4-0.5,0)</f>
        <v>3</v>
      </c>
      <c r="J7" s="4">
        <f>ROUND(+J5/J4-0.5,0)</f>
        <v>3</v>
      </c>
    </row>
    <row r="8" spans="1:10" x14ac:dyDescent="0.35">
      <c r="A8">
        <v>7</v>
      </c>
      <c r="B8" t="s">
        <v>1260</v>
      </c>
      <c r="C8" s="21">
        <f>100/C3</f>
        <v>1</v>
      </c>
      <c r="D8" s="21">
        <f t="shared" ref="D8:J8" si="1">100/D3</f>
        <v>0.55555555555555558</v>
      </c>
      <c r="E8" s="21">
        <f t="shared" si="1"/>
        <v>0.625</v>
      </c>
      <c r="F8" s="21">
        <f t="shared" si="1"/>
        <v>1.4285714285714286</v>
      </c>
      <c r="G8" s="21">
        <f t="shared" si="1"/>
        <v>2.3255813953488373</v>
      </c>
      <c r="H8" s="21">
        <f>100/H3</f>
        <v>2.5</v>
      </c>
      <c r="I8" s="21">
        <f t="shared" si="1"/>
        <v>0.54054054054054057</v>
      </c>
      <c r="J8" s="21">
        <f t="shared" si="1"/>
        <v>0.52631578947368418</v>
      </c>
    </row>
    <row r="9" spans="1:10" x14ac:dyDescent="0.35">
      <c r="A9">
        <v>8</v>
      </c>
      <c r="B9" t="s">
        <v>1261</v>
      </c>
      <c r="C9" s="21">
        <f>C8*C7</f>
        <v>5</v>
      </c>
      <c r="D9" s="21">
        <f t="shared" ref="D9:J9" si="2">D8*D7</f>
        <v>1.6666666666666667</v>
      </c>
      <c r="E9" s="21">
        <f t="shared" si="2"/>
        <v>1.875</v>
      </c>
      <c r="F9" s="21">
        <f t="shared" si="2"/>
        <v>8.5714285714285712</v>
      </c>
      <c r="G9" s="21">
        <f t="shared" si="2"/>
        <v>18.604651162790699</v>
      </c>
      <c r="H9" s="21">
        <f>H8*H7</f>
        <v>17.5</v>
      </c>
      <c r="I9" s="21">
        <f t="shared" si="2"/>
        <v>1.6216216216216217</v>
      </c>
      <c r="J9" s="21">
        <f t="shared" si="2"/>
        <v>1.5789473684210527</v>
      </c>
    </row>
    <row r="10" spans="1:10" x14ac:dyDescent="0.35">
      <c r="A10">
        <v>9</v>
      </c>
      <c r="B10" t="s">
        <v>1262</v>
      </c>
      <c r="C10">
        <v>40</v>
      </c>
      <c r="D10">
        <f>C10</f>
        <v>40</v>
      </c>
      <c r="E10">
        <f>C10</f>
        <v>40</v>
      </c>
      <c r="F10">
        <f>C10</f>
        <v>40</v>
      </c>
      <c r="G10">
        <f>C10</f>
        <v>40</v>
      </c>
      <c r="H10">
        <f>C10</f>
        <v>40</v>
      </c>
      <c r="I10">
        <f>C10</f>
        <v>40</v>
      </c>
      <c r="J10">
        <f>C10</f>
        <v>40</v>
      </c>
    </row>
    <row r="11" spans="1:10" x14ac:dyDescent="0.35">
      <c r="A11">
        <v>10</v>
      </c>
      <c r="B11" t="s">
        <v>1263</v>
      </c>
      <c r="C11" s="21">
        <f t="shared" ref="C11:J11" si="3">IF(C$7=0,0,C10*C9)</f>
        <v>200</v>
      </c>
      <c r="D11" s="21">
        <f t="shared" si="3"/>
        <v>66.666666666666671</v>
      </c>
      <c r="E11" s="21">
        <f t="shared" si="3"/>
        <v>75</v>
      </c>
      <c r="F11" s="21">
        <f t="shared" si="3"/>
        <v>342.85714285714283</v>
      </c>
      <c r="G11" s="3">
        <f t="shared" si="3"/>
        <v>744.18604651162798</v>
      </c>
      <c r="H11" s="21">
        <f t="shared" si="3"/>
        <v>700</v>
      </c>
      <c r="I11" s="21">
        <f t="shared" si="3"/>
        <v>64.86486486486487</v>
      </c>
      <c r="J11" s="21">
        <f t="shared" si="3"/>
        <v>63.15789473684211</v>
      </c>
    </row>
    <row r="12" spans="1:10" x14ac:dyDescent="0.35">
      <c r="A12">
        <v>11</v>
      </c>
      <c r="B12" t="s">
        <v>1264</v>
      </c>
      <c r="C12" s="22">
        <v>0.5</v>
      </c>
      <c r="D12" s="22">
        <v>0.5</v>
      </c>
      <c r="E12" s="22">
        <v>0.5</v>
      </c>
      <c r="F12" s="22">
        <v>0.5</v>
      </c>
      <c r="G12" s="22">
        <v>0.5</v>
      </c>
      <c r="H12" s="22">
        <v>0.5</v>
      </c>
      <c r="I12" s="22">
        <v>0.5</v>
      </c>
      <c r="J12" s="22">
        <v>0.5</v>
      </c>
    </row>
    <row r="13" spans="1:10" x14ac:dyDescent="0.35">
      <c r="A13">
        <v>12</v>
      </c>
      <c r="B13" t="s">
        <v>1265</v>
      </c>
      <c r="C13" s="4">
        <f>C11*C12</f>
        <v>100</v>
      </c>
      <c r="D13" s="4">
        <f>D11*D12</f>
        <v>33.333333333333336</v>
      </c>
      <c r="E13" s="4">
        <f t="shared" ref="E13:J13" si="4">E11*E12</f>
        <v>37.5</v>
      </c>
      <c r="F13" s="4">
        <f t="shared" si="4"/>
        <v>171.42857142857142</v>
      </c>
      <c r="G13" s="4">
        <f t="shared" si="4"/>
        <v>372.09302325581399</v>
      </c>
      <c r="H13" s="4">
        <f>H11*H12</f>
        <v>350</v>
      </c>
      <c r="I13" s="4">
        <f t="shared" si="4"/>
        <v>32.432432432432435</v>
      </c>
      <c r="J13" s="4">
        <f t="shared" si="4"/>
        <v>31.578947368421055</v>
      </c>
    </row>
    <row r="14" spans="1:10" x14ac:dyDescent="0.35">
      <c r="A14">
        <v>13</v>
      </c>
      <c r="B14" t="s">
        <v>1266</v>
      </c>
      <c r="C14" s="3">
        <f>7.5*3</f>
        <v>22.5</v>
      </c>
      <c r="D14" s="3">
        <f>C14</f>
        <v>22.5</v>
      </c>
      <c r="E14" s="3">
        <f>C14</f>
        <v>22.5</v>
      </c>
      <c r="F14" s="3">
        <f>C14</f>
        <v>22.5</v>
      </c>
      <c r="G14" s="3">
        <f>C14</f>
        <v>22.5</v>
      </c>
      <c r="H14" s="3">
        <f>C14</f>
        <v>22.5</v>
      </c>
      <c r="I14" s="3">
        <f>C14</f>
        <v>22.5</v>
      </c>
      <c r="J14" s="3">
        <f>C14</f>
        <v>22.5</v>
      </c>
    </row>
    <row r="15" spans="1:10" x14ac:dyDescent="0.35">
      <c r="A15">
        <v>14</v>
      </c>
      <c r="B15" t="s">
        <v>1267</v>
      </c>
      <c r="C15" s="4">
        <f>C14*60*C13</f>
        <v>135000</v>
      </c>
      <c r="D15" s="4">
        <f t="shared" ref="D15:J15" si="5">D14*60*D13</f>
        <v>45000</v>
      </c>
      <c r="E15" s="4">
        <f t="shared" si="5"/>
        <v>50625</v>
      </c>
      <c r="F15" s="4">
        <f t="shared" si="5"/>
        <v>231428.57142857142</v>
      </c>
      <c r="G15" s="4">
        <f t="shared" si="5"/>
        <v>502325.58139534888</v>
      </c>
      <c r="H15" s="4">
        <f t="shared" si="5"/>
        <v>472500</v>
      </c>
      <c r="I15" s="4">
        <f t="shared" si="5"/>
        <v>43783.783783783787</v>
      </c>
      <c r="J15" s="4">
        <f t="shared" si="5"/>
        <v>42631.578947368427</v>
      </c>
    </row>
    <row r="16" spans="1:10" x14ac:dyDescent="0.35">
      <c r="A16">
        <v>15</v>
      </c>
      <c r="B16" t="s">
        <v>1268</v>
      </c>
      <c r="C16" s="21">
        <f t="shared" ref="C16:J16" si="6">IF(C$7=0,0,C6/C15)</f>
        <v>8.8171396731312218E-2</v>
      </c>
      <c r="D16" s="21">
        <f t="shared" si="6"/>
        <v>0.31054048118573507</v>
      </c>
      <c r="E16" s="21">
        <f t="shared" si="6"/>
        <v>1.3941826239579145</v>
      </c>
      <c r="F16" s="21">
        <f t="shared" si="6"/>
        <v>0.37649399488950841</v>
      </c>
      <c r="G16" s="21">
        <f t="shared" si="6"/>
        <v>0.23057950355061602</v>
      </c>
      <c r="H16" s="23">
        <f t="shared" si="6"/>
        <v>3.489805226844125E-3</v>
      </c>
      <c r="I16" s="21">
        <f t="shared" si="6"/>
        <v>0</v>
      </c>
      <c r="J16" s="21">
        <f t="shared" si="6"/>
        <v>0.16729430470778839</v>
      </c>
    </row>
    <row r="17" spans="1:10" x14ac:dyDescent="0.35">
      <c r="A17">
        <v>16</v>
      </c>
      <c r="I17" t="s">
        <v>1269</v>
      </c>
      <c r="J17" s="21">
        <f>SUM(C16:J16)</f>
        <v>2.5707521102497184</v>
      </c>
    </row>
    <row r="18" spans="1:10" x14ac:dyDescent="0.35">
      <c r="I18" t="s">
        <v>1270</v>
      </c>
      <c r="J18" s="21">
        <f>ROUND(J17+0.3,0)</f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E1" workbookViewId="0">
      <selection activeCell="J20" sqref="J20"/>
    </sheetView>
  </sheetViews>
  <sheetFormatPr defaultRowHeight="14.5" x14ac:dyDescent="0.35"/>
  <cols>
    <col min="1" max="1" width="6" bestFit="1" customWidth="1"/>
    <col min="2" max="2" width="32.26953125" bestFit="1" customWidth="1"/>
    <col min="3" max="3" width="8.54296875" bestFit="1" customWidth="1"/>
    <col min="4" max="4" width="8.7265625" bestFit="1" customWidth="1"/>
    <col min="5" max="6" width="8.54296875" bestFit="1" customWidth="1"/>
    <col min="7" max="8" width="9.54296875" bestFit="1" customWidth="1"/>
    <col min="9" max="9" width="14" bestFit="1" customWidth="1"/>
    <col min="10" max="10" width="9.1796875" bestFit="1" customWidth="1"/>
  </cols>
  <sheetData>
    <row r="1" spans="1:10" x14ac:dyDescent="0.35">
      <c r="A1" t="s">
        <v>1244</v>
      </c>
      <c r="B1" t="s">
        <v>1245</v>
      </c>
      <c r="C1" t="s">
        <v>1271</v>
      </c>
      <c r="D1" t="s">
        <v>1272</v>
      </c>
      <c r="E1" t="s">
        <v>1273</v>
      </c>
      <c r="F1" t="s">
        <v>1274</v>
      </c>
      <c r="G1" t="s">
        <v>1275</v>
      </c>
      <c r="H1" t="s">
        <v>1276</v>
      </c>
      <c r="I1" t="s">
        <v>1277</v>
      </c>
      <c r="J1" t="s">
        <v>1278</v>
      </c>
    </row>
    <row r="2" spans="1:10" x14ac:dyDescent="0.35">
      <c r="A2">
        <v>1</v>
      </c>
      <c r="B2" t="s">
        <v>1254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</row>
    <row r="3" spans="1:10" x14ac:dyDescent="0.35">
      <c r="A3">
        <v>2</v>
      </c>
      <c r="B3" t="s">
        <v>1255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</row>
    <row r="4" spans="1:10" x14ac:dyDescent="0.35">
      <c r="A4">
        <v>3</v>
      </c>
      <c r="B4" t="s">
        <v>1256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</row>
    <row r="5" spans="1:10" x14ac:dyDescent="0.35">
      <c r="A5">
        <v>4</v>
      </c>
      <c r="B5" t="s">
        <v>1257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</row>
    <row r="6" spans="1:10" x14ac:dyDescent="0.35">
      <c r="A6">
        <v>5</v>
      </c>
      <c r="B6" t="s">
        <v>1258</v>
      </c>
      <c r="C6" s="21">
        <f>(C$2*Size_wise_details_summary!$B$10)/100</f>
        <v>11903.138558727149</v>
      </c>
      <c r="D6" s="21">
        <f>(D$2*Size_wise_details_summary!$B$10)/100</f>
        <v>13974.321653358078</v>
      </c>
      <c r="E6" s="21">
        <f>(E$2*Size_wise_details_summary!$B$10)/100</f>
        <v>70580.495337869419</v>
      </c>
      <c r="F6" s="21">
        <f>(F$2*Size_wise_details_summary!$B$10)/100</f>
        <v>87131.467388714795</v>
      </c>
      <c r="G6" s="21">
        <f>(G$2*Size_wise_details_summary!$B$10)/100</f>
        <v>115825.9831789141</v>
      </c>
      <c r="H6" s="21">
        <f>(H$2*Size_wise_details_summary!$B$10)/100</f>
        <v>1648.932969683849</v>
      </c>
      <c r="I6" s="21">
        <f>(I$2*Size_wise_details_summary!$B$10)/100</f>
        <v>0</v>
      </c>
      <c r="J6" s="21">
        <f>(J$2*Size_wise_details_summary!$B$10)/100</f>
        <v>7132.0203585951904</v>
      </c>
    </row>
    <row r="7" spans="1:10" x14ac:dyDescent="0.35">
      <c r="A7">
        <v>6</v>
      </c>
      <c r="B7" t="s">
        <v>1259</v>
      </c>
      <c r="C7" s="4">
        <f>ROUND(+C5/C4-0.5,0)</f>
        <v>5</v>
      </c>
      <c r="D7" s="4">
        <f t="shared" ref="D7:H7" si="0">ROUND(+D5/D4-0.5,0)</f>
        <v>3</v>
      </c>
      <c r="E7" s="4">
        <f t="shared" si="0"/>
        <v>3</v>
      </c>
      <c r="F7" s="4">
        <f>ROUND(+F5/F4-0.5,0)</f>
        <v>6</v>
      </c>
      <c r="G7" s="4">
        <f>ROUND(+G5/G4-0.5,0)</f>
        <v>8</v>
      </c>
      <c r="H7" s="4">
        <f t="shared" si="0"/>
        <v>7</v>
      </c>
      <c r="I7" s="4">
        <f>ROUND(+I5/I4-0.5,0)</f>
        <v>3</v>
      </c>
      <c r="J7" s="4">
        <f>ROUND(+J5/J4-0.5,0)</f>
        <v>3</v>
      </c>
    </row>
    <row r="8" spans="1:10" x14ac:dyDescent="0.35">
      <c r="A8">
        <v>7</v>
      </c>
      <c r="B8" t="s">
        <v>1260</v>
      </c>
      <c r="C8" s="21">
        <f>100/C3</f>
        <v>1</v>
      </c>
      <c r="D8" s="21">
        <f t="shared" ref="D8:J8" si="1">100/D3</f>
        <v>0.55555555555555558</v>
      </c>
      <c r="E8" s="21">
        <f t="shared" si="1"/>
        <v>0.625</v>
      </c>
      <c r="F8" s="21">
        <f t="shared" si="1"/>
        <v>1.4285714285714286</v>
      </c>
      <c r="G8" s="21">
        <f t="shared" si="1"/>
        <v>2.3255813953488373</v>
      </c>
      <c r="H8" s="21">
        <f>100/H3</f>
        <v>2.5</v>
      </c>
      <c r="I8" s="21">
        <f t="shared" si="1"/>
        <v>0.54054054054054057</v>
      </c>
      <c r="J8" s="21">
        <f t="shared" si="1"/>
        <v>0.52631578947368418</v>
      </c>
    </row>
    <row r="9" spans="1:10" x14ac:dyDescent="0.35">
      <c r="A9">
        <v>8</v>
      </c>
      <c r="B9" t="s">
        <v>1261</v>
      </c>
      <c r="C9" s="21">
        <f>C8*C7</f>
        <v>5</v>
      </c>
      <c r="D9" s="21">
        <f t="shared" ref="D9:J9" si="2">D8*D7</f>
        <v>1.6666666666666667</v>
      </c>
      <c r="E9" s="21">
        <f t="shared" si="2"/>
        <v>1.875</v>
      </c>
      <c r="F9" s="21">
        <f t="shared" si="2"/>
        <v>8.5714285714285712</v>
      </c>
      <c r="G9" s="21">
        <f t="shared" si="2"/>
        <v>18.604651162790699</v>
      </c>
      <c r="H9" s="21">
        <f>H8*H7</f>
        <v>17.5</v>
      </c>
      <c r="I9" s="21">
        <f t="shared" si="2"/>
        <v>1.6216216216216217</v>
      </c>
      <c r="J9" s="21">
        <f t="shared" si="2"/>
        <v>1.5789473684210527</v>
      </c>
    </row>
    <row r="10" spans="1:10" x14ac:dyDescent="0.35">
      <c r="A10">
        <v>9</v>
      </c>
      <c r="B10" t="s">
        <v>1262</v>
      </c>
      <c r="C10">
        <v>40</v>
      </c>
      <c r="D10">
        <f>C10</f>
        <v>40</v>
      </c>
      <c r="E10">
        <f>C10</f>
        <v>40</v>
      </c>
      <c r="F10">
        <f>C10</f>
        <v>40</v>
      </c>
      <c r="G10">
        <f>C10</f>
        <v>40</v>
      </c>
      <c r="H10">
        <f>C10</f>
        <v>40</v>
      </c>
      <c r="I10">
        <f>C10</f>
        <v>40</v>
      </c>
      <c r="J10">
        <f>C10</f>
        <v>40</v>
      </c>
    </row>
    <row r="11" spans="1:10" x14ac:dyDescent="0.35">
      <c r="A11">
        <v>10</v>
      </c>
      <c r="B11" t="s">
        <v>1262</v>
      </c>
      <c r="C11" s="21">
        <v>16.5</v>
      </c>
      <c r="D11" s="21">
        <f>C11</f>
        <v>16.5</v>
      </c>
      <c r="E11" s="21">
        <f>C11</f>
        <v>16.5</v>
      </c>
      <c r="F11" s="21">
        <f>C11</f>
        <v>16.5</v>
      </c>
      <c r="G11" s="21">
        <f>C11</f>
        <v>16.5</v>
      </c>
      <c r="H11" s="21">
        <f>C11</f>
        <v>16.5</v>
      </c>
      <c r="I11" s="21">
        <f>C11</f>
        <v>16.5</v>
      </c>
      <c r="J11" s="21">
        <f>C11</f>
        <v>16.5</v>
      </c>
    </row>
    <row r="12" spans="1:10" x14ac:dyDescent="0.35">
      <c r="A12">
        <v>11</v>
      </c>
      <c r="B12" t="s">
        <v>1279</v>
      </c>
      <c r="C12" s="21">
        <f>+C11*C8</f>
        <v>16.5</v>
      </c>
      <c r="D12" s="21">
        <f>+D11*D8</f>
        <v>9.1666666666666679</v>
      </c>
      <c r="E12" s="21">
        <f t="shared" ref="E12:J12" si="3">+E11*E8</f>
        <v>10.3125</v>
      </c>
      <c r="F12" s="21">
        <f t="shared" si="3"/>
        <v>23.571428571428573</v>
      </c>
      <c r="G12" s="21">
        <f t="shared" si="3"/>
        <v>38.372093023255815</v>
      </c>
      <c r="H12" s="21">
        <f t="shared" si="3"/>
        <v>41.25</v>
      </c>
      <c r="I12" s="21">
        <f t="shared" si="3"/>
        <v>8.9189189189189193</v>
      </c>
      <c r="J12" s="21">
        <f t="shared" si="3"/>
        <v>8.6842105263157894</v>
      </c>
    </row>
    <row r="13" spans="1:10" x14ac:dyDescent="0.35">
      <c r="A13">
        <v>12</v>
      </c>
      <c r="B13" t="s">
        <v>1280</v>
      </c>
      <c r="C13" s="22">
        <v>0.7</v>
      </c>
      <c r="D13" s="22">
        <f>C13</f>
        <v>0.7</v>
      </c>
      <c r="E13" s="22">
        <f>C13</f>
        <v>0.7</v>
      </c>
      <c r="F13" s="22">
        <f>C13</f>
        <v>0.7</v>
      </c>
      <c r="G13" s="22">
        <f>C13</f>
        <v>0.7</v>
      </c>
      <c r="H13" s="22">
        <f>C13</f>
        <v>0.7</v>
      </c>
      <c r="I13" s="22">
        <f>C13</f>
        <v>0.7</v>
      </c>
      <c r="J13" s="22">
        <f>C13</f>
        <v>0.7</v>
      </c>
    </row>
    <row r="14" spans="1:10" x14ac:dyDescent="0.35">
      <c r="A14">
        <v>13</v>
      </c>
      <c r="B14" t="s">
        <v>1265</v>
      </c>
      <c r="C14" s="21">
        <f t="shared" ref="C14:J14" si="4">+C12*C13</f>
        <v>11.549999999999999</v>
      </c>
      <c r="D14" s="21">
        <f t="shared" si="4"/>
        <v>6.416666666666667</v>
      </c>
      <c r="E14" s="21">
        <f t="shared" si="4"/>
        <v>7.2187499999999991</v>
      </c>
      <c r="F14" s="21">
        <f t="shared" si="4"/>
        <v>16.5</v>
      </c>
      <c r="G14" s="21">
        <f t="shared" si="4"/>
        <v>26.86046511627907</v>
      </c>
      <c r="H14" s="21">
        <f t="shared" si="4"/>
        <v>28.874999999999996</v>
      </c>
      <c r="I14" s="21">
        <f t="shared" si="4"/>
        <v>6.243243243243243</v>
      </c>
      <c r="J14" s="21">
        <f t="shared" si="4"/>
        <v>6.0789473684210522</v>
      </c>
    </row>
    <row r="15" spans="1:10" x14ac:dyDescent="0.35">
      <c r="A15">
        <v>14</v>
      </c>
      <c r="B15" t="s">
        <v>1281</v>
      </c>
      <c r="C15" s="3">
        <f>7.5*3</f>
        <v>22.5</v>
      </c>
      <c r="D15" s="3">
        <f>C15</f>
        <v>22.5</v>
      </c>
      <c r="E15" s="3">
        <f>C15</f>
        <v>22.5</v>
      </c>
      <c r="F15" s="3">
        <f>C15</f>
        <v>22.5</v>
      </c>
      <c r="G15" s="3">
        <f>C15</f>
        <v>22.5</v>
      </c>
      <c r="H15" s="3">
        <f>C15</f>
        <v>22.5</v>
      </c>
      <c r="I15" s="3">
        <f>C15</f>
        <v>22.5</v>
      </c>
      <c r="J15" s="3">
        <f>C15</f>
        <v>22.5</v>
      </c>
    </row>
    <row r="16" spans="1:10" x14ac:dyDescent="0.35">
      <c r="A16">
        <v>15</v>
      </c>
      <c r="B16" t="s">
        <v>1282</v>
      </c>
      <c r="C16" s="4">
        <f>C15*60*C14</f>
        <v>15592.499999999998</v>
      </c>
      <c r="D16" s="4">
        <f t="shared" ref="D16:J16" si="5">D15*60*D14</f>
        <v>8662.5</v>
      </c>
      <c r="E16" s="4">
        <f t="shared" si="5"/>
        <v>9745.3124999999982</v>
      </c>
      <c r="F16" s="4">
        <f t="shared" si="5"/>
        <v>22275</v>
      </c>
      <c r="G16" s="4">
        <f t="shared" si="5"/>
        <v>36261.627906976741</v>
      </c>
      <c r="H16" s="4">
        <f t="shared" si="5"/>
        <v>38981.249999999993</v>
      </c>
      <c r="I16" s="4">
        <f t="shared" si="5"/>
        <v>8428.3783783783783</v>
      </c>
      <c r="J16" s="4">
        <f t="shared" si="5"/>
        <v>8206.5789473684199</v>
      </c>
    </row>
    <row r="17" spans="1:10" x14ac:dyDescent="0.35">
      <c r="A17">
        <v>16</v>
      </c>
      <c r="B17" t="s">
        <v>1268</v>
      </c>
      <c r="C17" s="24">
        <f>+C6/C16</f>
        <v>0.76338871628841753</v>
      </c>
      <c r="D17" s="24">
        <f t="shared" ref="D17:J17" si="6">+D6/D16</f>
        <v>1.6131973048609614</v>
      </c>
      <c r="E17" s="24">
        <f t="shared" si="6"/>
        <v>7.2425071374437131</v>
      </c>
      <c r="F17" s="24">
        <f t="shared" si="6"/>
        <v>3.9116259209299571</v>
      </c>
      <c r="G17" s="24">
        <f t="shared" si="6"/>
        <v>3.1941749409609153</v>
      </c>
      <c r="H17" s="24">
        <f>+H6/H16</f>
        <v>4.230066941629243E-2</v>
      </c>
      <c r="I17" s="24">
        <f t="shared" si="6"/>
        <v>0</v>
      </c>
      <c r="J17" s="24">
        <f t="shared" si="6"/>
        <v>0.86906132315734252</v>
      </c>
    </row>
    <row r="18" spans="1:10" x14ac:dyDescent="0.35">
      <c r="C18" s="4"/>
      <c r="G18" s="3"/>
      <c r="I18" t="s">
        <v>1283</v>
      </c>
      <c r="J18" s="3">
        <f>SUM(C17:J17)</f>
        <v>17.636256013057601</v>
      </c>
    </row>
    <row r="19" spans="1:10" x14ac:dyDescent="0.35">
      <c r="I19" t="s">
        <v>1284</v>
      </c>
      <c r="J19">
        <v>1</v>
      </c>
    </row>
    <row r="20" spans="1:10" x14ac:dyDescent="0.35">
      <c r="I20" t="s">
        <v>1285</v>
      </c>
      <c r="J20" s="3">
        <f>+ROUND((J18+J19)+0.3,0)</f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D6" sqref="D6"/>
    </sheetView>
  </sheetViews>
  <sheetFormatPr defaultRowHeight="14.5" x14ac:dyDescent="0.35"/>
  <sheetData>
    <row r="1" spans="1:8" x14ac:dyDescent="0.35">
      <c r="C1" t="s">
        <v>1286</v>
      </c>
      <c r="D1" t="s">
        <v>1287</v>
      </c>
      <c r="E1" t="s">
        <v>1288</v>
      </c>
      <c r="F1" t="s">
        <v>1289</v>
      </c>
      <c r="G1" t="s">
        <v>1290</v>
      </c>
      <c r="H1" t="s">
        <v>1291</v>
      </c>
    </row>
    <row r="2" spans="1:8" x14ac:dyDescent="0.35">
      <c r="A2" t="s">
        <v>1292</v>
      </c>
      <c r="B2">
        <v>6</v>
      </c>
      <c r="C2">
        <f>(2*B2)*3</f>
        <v>36</v>
      </c>
      <c r="D2">
        <f>(1*B2)*3</f>
        <v>18</v>
      </c>
      <c r="E2">
        <f>(2*B2*3)</f>
        <v>36</v>
      </c>
      <c r="F2">
        <f>(1*B2*3)</f>
        <v>18</v>
      </c>
      <c r="G2">
        <f>(1*B2*3)</f>
        <v>18</v>
      </c>
      <c r="H2">
        <f>Size_wise_details_summary!C10</f>
        <v>78239.492516158076</v>
      </c>
    </row>
    <row r="3" spans="1:8" x14ac:dyDescent="0.35">
      <c r="A3" t="s">
        <v>1293</v>
      </c>
      <c r="B3">
        <v>2</v>
      </c>
      <c r="C3">
        <f>(2*B3)*3</f>
        <v>12</v>
      </c>
      <c r="D3">
        <f>(1*B3*3)</f>
        <v>6</v>
      </c>
      <c r="E3">
        <f t="shared" ref="E3" si="0">(2*B3*3)</f>
        <v>12</v>
      </c>
      <c r="F3">
        <f t="shared" ref="F3:F4" si="1">(1*B3*3)</f>
        <v>6</v>
      </c>
      <c r="G3">
        <f t="shared" ref="G3:G4" si="2">(1*B3*3)</f>
        <v>6</v>
      </c>
      <c r="H3">
        <v>83499</v>
      </c>
    </row>
    <row r="4" spans="1:8" x14ac:dyDescent="0.35">
      <c r="A4" t="s">
        <v>1294</v>
      </c>
      <c r="B4">
        <v>5</v>
      </c>
      <c r="C4">
        <f>(1*B4*3)</f>
        <v>15</v>
      </c>
      <c r="D4">
        <f>(1*B4*3)</f>
        <v>15</v>
      </c>
      <c r="E4">
        <f>(1*B4*3)</f>
        <v>15</v>
      </c>
      <c r="F4">
        <f t="shared" si="1"/>
        <v>15</v>
      </c>
      <c r="G4">
        <f t="shared" si="2"/>
        <v>15</v>
      </c>
    </row>
    <row r="5" spans="1:8" x14ac:dyDescent="0.35">
      <c r="A5" t="s">
        <v>390</v>
      </c>
      <c r="B5">
        <f>SUM(B2:B4)</f>
        <v>13</v>
      </c>
      <c r="C5">
        <f t="shared" ref="C5:G5" si="3">SUM(C2:C4)</f>
        <v>63</v>
      </c>
      <c r="D5">
        <f t="shared" si="3"/>
        <v>39</v>
      </c>
      <c r="E5">
        <f t="shared" si="3"/>
        <v>63</v>
      </c>
      <c r="F5">
        <f t="shared" si="3"/>
        <v>39</v>
      </c>
      <c r="G5">
        <f t="shared" si="3"/>
        <v>39</v>
      </c>
    </row>
    <row r="6" spans="1:8" x14ac:dyDescent="0.35">
      <c r="C6" s="4">
        <f>($H$2*C5)/$H$3</f>
        <v>59.031701319991363</v>
      </c>
      <c r="D6" s="4">
        <f>($H$2*D5)/$H$3</f>
        <v>36.543434150470844</v>
      </c>
      <c r="E6" s="4">
        <f>($H$2*E5)/$H$3</f>
        <v>59.031701319991363</v>
      </c>
      <c r="F6" s="4">
        <f t="shared" ref="F6:G6" si="4">($H$2*F5)/$H$3</f>
        <v>36.543434150470844</v>
      </c>
      <c r="G6" s="4">
        <f t="shared" si="4"/>
        <v>36.543434150470844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"/>
  <sheetViews>
    <sheetView tabSelected="1" topLeftCell="K1" workbookViewId="0">
      <selection activeCell="O9" sqref="O9"/>
    </sheetView>
  </sheetViews>
  <sheetFormatPr defaultRowHeight="14.5" x14ac:dyDescent="0.35"/>
  <cols>
    <col min="1" max="1" width="6" bestFit="1" customWidth="1"/>
    <col min="2" max="2" width="32.26953125" bestFit="1" customWidth="1"/>
    <col min="4" max="4" width="10.1796875" bestFit="1" customWidth="1"/>
    <col min="5" max="5" width="9.26953125" bestFit="1" customWidth="1"/>
    <col min="6" max="7" width="12" bestFit="1" customWidth="1"/>
    <col min="8" max="8" width="11" bestFit="1" customWidth="1"/>
    <col min="9" max="9" width="9.453125" bestFit="1" customWidth="1"/>
    <col min="10" max="10" width="10.54296875" bestFit="1" customWidth="1"/>
    <col min="11" max="12" width="12" bestFit="1" customWidth="1"/>
    <col min="13" max="13" width="9.54296875" bestFit="1" customWidth="1"/>
    <col min="14" max="14" width="28.7265625" bestFit="1" customWidth="1"/>
    <col min="15" max="15" width="8" bestFit="1" customWidth="1"/>
  </cols>
  <sheetData>
    <row r="1" spans="1:15" x14ac:dyDescent="0.35">
      <c r="A1" t="s">
        <v>1244</v>
      </c>
      <c r="B1" t="s">
        <v>1245</v>
      </c>
      <c r="C1" t="s">
        <v>1295</v>
      </c>
      <c r="D1" t="s">
        <v>1296</v>
      </c>
      <c r="E1" t="s">
        <v>1297</v>
      </c>
      <c r="F1" t="s">
        <v>1298</v>
      </c>
      <c r="G1" t="s">
        <v>1299</v>
      </c>
      <c r="H1" t="s">
        <v>1300</v>
      </c>
      <c r="I1" t="s">
        <v>1301</v>
      </c>
      <c r="J1" t="s">
        <v>1302</v>
      </c>
      <c r="K1" t="s">
        <v>412</v>
      </c>
      <c r="L1" t="s">
        <v>433</v>
      </c>
      <c r="N1" t="s">
        <v>1303</v>
      </c>
      <c r="O1">
        <f>14.2*60*7.5*3*80%</f>
        <v>15336</v>
      </c>
    </row>
    <row r="2" spans="1:15" x14ac:dyDescent="0.35">
      <c r="A2">
        <v>1</v>
      </c>
      <c r="B2" t="s">
        <v>1254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  <c r="K2" s="21">
        <f>F6</f>
        <v>87131.467388714795</v>
      </c>
      <c r="L2" s="21">
        <f>G6</f>
        <v>115825.9831789141</v>
      </c>
      <c r="M2" s="21">
        <f>SUM(K2:L2)</f>
        <v>202957.4505676289</v>
      </c>
      <c r="N2" t="s">
        <v>1304</v>
      </c>
      <c r="O2">
        <v>8</v>
      </c>
    </row>
    <row r="3" spans="1:15" x14ac:dyDescent="0.35">
      <c r="A3">
        <v>2</v>
      </c>
      <c r="B3" t="s">
        <v>1255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  <c r="K3">
        <f>(K2/M2)*100</f>
        <v>42.930903568716786</v>
      </c>
      <c r="L3">
        <f>(L2/M2)*100</f>
        <v>57.069096431283214</v>
      </c>
      <c r="N3" t="s">
        <v>1305</v>
      </c>
      <c r="O3" s="25">
        <f>(14.2*60*7.5*3*O2*0.8)*0+100000</f>
        <v>100000</v>
      </c>
    </row>
    <row r="4" spans="1:15" x14ac:dyDescent="0.35">
      <c r="A4">
        <v>3</v>
      </c>
      <c r="B4" t="s">
        <v>1256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  <c r="N4" t="s">
        <v>1306</v>
      </c>
      <c r="O4" s="4">
        <f>((+(F8*0.6*F6)+(G8*0.65*G6))/(SUM(F6:G6)))</f>
        <v>15.927617312072893</v>
      </c>
    </row>
    <row r="5" spans="1:15" x14ac:dyDescent="0.35">
      <c r="A5">
        <v>4</v>
      </c>
      <c r="B5" t="s">
        <v>1257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  <c r="N5" s="26" t="s">
        <v>1307</v>
      </c>
      <c r="O5" s="27">
        <f>O3*O4</f>
        <v>1592761.7312072893</v>
      </c>
    </row>
    <row r="6" spans="1:15" x14ac:dyDescent="0.35">
      <c r="A6">
        <v>5</v>
      </c>
      <c r="B6" t="s">
        <v>1258</v>
      </c>
      <c r="C6" s="21">
        <f>(C$2*Size_wise_details_summary!$B$10)/100</f>
        <v>11903.138558727149</v>
      </c>
      <c r="D6" s="21">
        <f>(D$2*Size_wise_details_summary!$B$10)/100</f>
        <v>13974.321653358078</v>
      </c>
      <c r="E6" s="21">
        <f>(E$2*Size_wise_details_summary!$B$10)/100</f>
        <v>70580.495337869419</v>
      </c>
      <c r="F6" s="21">
        <f>(F$2*Size_wise_details_summary!$B$10)/100</f>
        <v>87131.467388714795</v>
      </c>
      <c r="G6" s="21">
        <f>(G$2*Size_wise_details_summary!$B$10)/100</f>
        <v>115825.9831789141</v>
      </c>
      <c r="H6" s="21">
        <f>(H$2*Size_wise_details_summary!$B$10)/100</f>
        <v>1648.932969683849</v>
      </c>
      <c r="I6" s="21">
        <f>(I$2*Size_wise_details_summary!$B$10)/100</f>
        <v>0</v>
      </c>
      <c r="J6" s="21">
        <f>(J$2*Size_wise_details_summary!$B$10)/100</f>
        <v>7132.0203585951904</v>
      </c>
      <c r="N6" s="26" t="s">
        <v>1308</v>
      </c>
      <c r="O6" s="2">
        <f>450*60*0.65</f>
        <v>17550</v>
      </c>
    </row>
    <row r="7" spans="1:15" x14ac:dyDescent="0.35">
      <c r="A7">
        <v>6</v>
      </c>
      <c r="B7" t="s">
        <v>1309</v>
      </c>
      <c r="C7" s="21">
        <f>(C$2*Size_wise_details_summary!$B$10)/100</f>
        <v>11903.138558727149</v>
      </c>
      <c r="D7" s="21">
        <f>(D$2*Size_wise_details_summary!$B$10)/100</f>
        <v>13974.321653358078</v>
      </c>
      <c r="E7" s="21">
        <f>(E$2*Size_wise_details_summary!$B$10)/100</f>
        <v>70580.495337869419</v>
      </c>
      <c r="F7">
        <f>+F6-$O$3*K3/100</f>
        <v>44200.563819998009</v>
      </c>
      <c r="G7">
        <f>+G6-$O$3*L3/100</f>
        <v>58756.886747630888</v>
      </c>
      <c r="H7" s="21">
        <f>(H$2*Size_wise_details_summary!$B$10)/100</f>
        <v>1648.932969683849</v>
      </c>
      <c r="I7" s="21">
        <f>(I$2*Size_wise_details_summary!$B$10)/100</f>
        <v>0</v>
      </c>
      <c r="J7" s="21">
        <f>(J$2*Size_wise_details_summary!$B$10)/100</f>
        <v>7132.0203585951904</v>
      </c>
      <c r="N7" s="26" t="s">
        <v>1310</v>
      </c>
      <c r="O7" s="28">
        <f>O5/O6</f>
        <v>90.755654199845537</v>
      </c>
    </row>
    <row r="8" spans="1:15" x14ac:dyDescent="0.35">
      <c r="A8">
        <v>7</v>
      </c>
      <c r="B8" t="s">
        <v>1311</v>
      </c>
      <c r="C8">
        <f>[1]Size_wise_details_summary!K8</f>
        <v>30.4</v>
      </c>
      <c r="D8">
        <f>[1]Size_wise_details_summary!K9</f>
        <v>47</v>
      </c>
      <c r="E8">
        <f>[1]Size_wise_details_summary!K4</f>
        <v>36.6</v>
      </c>
      <c r="F8">
        <f>[1]Size_wise_details_summary!K7</f>
        <v>29</v>
      </c>
      <c r="G8">
        <f>[1]Size_wise_details_summary!K10</f>
        <v>22.8</v>
      </c>
      <c r="H8">
        <f>[1]Size_wise_details_summary!K6</f>
        <v>37.700000000000003</v>
      </c>
      <c r="I8">
        <v>0</v>
      </c>
      <c r="J8">
        <f>[1]Size_wise_details_summary!K5</f>
        <v>75.400000000000006</v>
      </c>
      <c r="N8" s="26" t="s">
        <v>1312</v>
      </c>
      <c r="O8" s="4">
        <f>J14</f>
        <v>421.19056394322479</v>
      </c>
    </row>
    <row r="9" spans="1:15" x14ac:dyDescent="0.35">
      <c r="A9">
        <v>8</v>
      </c>
      <c r="B9" t="s">
        <v>1313</v>
      </c>
      <c r="C9" s="3">
        <v>450</v>
      </c>
      <c r="D9" s="3">
        <v>450</v>
      </c>
      <c r="E9" s="3">
        <v>450</v>
      </c>
      <c r="F9" s="3">
        <v>450</v>
      </c>
      <c r="G9" s="3">
        <v>450</v>
      </c>
      <c r="H9" s="3">
        <v>450</v>
      </c>
      <c r="I9" s="3">
        <v>450</v>
      </c>
      <c r="J9" s="3">
        <v>450</v>
      </c>
      <c r="N9" s="26" t="s">
        <v>1314</v>
      </c>
      <c r="O9" s="4">
        <f>SUM(O7:O8)</f>
        <v>511.94621814307033</v>
      </c>
    </row>
    <row r="10" spans="1:15" x14ac:dyDescent="0.35">
      <c r="A10">
        <v>9</v>
      </c>
      <c r="B10" t="s">
        <v>1315</v>
      </c>
      <c r="C10" s="22">
        <v>0.6</v>
      </c>
      <c r="D10" s="22">
        <f>C10</f>
        <v>0.6</v>
      </c>
      <c r="E10" s="22">
        <f>C10</f>
        <v>0.6</v>
      </c>
      <c r="F10" s="22">
        <f>C10</f>
        <v>0.6</v>
      </c>
      <c r="G10" s="22">
        <f>C10</f>
        <v>0.6</v>
      </c>
      <c r="H10" s="22">
        <f>C10</f>
        <v>0.6</v>
      </c>
      <c r="I10" s="22">
        <f>C10</f>
        <v>0.6</v>
      </c>
      <c r="J10" s="22">
        <f>C10</f>
        <v>0.6</v>
      </c>
    </row>
    <row r="11" spans="1:15" x14ac:dyDescent="0.35">
      <c r="A11">
        <v>10</v>
      </c>
      <c r="B11" t="s">
        <v>1316</v>
      </c>
      <c r="C11" s="3">
        <f>+C7*C8/(C9*C10*60*2)</f>
        <v>11.168376919299547</v>
      </c>
      <c r="D11" s="3">
        <f t="shared" ref="D11:J11" si="0">+D7*D8/(D9*D10*60*2)</f>
        <v>20.271392521846597</v>
      </c>
      <c r="E11" s="3">
        <f t="shared" si="0"/>
        <v>79.729818807593233</v>
      </c>
      <c r="F11" s="3">
        <f t="shared" si="0"/>
        <v>39.562233048763652</v>
      </c>
      <c r="G11" s="3">
        <f t="shared" si="0"/>
        <v>41.347438822406922</v>
      </c>
      <c r="H11" s="3">
        <f t="shared" si="0"/>
        <v>1.9186658320086762</v>
      </c>
      <c r="I11" s="3">
        <f t="shared" si="0"/>
        <v>0</v>
      </c>
      <c r="J11" s="3">
        <f t="shared" si="0"/>
        <v>16.597356019693748</v>
      </c>
    </row>
    <row r="12" spans="1:15" x14ac:dyDescent="0.35">
      <c r="A12">
        <v>11</v>
      </c>
      <c r="B12" t="s">
        <v>1317</v>
      </c>
      <c r="C12" s="4">
        <f t="shared" ref="C12:J12" si="1">C11*2</f>
        <v>22.336753838599094</v>
      </c>
      <c r="D12" s="4">
        <f t="shared" si="1"/>
        <v>40.542785043693193</v>
      </c>
      <c r="E12" s="4">
        <f t="shared" si="1"/>
        <v>159.45963761518647</v>
      </c>
      <c r="F12" s="4">
        <f t="shared" si="1"/>
        <v>79.124466097527304</v>
      </c>
      <c r="G12" s="4">
        <f t="shared" si="1"/>
        <v>82.694877644813843</v>
      </c>
      <c r="H12" s="4">
        <f t="shared" si="1"/>
        <v>3.8373316640173525</v>
      </c>
      <c r="I12" s="4">
        <f t="shared" si="1"/>
        <v>0</v>
      </c>
      <c r="J12" s="4">
        <f t="shared" si="1"/>
        <v>33.194712039387497</v>
      </c>
    </row>
    <row r="13" spans="1:15" x14ac:dyDescent="0.35">
      <c r="A13">
        <v>12</v>
      </c>
      <c r="B13" t="s">
        <v>1318</v>
      </c>
      <c r="C13" s="4">
        <f t="shared" ref="C13:J13" si="2">C12*0.8</f>
        <v>17.869403070879276</v>
      </c>
      <c r="D13" s="4">
        <f t="shared" si="2"/>
        <v>32.434228034954558</v>
      </c>
      <c r="E13" s="4">
        <f t="shared" si="2"/>
        <v>127.56771009214918</v>
      </c>
      <c r="F13" s="4">
        <f t="shared" si="2"/>
        <v>63.299572878021849</v>
      </c>
      <c r="G13" s="4">
        <f t="shared" si="2"/>
        <v>66.155902115851077</v>
      </c>
      <c r="H13" s="4">
        <f t="shared" si="2"/>
        <v>3.0698653312138822</v>
      </c>
      <c r="I13" s="4">
        <f t="shared" si="2"/>
        <v>0</v>
      </c>
      <c r="J13" s="4">
        <f t="shared" si="2"/>
        <v>26.55576963151</v>
      </c>
    </row>
    <row r="14" spans="1:15" x14ac:dyDescent="0.35">
      <c r="A14">
        <v>13</v>
      </c>
      <c r="B14" t="s">
        <v>1319</v>
      </c>
      <c r="J14" s="4">
        <f>SUM(C12:J12)</f>
        <v>421.19056394322479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WTT</vt:lpstr>
      <vt:lpstr>TT_Cut&amp;Sew</vt:lpstr>
      <vt:lpstr>Weaving Back-Up</vt:lpstr>
      <vt:lpstr>Stenter</vt:lpstr>
      <vt:lpstr>Size_wise_details</vt:lpstr>
      <vt:lpstr>Size_wise_details_summary</vt:lpstr>
      <vt:lpstr>TT_Cut&amp;Sew_LC</vt:lpstr>
      <vt:lpstr>TT_Cut&amp;Sew_LH</vt:lpstr>
      <vt:lpstr>DTA</vt:lpstr>
      <vt:lpstr>JUKI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Tadumudupula Nikhitha</dc:creator>
  <cp:keywords/>
  <dc:description/>
  <cp:lastModifiedBy>MirzaAli Jaffer</cp:lastModifiedBy>
  <cp:revision/>
  <dcterms:created xsi:type="dcterms:W3CDTF">2026-04-02T09:15:15Z</dcterms:created>
  <dcterms:modified xsi:type="dcterms:W3CDTF">2026-04-15T12:07:29Z</dcterms:modified>
  <cp:category/>
  <cp:contentStatus/>
</cp:coreProperties>
</file>