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tha\OneDrive\Desktop\Manning_AUM\"/>
    </mc:Choice>
  </mc:AlternateContent>
  <xr:revisionPtr revIDLastSave="0" documentId="13_ncr:1_{1A5D1097-6C54-43A7-8BE3-CD1A9ABE68C2}" xr6:coauthVersionLast="47" xr6:coauthVersionMax="47" xr10:uidLastSave="{00000000-0000-0000-0000-000000000000}"/>
  <bookViews>
    <workbookView xWindow="-108" yWindow="-108" windowWidth="23256" windowHeight="12456" xr2:uid="{44DB1FF2-B3DD-49AB-9523-5EAC6967CF3A}"/>
  </bookViews>
  <sheets>
    <sheet name="WTT" sheetId="1" r:id="rId1"/>
    <sheet name="Weaving Back-Up" sheetId="2" r:id="rId2"/>
    <sheet name="Stenter" sheetId="3" r:id="rId3"/>
  </sheets>
  <definedNames>
    <definedName name="_xlnm._FilterDatabase" localSheetId="0" hidden="1">WTT!$A$1:$T$62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D12" i="2"/>
  <c r="C13" i="3"/>
  <c r="C12" i="3"/>
  <c r="C11" i="3"/>
  <c r="B6" i="3"/>
  <c r="B8" i="3" s="1"/>
  <c r="B7" i="3" l="1"/>
  <c r="B12" i="3" l="1"/>
  <c r="B11" i="3"/>
  <c r="B13" i="3"/>
  <c r="H20" i="3" l="1"/>
  <c r="Q76" i="1" s="1"/>
  <c r="H18" i="3"/>
  <c r="Q74" i="1" s="1"/>
  <c r="H19" i="3"/>
  <c r="Q75" i="1" s="1"/>
  <c r="D12" i="3"/>
  <c r="C18" i="3"/>
  <c r="C19" i="3"/>
  <c r="B14" i="3"/>
  <c r="G19" i="3"/>
  <c r="P75" i="1" s="1"/>
  <c r="G20" i="3"/>
  <c r="P76" i="1" s="1"/>
  <c r="D11" i="3"/>
  <c r="C20" i="3"/>
  <c r="G18" i="3"/>
  <c r="P74" i="1" s="1"/>
  <c r="I20" i="3"/>
  <c r="R76" i="1" s="1"/>
  <c r="I18" i="3"/>
  <c r="R74" i="1" s="1"/>
  <c r="D13" i="3"/>
  <c r="I19" i="3"/>
  <c r="R75" i="1" s="1"/>
  <c r="D14" i="3" l="1"/>
  <c r="N28" i="1" l="1"/>
  <c r="N20" i="1"/>
  <c r="B4" i="2" l="1"/>
  <c r="B5" i="2" s="1"/>
  <c r="B12" i="2"/>
  <c r="F12" i="2" s="1"/>
  <c r="E12" i="2"/>
  <c r="C12" i="2"/>
  <c r="E11" i="2"/>
  <c r="D11" i="2"/>
  <c r="C11" i="2"/>
  <c r="B11" i="2"/>
  <c r="F11" i="2" s="1"/>
  <c r="E9" i="2"/>
  <c r="E10" i="2" s="1"/>
  <c r="C9" i="2"/>
  <c r="C10" i="2" s="1"/>
  <c r="F8" i="2"/>
  <c r="E6" i="2"/>
  <c r="C6" i="2"/>
  <c r="E4" i="2"/>
  <c r="D4" i="2"/>
  <c r="D5" i="2" s="1"/>
  <c r="D9" i="2" s="1"/>
  <c r="D10" i="2" s="1"/>
  <c r="C4" i="2"/>
  <c r="F2" i="2"/>
  <c r="B6" i="2" l="1"/>
  <c r="F6" i="2" s="1"/>
  <c r="B9" i="2"/>
  <c r="D6" i="2"/>
  <c r="F9" i="2" l="1"/>
  <c r="B10" i="2"/>
  <c r="F10" i="2" s="1"/>
  <c r="J9" i="1" l="1"/>
  <c r="E20" i="3" l="1"/>
  <c r="D20" i="3"/>
  <c r="E19" i="3"/>
  <c r="D18" i="3"/>
  <c r="E18" i="3"/>
  <c r="D19" i="3"/>
</calcChain>
</file>

<file path=xl/sharedStrings.xml><?xml version="1.0" encoding="utf-8"?>
<sst xmlns="http://schemas.openxmlformats.org/spreadsheetml/2006/main" count="1675" uniqueCount="396">
  <si>
    <t>Location</t>
  </si>
  <si>
    <t>Business</t>
  </si>
  <si>
    <t>Section</t>
  </si>
  <si>
    <t>Sr_No</t>
  </si>
  <si>
    <t>Designation</t>
  </si>
  <si>
    <t>Machine_Count</t>
  </si>
  <si>
    <t>Workload</t>
  </si>
  <si>
    <t>Formulas</t>
  </si>
  <si>
    <t>HO_Scientific_Manpower</t>
  </si>
  <si>
    <t>HO_Final_Manpower</t>
  </si>
  <si>
    <t>General_Shift</t>
  </si>
  <si>
    <t>Shift_A</t>
  </si>
  <si>
    <t>Shift_B</t>
  </si>
  <si>
    <t>Shift_C</t>
  </si>
  <si>
    <t>Reliever</t>
  </si>
  <si>
    <t>Remarks</t>
  </si>
  <si>
    <t>Vapi</t>
  </si>
  <si>
    <t>WTT</t>
  </si>
  <si>
    <t>Weaving Preparatory</t>
  </si>
  <si>
    <t>Direct Warping</t>
  </si>
  <si>
    <t>Warper</t>
  </si>
  <si>
    <t>1 Machine / Warper</t>
  </si>
  <si>
    <t>4*3</t>
  </si>
  <si>
    <t>Creel Boy</t>
  </si>
  <si>
    <t>1 Machine / Creel Boy</t>
  </si>
  <si>
    <t>Section Warping</t>
  </si>
  <si>
    <t>5*3</t>
  </si>
  <si>
    <t>Sizing</t>
  </si>
  <si>
    <t>Sizer</t>
  </si>
  <si>
    <t>1 Machine / Operator</t>
  </si>
  <si>
    <t>Back Sizer</t>
  </si>
  <si>
    <t>1 Machine / Back Sizer</t>
  </si>
  <si>
    <t>Mixing Man</t>
  </si>
  <si>
    <t>1 Operator / Shift</t>
  </si>
  <si>
    <t>1*3</t>
  </si>
  <si>
    <t>Winding (30 Drum)</t>
  </si>
  <si>
    <t>Winding Opt</t>
  </si>
  <si>
    <t>13 Drum / Operator (50 Drums)</t>
  </si>
  <si>
    <t>(50/13)*3</t>
  </si>
  <si>
    <t>Req. 11.53, given 12</t>
  </si>
  <si>
    <t>Sample Winding</t>
  </si>
  <si>
    <t>Beam Carrier</t>
  </si>
  <si>
    <t>03 Operator / Shift</t>
  </si>
  <si>
    <t>3*3</t>
  </si>
  <si>
    <t>Preventive Fitter</t>
  </si>
  <si>
    <t>06 Fitter in General Shift</t>
  </si>
  <si>
    <t>6*1</t>
  </si>
  <si>
    <t>Shift Fitter</t>
  </si>
  <si>
    <t>01 Fitter / Shift</t>
  </si>
  <si>
    <t>MIS Coordinator</t>
  </si>
  <si>
    <t>Housekeeping</t>
  </si>
  <si>
    <t>New Sample Section Warping</t>
  </si>
  <si>
    <t>Creel Boy (Material Handler)</t>
  </si>
  <si>
    <t>1*1</t>
  </si>
  <si>
    <t>Contractors</t>
  </si>
  <si>
    <t>Company_Associate</t>
  </si>
  <si>
    <t>Operator_Type</t>
  </si>
  <si>
    <t>Dept_Machine_Name</t>
  </si>
  <si>
    <t>Details</t>
  </si>
  <si>
    <t>Dobby_unit1</t>
  </si>
  <si>
    <t>Dobby_unit2</t>
  </si>
  <si>
    <t>Jacquard_1</t>
  </si>
  <si>
    <t>Jacquard_2</t>
  </si>
  <si>
    <t>TOTAL</t>
  </si>
  <si>
    <t>Looms Distribution (Unitwise)</t>
  </si>
  <si>
    <t>Looms/Weaver</t>
  </si>
  <si>
    <t>Weavers/shift</t>
  </si>
  <si>
    <t>Weaver/ Day</t>
  </si>
  <si>
    <t>Weavers Per Reliever (No.)</t>
  </si>
  <si>
    <t>Relievers/ Shift</t>
  </si>
  <si>
    <t>Relievers/ Day</t>
  </si>
  <si>
    <t>Production Fitter</t>
  </si>
  <si>
    <t>Drawer</t>
  </si>
  <si>
    <t>Dobby&amp;Jaquard</t>
  </si>
  <si>
    <t>Weaver</t>
  </si>
  <si>
    <t>6 Looms / Operator</t>
  </si>
  <si>
    <t>(181/6)*3</t>
  </si>
  <si>
    <t>Direct</t>
  </si>
  <si>
    <t>Weaver - Lunch Reliver</t>
  </si>
  <si>
    <t>5 Weavers / Reliever</t>
  </si>
  <si>
    <t>(93/5)</t>
  </si>
  <si>
    <t>Indirect</t>
  </si>
  <si>
    <t>Knotter</t>
  </si>
  <si>
    <t>135 Knotting/Day (5Kn/Op)</t>
  </si>
  <si>
    <t>(45/5)*3</t>
  </si>
  <si>
    <t>Req. 27, given 30</t>
  </si>
  <si>
    <t>Beam Loader</t>
  </si>
  <si>
    <t>34 Machine / Operator</t>
  </si>
  <si>
    <t>(181/34)*3</t>
  </si>
  <si>
    <t>Weft Boy</t>
  </si>
  <si>
    <t>45 Machine / Operator</t>
  </si>
  <si>
    <t>(181/45)*3</t>
  </si>
  <si>
    <t>Roll Doffer</t>
  </si>
  <si>
    <t>42 Machine / Operator</t>
  </si>
  <si>
    <t>(181/42)*3</t>
  </si>
  <si>
    <t>Dobby &amp; Jacquard - Pile Ratio Checker</t>
  </si>
  <si>
    <t>2 Operator / Shift</t>
  </si>
  <si>
    <t>2*3</t>
  </si>
  <si>
    <t>Dobby &amp; Jacquard - Quality Checker</t>
  </si>
  <si>
    <t>Data Opt</t>
  </si>
  <si>
    <t>24 Machine / Operator</t>
  </si>
  <si>
    <t>(181/24)*3</t>
  </si>
  <si>
    <t>PM-Fitter</t>
  </si>
  <si>
    <t>Fitter in General Shift</t>
  </si>
  <si>
    <t>6+6+5</t>
  </si>
  <si>
    <t>1 Fitter / Shift</t>
  </si>
  <si>
    <t>28 Machine / Operator</t>
  </si>
  <si>
    <t>(181/28)*3</t>
  </si>
  <si>
    <t>Quality Checker / Mender</t>
  </si>
  <si>
    <t>2 Machines</t>
  </si>
  <si>
    <t>Rope Maker</t>
  </si>
  <si>
    <t>7*3</t>
  </si>
  <si>
    <t>Rope Stitcher</t>
  </si>
  <si>
    <t>Crane Handling</t>
  </si>
  <si>
    <t>1 Crane / Operator</t>
  </si>
  <si>
    <t>Inspection Machine</t>
  </si>
  <si>
    <t>Material Handler</t>
  </si>
  <si>
    <t>3 Handler / Shift</t>
  </si>
  <si>
    <t>Driver</t>
  </si>
  <si>
    <t>MIS &amp; Floor Coordinator</t>
  </si>
  <si>
    <t>Fitter G</t>
  </si>
  <si>
    <t>1 Jobber / Shift</t>
  </si>
  <si>
    <t>Jobber G</t>
  </si>
  <si>
    <t>Material Handler, House Keeping</t>
  </si>
  <si>
    <t>2 MH &amp; HK / Shift</t>
  </si>
  <si>
    <t>Loading &amp; Unloading Contractor</t>
  </si>
  <si>
    <t>8*3</t>
  </si>
  <si>
    <t>Loom Shed</t>
  </si>
  <si>
    <t>Grey Folding</t>
  </si>
  <si>
    <t>Processing-Fabric Dyeing</t>
  </si>
  <si>
    <t>Fabric Dyeing</t>
  </si>
  <si>
    <t>Auto Dispensing</t>
  </si>
  <si>
    <t>Colour Kitchen Operator prcs</t>
  </si>
  <si>
    <t>Fabric Dyeing Operator</t>
  </si>
  <si>
    <t>2 Machine / Operator</t>
  </si>
  <si>
    <t>ROUNDUP(37/2,0)*3</t>
  </si>
  <si>
    <t>Number of MC will change depends on MT/Month</t>
  </si>
  <si>
    <t>Assistant F/Dyeing Operator</t>
  </si>
  <si>
    <t>Fabric Fitter</t>
  </si>
  <si>
    <t>F.Dyeing Jobber</t>
  </si>
  <si>
    <t>2 Jobber / Shift</t>
  </si>
  <si>
    <t>Down gread</t>
  </si>
  <si>
    <t>Shade Cont. Std</t>
  </si>
  <si>
    <t>Data Opt. Fabric</t>
  </si>
  <si>
    <t>Sample Dyeing</t>
  </si>
  <si>
    <t>S. Dying Jobber</t>
  </si>
  <si>
    <t>Sample Dyeing Operator</t>
  </si>
  <si>
    <t>3 machine / Operator</t>
  </si>
  <si>
    <t>ROUNDDOWN(16/3,0)*3</t>
  </si>
  <si>
    <t>Sample Dyeing Asst. Operator</t>
  </si>
  <si>
    <t>Processing - Store</t>
  </si>
  <si>
    <t>Chemical Store</t>
  </si>
  <si>
    <t>Do (Dyes &amp; chemical posting)</t>
  </si>
  <si>
    <t>Sub store for manual chemical</t>
  </si>
  <si>
    <t>Material issue from main store</t>
  </si>
  <si>
    <t>Req. 3, given 2 (no 3rd shift,store close at 11)</t>
  </si>
  <si>
    <t>Processing-Shearing</t>
  </si>
  <si>
    <t>Shearing</t>
  </si>
  <si>
    <t>sh Jobber</t>
  </si>
  <si>
    <t>Shearing Operator</t>
  </si>
  <si>
    <t>1.5 Operator / MC</t>
  </si>
  <si>
    <t>(6*1.5)*3</t>
  </si>
  <si>
    <t>Stitcher S</t>
  </si>
  <si>
    <t>Dynamic Shift Planning Based on MT / Day</t>
  </si>
  <si>
    <t>Required Production / Day (MT)</t>
  </si>
  <si>
    <t>Change only yellow input cells</t>
  </si>
  <si>
    <t>Capacity / Machine / Shift (MT)</t>
  </si>
  <si>
    <t>Available Machines</t>
  </si>
  <si>
    <t>Required Machine-Shifts / Day</t>
  </si>
  <si>
    <t>Base Machines / Shift</t>
  </si>
  <si>
    <t>Remainder Machine-Shifts</t>
  </si>
  <si>
    <t>Shift</t>
  </si>
  <si>
    <t>Machines Planned</t>
  </si>
  <si>
    <t>Capacity / Machine / Shift</t>
  </si>
  <si>
    <t>Production (MT)</t>
  </si>
  <si>
    <t>1st Shift</t>
  </si>
  <si>
    <t>2nd Shift</t>
  </si>
  <si>
    <t>3rd Shift</t>
  </si>
  <si>
    <t>Total</t>
  </si>
  <si>
    <t>Formula Logic</t>
  </si>
  <si>
    <t>Padder Operator</t>
  </si>
  <si>
    <t>Biancalanni</t>
  </si>
  <si>
    <t>2 Operator / Machine</t>
  </si>
  <si>
    <t>Stenter Operator</t>
  </si>
  <si>
    <t>How it works</t>
  </si>
  <si>
    <t>1. Required machine-shifts = Required MT / Capacity per Machine per Shift</t>
  </si>
  <si>
    <t>2. Machine-shifts are distributed across 3 shifts as evenly as possible</t>
  </si>
  <si>
    <t>3. Extra machine-shifts are assigned from 1st shift onward</t>
  </si>
  <si>
    <t>4. Operator manpower is then derived from shift-wise machine allocation</t>
  </si>
  <si>
    <t>Drying</t>
  </si>
  <si>
    <t>Stenter</t>
  </si>
  <si>
    <t>st Jobber</t>
  </si>
  <si>
    <t>Data Opt. ST</t>
  </si>
  <si>
    <t>1 Machine /operator</t>
  </si>
  <si>
    <t>(5+4+4)*1</t>
  </si>
  <si>
    <t>2 Machine /operator</t>
  </si>
  <si>
    <t>(5+4+4)*2</t>
  </si>
  <si>
    <t>Based on 2 operator per machine</t>
  </si>
  <si>
    <t>Softner Dispenser</t>
  </si>
  <si>
    <t>MM Dryer &amp; Hydro Extractor</t>
  </si>
  <si>
    <t>Tow Truck Driver</t>
  </si>
  <si>
    <t>1 Driver / Machine</t>
  </si>
  <si>
    <t>Table Clearance Activity</t>
  </si>
  <si>
    <t>Processing-Laboratory</t>
  </si>
  <si>
    <t>Laboratory</t>
  </si>
  <si>
    <t>Lab Technician PCS</t>
  </si>
  <si>
    <t>4 Operator / Shift</t>
  </si>
  <si>
    <t>MIS &amp; Floor Coordinator Lab PCS</t>
  </si>
  <si>
    <t>Contractor</t>
  </si>
  <si>
    <t>6 Operator / Shift</t>
  </si>
  <si>
    <t>6*3</t>
  </si>
  <si>
    <t>Winding</t>
  </si>
  <si>
    <t>Fitter wind.</t>
  </si>
  <si>
    <t>1*2</t>
  </si>
  <si>
    <t>Jobber W/D</t>
  </si>
  <si>
    <t>Material Handler wind</t>
  </si>
  <si>
    <t>2 Handler / Shift</t>
  </si>
  <si>
    <t>Quality Checker wind</t>
  </si>
  <si>
    <t>3 Operator / Shift</t>
  </si>
  <si>
    <t>Winder / S winding / C winding</t>
  </si>
  <si>
    <t>24*3</t>
  </si>
  <si>
    <t>Yarn Dyeing</t>
  </si>
  <si>
    <t>Kniting</t>
  </si>
  <si>
    <t>Knitting Operator yn</t>
  </si>
  <si>
    <t>MIS &amp; Floor Coordinator Yarn</t>
  </si>
  <si>
    <t>Hydro Extractor</t>
  </si>
  <si>
    <t>2 Operator / shift</t>
  </si>
  <si>
    <t>RF Dryer</t>
  </si>
  <si>
    <t>RF Dryer Operator</t>
  </si>
  <si>
    <t>Y/D Loading Operator</t>
  </si>
  <si>
    <t>Y/D Operator</t>
  </si>
  <si>
    <t>3 Machine / Operator</t>
  </si>
  <si>
    <t>(15/3)*3</t>
  </si>
  <si>
    <t>Y/D Sample M/C Operator</t>
  </si>
  <si>
    <t>Sample Knitting for Quality Check + Shade Continuity</t>
  </si>
  <si>
    <t>Length Cutting 04 M/c's</t>
  </si>
  <si>
    <t>L,C,Data Operator</t>
  </si>
  <si>
    <t/>
  </si>
  <si>
    <t>L,C,Jobber</t>
  </si>
  <si>
    <t>Length Cutting Operator</t>
  </si>
  <si>
    <t>Number of MC comes from LC</t>
  </si>
  <si>
    <t>L, C,Material Transport</t>
  </si>
  <si>
    <t>For Material Guiding</t>
  </si>
  <si>
    <t>Lift Operator</t>
  </si>
  <si>
    <t>(JLP &amp; FRC) (was not added earlier)</t>
  </si>
  <si>
    <t>Need to Check JLP</t>
  </si>
  <si>
    <t>Length Hemmimg</t>
  </si>
  <si>
    <t>BCD Segregation</t>
  </si>
  <si>
    <t>Thread Collector (Kitting)</t>
  </si>
  <si>
    <t>L,H,Jobber(2 Jobber/Shift)</t>
  </si>
  <si>
    <t>Length Hemming Operator</t>
  </si>
  <si>
    <t>20*3</t>
  </si>
  <si>
    <t>1 extra MC priventive Maintenance</t>
  </si>
  <si>
    <t>Cross Cutting Operator</t>
  </si>
  <si>
    <t>Juki Stitcher 8 M/c</t>
  </si>
  <si>
    <t>L, A,Jobber</t>
  </si>
  <si>
    <t>L, A,Stitcher</t>
  </si>
  <si>
    <t>7+6+6</t>
  </si>
  <si>
    <t>Cross Hemming 08 M/cs</t>
  </si>
  <si>
    <t>Cross Hemming Operator(8 MC/Shift)*3</t>
  </si>
  <si>
    <t>Packer</t>
  </si>
  <si>
    <t>28*3</t>
  </si>
  <si>
    <t>CCH, Jobber</t>
  </si>
  <si>
    <t>DTA-1,2,3,4,5,6,7,8 + Contractor Line</t>
  </si>
  <si>
    <t>DTA Jobber</t>
  </si>
  <si>
    <t>32*3</t>
  </si>
  <si>
    <t>Line F./Trim B/ AQL/ Segr</t>
  </si>
  <si>
    <t>44*3</t>
  </si>
  <si>
    <t>DTA Polybag Packer (Table)</t>
  </si>
  <si>
    <t>154+154+153</t>
  </si>
  <si>
    <t>DTA Stitcher</t>
  </si>
  <si>
    <t>171+171+170</t>
  </si>
  <si>
    <t>Mending</t>
  </si>
  <si>
    <t>Mending Jobber</t>
  </si>
  <si>
    <t>Mender &amp; Stain Remover</t>
  </si>
  <si>
    <t>12*3</t>
  </si>
  <si>
    <t>General_Area</t>
  </si>
  <si>
    <t>Carpentor maint</t>
  </si>
  <si>
    <t>1+0+0</t>
  </si>
  <si>
    <t>Data Operator General</t>
  </si>
  <si>
    <t>Maint DEO</t>
  </si>
  <si>
    <t>Carton Pkg DEO</t>
  </si>
  <si>
    <t>Electrician Maint.</t>
  </si>
  <si>
    <t>Fitter Maint.</t>
  </si>
  <si>
    <t>Needleman maint.</t>
  </si>
  <si>
    <t>Shortfall Jobber</t>
  </si>
  <si>
    <t>Trims Issue \Thred Cutter</t>
  </si>
  <si>
    <t>Welder Miant</t>
  </si>
  <si>
    <t>Auto Polybag M/C 03</t>
  </si>
  <si>
    <t>Polybag M/C Operator</t>
  </si>
  <si>
    <t>Auto Polybag M/C 04</t>
  </si>
  <si>
    <t>Polybag M/C Packer</t>
  </si>
  <si>
    <t>RTF</t>
  </si>
  <si>
    <t>RTF,Data Operator</t>
  </si>
  <si>
    <t>RTF Packer</t>
  </si>
  <si>
    <t>Carton Packers</t>
  </si>
  <si>
    <t>Cartons Packers</t>
  </si>
  <si>
    <t>35*3</t>
  </si>
  <si>
    <t>Metal</t>
  </si>
  <si>
    <t>Carton,Jobber</t>
  </si>
  <si>
    <t>TRS</t>
  </si>
  <si>
    <t>TRS Checker</t>
  </si>
  <si>
    <t>3+3+2</t>
  </si>
  <si>
    <t>TRS,Cross Cutting Operator</t>
  </si>
  <si>
    <t>TRS Data Entry Operator</t>
  </si>
  <si>
    <t>TRS,Jobber</t>
  </si>
  <si>
    <t>TRS,Mender</t>
  </si>
  <si>
    <t>2+2+1</t>
  </si>
  <si>
    <t>TRS Packer / Carton Packer</t>
  </si>
  <si>
    <t>TRS Stitcher</t>
  </si>
  <si>
    <t>Contractor (HK)</t>
  </si>
  <si>
    <t>TQM</t>
  </si>
  <si>
    <t>TT TQM</t>
  </si>
  <si>
    <t>144*3</t>
  </si>
  <si>
    <t>STAFF</t>
  </si>
  <si>
    <t>FINISH FOLDING STAFF</t>
  </si>
  <si>
    <t>9*3</t>
  </si>
  <si>
    <t>Embroidary + Sheridan Patch Lable</t>
  </si>
  <si>
    <t>10*3</t>
  </si>
  <si>
    <t>TQM Quality (Other Department)</t>
  </si>
  <si>
    <t>Weaving</t>
  </si>
  <si>
    <t>Quality Checker</t>
  </si>
  <si>
    <t>1 Checker / Shift</t>
  </si>
  <si>
    <t>Processing, Lab, YD</t>
  </si>
  <si>
    <t>3 Checker / Shift</t>
  </si>
  <si>
    <t>Store</t>
  </si>
  <si>
    <t>Trims Checker</t>
  </si>
  <si>
    <t>2 Checker / Shift</t>
  </si>
  <si>
    <t>Sampling</t>
  </si>
  <si>
    <t>Sampling Checker</t>
  </si>
  <si>
    <t>Inspection</t>
  </si>
  <si>
    <t>Inspection Checker</t>
  </si>
  <si>
    <t>4 Checker / Shift</t>
  </si>
  <si>
    <t>Yarn Warehouse</t>
  </si>
  <si>
    <t>Jobber &amp; Mis</t>
  </si>
  <si>
    <t>Loading &amp; un loading</t>
  </si>
  <si>
    <t>GIDC loading &amp; Unloading</t>
  </si>
  <si>
    <t>Fork Lift Operator</t>
  </si>
  <si>
    <t>Engineering</t>
  </si>
  <si>
    <t>Fitter &amp; electrician</t>
  </si>
  <si>
    <t>ASRS</t>
  </si>
  <si>
    <t>8 Operator / Shift</t>
  </si>
  <si>
    <t>Utility &amp; Mechanical</t>
  </si>
  <si>
    <t>PPC</t>
  </si>
  <si>
    <t>Mis Opt. , Trims , Sample</t>
  </si>
  <si>
    <t>PD</t>
  </si>
  <si>
    <t>Quality Changer</t>
  </si>
  <si>
    <t>Design edit</t>
  </si>
  <si>
    <t>Embriodery printing</t>
  </si>
  <si>
    <t>Sample attendant</t>
  </si>
  <si>
    <t>Stitcher</t>
  </si>
  <si>
    <t>Supervisor, Checking , Mending</t>
  </si>
  <si>
    <t>Mis</t>
  </si>
  <si>
    <t>Polybag Packer</t>
  </si>
  <si>
    <t>y</t>
  </si>
  <si>
    <t>Operator</t>
  </si>
  <si>
    <t>Account</t>
  </si>
  <si>
    <t>DEO</t>
  </si>
  <si>
    <t>1 DEO/Day</t>
  </si>
  <si>
    <t>Excise &amp; Logistic &amp; SSC</t>
  </si>
  <si>
    <t>10 DEO/Day</t>
  </si>
  <si>
    <t>10*1</t>
  </si>
  <si>
    <t>Scrape</t>
  </si>
  <si>
    <t>DEO, Material Handler</t>
  </si>
  <si>
    <t>1 DEO, 8 MH /Day</t>
  </si>
  <si>
    <t>Store &amp; Purchase</t>
  </si>
  <si>
    <t>Jobber</t>
  </si>
  <si>
    <t>2 Jobber/Shift</t>
  </si>
  <si>
    <t>Store Keeper, Trims, Chemical, CTN</t>
  </si>
  <si>
    <t>25 Store Keeper/Shift</t>
  </si>
  <si>
    <t>25*3</t>
  </si>
  <si>
    <t>ETP &amp; DM Plant</t>
  </si>
  <si>
    <t>Power plant &amp; Boiler</t>
  </si>
  <si>
    <t>20 Material Handler/ Shift</t>
  </si>
  <si>
    <t>P&amp;IR &amp; Recruitment</t>
  </si>
  <si>
    <t>Attendance, PF, Esic, Leave, MIS, Reports</t>
  </si>
  <si>
    <t>Time Keeper</t>
  </si>
  <si>
    <t>1 Time keeper/Shift
3 Time Keeper/ General</t>
  </si>
  <si>
    <t>1*3+3*1</t>
  </si>
  <si>
    <t>T&amp;D</t>
  </si>
  <si>
    <t>Weaving, Wev.Prep, Process, YD, Grey, Dispatch, C&amp;S, Induction, Others.</t>
  </si>
  <si>
    <t>Trainer</t>
  </si>
  <si>
    <t>8 Trainer / Shift</t>
  </si>
  <si>
    <t>Trainee</t>
  </si>
  <si>
    <t>17 Trainee / Shift</t>
  </si>
  <si>
    <t>17*3</t>
  </si>
  <si>
    <t>Security</t>
  </si>
  <si>
    <t>Guard, ASO</t>
  </si>
  <si>
    <t>15 Guard / Shift</t>
  </si>
  <si>
    <t>15*3</t>
  </si>
  <si>
    <t>Safety- Fireman , Driver</t>
  </si>
  <si>
    <t>Fireperson</t>
  </si>
  <si>
    <t>2 Fireperson / Shift</t>
  </si>
  <si>
    <t>Admin</t>
  </si>
  <si>
    <t>House Keeping, Gardning, Plumber,DEO,Tel.Opt.</t>
  </si>
  <si>
    <t>32 Materail Handler/Shift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</si>
</sst>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i/>
      <sz val="11"/>
      <color rgb="FFC55A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/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2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138C-62D0-4205-9FB5-347A40E15685}">
  <dimension ref="A1:T184"/>
  <sheetViews>
    <sheetView tabSelected="1" zoomScale="49" zoomScaleNormal="85" workbookViewId="0">
      <selection activeCell="N2" sqref="N2:N184"/>
    </sheetView>
  </sheetViews>
  <sheetFormatPr defaultRowHeight="14.4" x14ac:dyDescent="0.3"/>
  <cols>
    <col min="1" max="1" width="11.88671875" bestFit="1" customWidth="1"/>
    <col min="2" max="2" width="12.33203125" bestFit="1" customWidth="1"/>
    <col min="3" max="3" width="32.77734375" bestFit="1" customWidth="1"/>
    <col min="4" max="4" width="9" bestFit="1" customWidth="1"/>
    <col min="5" max="5" width="29" bestFit="1" customWidth="1"/>
    <col min="6" max="6" width="28.109375" bestFit="1" customWidth="1"/>
    <col min="7" max="7" width="20.109375" bestFit="1" customWidth="1"/>
    <col min="8" max="8" width="30.109375" bestFit="1" customWidth="1"/>
    <col min="9" max="9" width="12.5546875" bestFit="1" customWidth="1"/>
    <col min="10" max="10" width="31.21875" bestFit="1" customWidth="1"/>
    <col min="11" max="11" width="31.21875" customWidth="1"/>
    <col min="12" max="12" width="15.88671875" bestFit="1" customWidth="1"/>
    <col min="13" max="14" width="25.88671875" bestFit="1" customWidth="1"/>
    <col min="15" max="15" width="17.44140625" bestFit="1" customWidth="1"/>
    <col min="16" max="18" width="10.33203125" bestFit="1" customWidth="1"/>
    <col min="19" max="19" width="11.21875" bestFit="1" customWidth="1"/>
    <col min="20" max="20" width="18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56</v>
      </c>
      <c r="L1" s="1" t="s">
        <v>54</v>
      </c>
      <c r="M1" s="1" t="s">
        <v>55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2" t="s">
        <v>16</v>
      </c>
      <c r="B2" s="2" t="s">
        <v>17</v>
      </c>
      <c r="C2" s="2" t="s">
        <v>18</v>
      </c>
      <c r="D2" s="2">
        <v>1</v>
      </c>
      <c r="E2" s="2" t="s">
        <v>19</v>
      </c>
      <c r="F2" s="2" t="s">
        <v>20</v>
      </c>
      <c r="G2" s="2">
        <v>4</v>
      </c>
      <c r="H2" s="2" t="s">
        <v>21</v>
      </c>
      <c r="I2" s="2" t="s">
        <v>22</v>
      </c>
      <c r="J2" s="2">
        <v>12</v>
      </c>
      <c r="K2" s="2"/>
      <c r="L2" s="2"/>
      <c r="M2" s="2"/>
      <c r="N2" s="2">
        <v>12</v>
      </c>
      <c r="O2" s="2">
        <v>0</v>
      </c>
      <c r="P2" s="2">
        <v>4</v>
      </c>
      <c r="Q2" s="2">
        <v>4</v>
      </c>
      <c r="R2" s="2">
        <v>4</v>
      </c>
      <c r="S2" s="2">
        <v>0</v>
      </c>
      <c r="T2" s="2"/>
    </row>
    <row r="3" spans="1:20" x14ac:dyDescent="0.3">
      <c r="A3" s="2" t="s">
        <v>16</v>
      </c>
      <c r="B3" s="2" t="s">
        <v>17</v>
      </c>
      <c r="C3" s="2" t="s">
        <v>18</v>
      </c>
      <c r="D3" s="2">
        <v>2</v>
      </c>
      <c r="E3" s="2" t="s">
        <v>19</v>
      </c>
      <c r="F3" s="2" t="s">
        <v>23</v>
      </c>
      <c r="G3" s="2">
        <v>4</v>
      </c>
      <c r="H3" s="2" t="s">
        <v>24</v>
      </c>
      <c r="I3" s="2" t="s">
        <v>22</v>
      </c>
      <c r="J3" s="2">
        <v>12</v>
      </c>
      <c r="K3" s="2"/>
      <c r="L3" s="2"/>
      <c r="M3" s="2"/>
      <c r="N3" s="2">
        <v>12</v>
      </c>
      <c r="O3" s="2">
        <v>0</v>
      </c>
      <c r="P3" s="2">
        <v>4</v>
      </c>
      <c r="Q3" s="2">
        <v>4</v>
      </c>
      <c r="R3" s="2">
        <v>4</v>
      </c>
      <c r="S3" s="2">
        <v>0</v>
      </c>
      <c r="T3" s="2"/>
    </row>
    <row r="4" spans="1:20" x14ac:dyDescent="0.3">
      <c r="A4" s="2" t="s">
        <v>16</v>
      </c>
      <c r="B4" s="2" t="s">
        <v>17</v>
      </c>
      <c r="C4" s="2" t="s">
        <v>18</v>
      </c>
      <c r="D4" s="2">
        <v>3</v>
      </c>
      <c r="E4" s="2" t="s">
        <v>25</v>
      </c>
      <c r="F4" s="2" t="s">
        <v>20</v>
      </c>
      <c r="G4" s="2">
        <v>5</v>
      </c>
      <c r="H4" s="2" t="s">
        <v>21</v>
      </c>
      <c r="I4" s="2" t="s">
        <v>26</v>
      </c>
      <c r="J4" s="2">
        <v>15</v>
      </c>
      <c r="K4" s="2"/>
      <c r="L4" s="2"/>
      <c r="M4" s="2"/>
      <c r="N4" s="2">
        <v>15</v>
      </c>
      <c r="O4" s="2">
        <v>0</v>
      </c>
      <c r="P4" s="2">
        <v>5</v>
      </c>
      <c r="Q4" s="2">
        <v>5</v>
      </c>
      <c r="R4" s="2">
        <v>5</v>
      </c>
      <c r="S4" s="2">
        <v>0</v>
      </c>
      <c r="T4" s="2"/>
    </row>
    <row r="5" spans="1:20" x14ac:dyDescent="0.3">
      <c r="A5" s="2" t="s">
        <v>16</v>
      </c>
      <c r="B5" s="2" t="s">
        <v>17</v>
      </c>
      <c r="C5" s="2" t="s">
        <v>18</v>
      </c>
      <c r="D5" s="2">
        <v>4</v>
      </c>
      <c r="E5" s="2" t="s">
        <v>25</v>
      </c>
      <c r="F5" s="2" t="s">
        <v>23</v>
      </c>
      <c r="G5" s="2">
        <v>5</v>
      </c>
      <c r="H5" s="2" t="s">
        <v>24</v>
      </c>
      <c r="I5" s="2" t="s">
        <v>26</v>
      </c>
      <c r="J5" s="2">
        <v>15</v>
      </c>
      <c r="K5" s="2"/>
      <c r="L5" s="2"/>
      <c r="M5" s="2"/>
      <c r="N5" s="2">
        <v>15</v>
      </c>
      <c r="O5" s="2">
        <v>0</v>
      </c>
      <c r="P5" s="2">
        <v>5</v>
      </c>
      <c r="Q5" s="2">
        <v>5</v>
      </c>
      <c r="R5" s="2">
        <v>5</v>
      </c>
      <c r="S5" s="2">
        <v>0</v>
      </c>
      <c r="T5" s="2"/>
    </row>
    <row r="6" spans="1:20" x14ac:dyDescent="0.3">
      <c r="A6" s="2" t="s">
        <v>16</v>
      </c>
      <c r="B6" s="2" t="s">
        <v>17</v>
      </c>
      <c r="C6" s="2" t="s">
        <v>18</v>
      </c>
      <c r="D6" s="2">
        <v>5</v>
      </c>
      <c r="E6" s="2" t="s">
        <v>27</v>
      </c>
      <c r="F6" s="2" t="s">
        <v>28</v>
      </c>
      <c r="G6" s="2">
        <v>4</v>
      </c>
      <c r="H6" s="2" t="s">
        <v>29</v>
      </c>
      <c r="I6" s="2" t="s">
        <v>22</v>
      </c>
      <c r="J6" s="2">
        <v>12</v>
      </c>
      <c r="K6" s="2"/>
      <c r="L6" s="2"/>
      <c r="M6" s="2"/>
      <c r="N6" s="2">
        <v>12</v>
      </c>
      <c r="O6" s="2">
        <v>0</v>
      </c>
      <c r="P6" s="2">
        <v>4</v>
      </c>
      <c r="Q6" s="2">
        <v>4</v>
      </c>
      <c r="R6" s="2">
        <v>4</v>
      </c>
      <c r="S6" s="2">
        <v>0</v>
      </c>
      <c r="T6" s="2"/>
    </row>
    <row r="7" spans="1:20" x14ac:dyDescent="0.3">
      <c r="A7" s="2" t="s">
        <v>16</v>
      </c>
      <c r="B7" s="2" t="s">
        <v>17</v>
      </c>
      <c r="C7" s="2" t="s">
        <v>18</v>
      </c>
      <c r="D7" s="2">
        <v>6</v>
      </c>
      <c r="E7" s="2" t="s">
        <v>27</v>
      </c>
      <c r="F7" s="2" t="s">
        <v>30</v>
      </c>
      <c r="G7" s="2">
        <v>4</v>
      </c>
      <c r="H7" s="2" t="s">
        <v>31</v>
      </c>
      <c r="I7" s="2" t="s">
        <v>22</v>
      </c>
      <c r="J7" s="2">
        <v>12</v>
      </c>
      <c r="K7" s="2"/>
      <c r="L7" s="2"/>
      <c r="M7" s="2"/>
      <c r="N7" s="2">
        <v>12</v>
      </c>
      <c r="O7" s="2">
        <v>0</v>
      </c>
      <c r="P7" s="2">
        <v>4</v>
      </c>
      <c r="Q7" s="2">
        <v>4</v>
      </c>
      <c r="R7" s="2">
        <v>4</v>
      </c>
      <c r="S7" s="2">
        <v>0</v>
      </c>
      <c r="T7" s="2"/>
    </row>
    <row r="8" spans="1:20" x14ac:dyDescent="0.3">
      <c r="A8" s="2" t="s">
        <v>16</v>
      </c>
      <c r="B8" s="2" t="s">
        <v>17</v>
      </c>
      <c r="C8" s="2" t="s">
        <v>18</v>
      </c>
      <c r="D8" s="2">
        <v>7</v>
      </c>
      <c r="E8" s="2" t="s">
        <v>27</v>
      </c>
      <c r="F8" s="2" t="s">
        <v>32</v>
      </c>
      <c r="G8" s="2"/>
      <c r="H8" s="2" t="s">
        <v>33</v>
      </c>
      <c r="I8" s="2" t="s">
        <v>34</v>
      </c>
      <c r="J8" s="2">
        <v>3</v>
      </c>
      <c r="K8" s="2"/>
      <c r="L8" s="2"/>
      <c r="M8" s="2"/>
      <c r="N8" s="2">
        <v>3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/>
    </row>
    <row r="9" spans="1:20" x14ac:dyDescent="0.3">
      <c r="A9" s="2" t="s">
        <v>16</v>
      </c>
      <c r="B9" s="2" t="s">
        <v>17</v>
      </c>
      <c r="C9" s="2" t="s">
        <v>18</v>
      </c>
      <c r="D9" s="2">
        <v>8</v>
      </c>
      <c r="E9" s="2" t="s">
        <v>35</v>
      </c>
      <c r="F9" s="2" t="s">
        <v>36</v>
      </c>
      <c r="G9" s="2">
        <v>1</v>
      </c>
      <c r="H9" s="2" t="s">
        <v>37</v>
      </c>
      <c r="I9" s="2" t="s">
        <v>38</v>
      </c>
      <c r="J9" s="2">
        <f>ROUNDUP(11.53846154,0)</f>
        <v>12</v>
      </c>
      <c r="K9" s="2"/>
      <c r="L9" s="2"/>
      <c r="M9" s="2"/>
      <c r="N9" s="2">
        <v>12</v>
      </c>
      <c r="O9" s="2">
        <v>0</v>
      </c>
      <c r="P9" s="2">
        <v>4</v>
      </c>
      <c r="Q9" s="2">
        <v>4</v>
      </c>
      <c r="R9" s="2">
        <v>4</v>
      </c>
      <c r="S9" s="2">
        <v>0</v>
      </c>
      <c r="T9" s="2" t="s">
        <v>39</v>
      </c>
    </row>
    <row r="10" spans="1:20" x14ac:dyDescent="0.3">
      <c r="A10" s="2" t="s">
        <v>16</v>
      </c>
      <c r="B10" s="2" t="s">
        <v>17</v>
      </c>
      <c r="C10" s="2" t="s">
        <v>18</v>
      </c>
      <c r="D10" s="2">
        <v>9</v>
      </c>
      <c r="E10" s="2" t="s">
        <v>40</v>
      </c>
      <c r="F10" s="2" t="s">
        <v>36</v>
      </c>
      <c r="G10" s="2">
        <v>1</v>
      </c>
      <c r="H10" s="2" t="s">
        <v>33</v>
      </c>
      <c r="I10" s="2" t="s">
        <v>34</v>
      </c>
      <c r="J10" s="2">
        <v>3</v>
      </c>
      <c r="K10" s="2"/>
      <c r="L10" s="2"/>
      <c r="M10" s="2"/>
      <c r="N10" s="2">
        <v>3</v>
      </c>
      <c r="O10" s="2">
        <v>0</v>
      </c>
      <c r="P10" s="2">
        <v>1</v>
      </c>
      <c r="Q10" s="2">
        <v>1</v>
      </c>
      <c r="R10" s="2">
        <v>1</v>
      </c>
      <c r="S10" s="2">
        <v>0</v>
      </c>
      <c r="T10" s="2"/>
    </row>
    <row r="11" spans="1:20" x14ac:dyDescent="0.3">
      <c r="A11" s="2" t="s">
        <v>16</v>
      </c>
      <c r="B11" s="2" t="s">
        <v>17</v>
      </c>
      <c r="C11" s="2" t="s">
        <v>18</v>
      </c>
      <c r="D11" s="2">
        <v>10</v>
      </c>
      <c r="E11" s="2" t="s">
        <v>35</v>
      </c>
      <c r="F11" s="2" t="s">
        <v>41</v>
      </c>
      <c r="G11" s="2"/>
      <c r="H11" s="2" t="s">
        <v>42</v>
      </c>
      <c r="I11" s="2" t="s">
        <v>43</v>
      </c>
      <c r="J11" s="2">
        <v>9</v>
      </c>
      <c r="K11" s="2"/>
      <c r="L11" s="2"/>
      <c r="M11" s="2"/>
      <c r="N11" s="2">
        <v>9</v>
      </c>
      <c r="O11" s="2">
        <v>0</v>
      </c>
      <c r="P11" s="2">
        <v>3</v>
      </c>
      <c r="Q11" s="2">
        <v>3</v>
      </c>
      <c r="R11" s="2">
        <v>3</v>
      </c>
      <c r="S11" s="2">
        <v>0</v>
      </c>
      <c r="T11" s="2"/>
    </row>
    <row r="12" spans="1:20" x14ac:dyDescent="0.3">
      <c r="A12" s="2" t="s">
        <v>16</v>
      </c>
      <c r="B12" s="2" t="s">
        <v>17</v>
      </c>
      <c r="C12" s="2" t="s">
        <v>18</v>
      </c>
      <c r="D12" s="2">
        <v>11</v>
      </c>
      <c r="E12" s="2" t="s">
        <v>35</v>
      </c>
      <c r="F12" s="2" t="s">
        <v>44</v>
      </c>
      <c r="G12" s="2"/>
      <c r="H12" s="2" t="s">
        <v>45</v>
      </c>
      <c r="I12" s="2" t="s">
        <v>46</v>
      </c>
      <c r="J12" s="2">
        <v>6</v>
      </c>
      <c r="K12" s="2"/>
      <c r="L12" s="2"/>
      <c r="M12" s="2"/>
      <c r="N12" s="2">
        <v>6</v>
      </c>
      <c r="O12" s="2">
        <v>6</v>
      </c>
      <c r="P12" s="2">
        <v>0</v>
      </c>
      <c r="Q12" s="2">
        <v>0</v>
      </c>
      <c r="R12" s="2">
        <v>0</v>
      </c>
      <c r="S12" s="2">
        <v>0</v>
      </c>
      <c r="T12" s="2"/>
    </row>
    <row r="13" spans="1:20" x14ac:dyDescent="0.3">
      <c r="A13" s="2" t="s">
        <v>16</v>
      </c>
      <c r="B13" s="2" t="s">
        <v>17</v>
      </c>
      <c r="C13" s="2" t="s">
        <v>18</v>
      </c>
      <c r="D13" s="2">
        <v>12</v>
      </c>
      <c r="E13" s="2" t="s">
        <v>35</v>
      </c>
      <c r="F13" s="2" t="s">
        <v>47</v>
      </c>
      <c r="G13" s="2"/>
      <c r="H13" s="2" t="s">
        <v>48</v>
      </c>
      <c r="I13" s="2" t="s">
        <v>34</v>
      </c>
      <c r="J13" s="2">
        <v>3</v>
      </c>
      <c r="K13" s="2"/>
      <c r="L13" s="2"/>
      <c r="M13" s="2"/>
      <c r="N13" s="2">
        <v>3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  <c r="T13" s="2"/>
    </row>
    <row r="14" spans="1:20" x14ac:dyDescent="0.3">
      <c r="A14" s="2" t="s">
        <v>16</v>
      </c>
      <c r="B14" s="2" t="s">
        <v>17</v>
      </c>
      <c r="C14" s="2" t="s">
        <v>18</v>
      </c>
      <c r="D14" s="2">
        <v>13</v>
      </c>
      <c r="E14" s="2" t="s">
        <v>35</v>
      </c>
      <c r="F14" s="2" t="s">
        <v>49</v>
      </c>
      <c r="G14" s="2"/>
      <c r="H14" s="2" t="s">
        <v>33</v>
      </c>
      <c r="I14" s="2" t="s">
        <v>34</v>
      </c>
      <c r="J14" s="2">
        <v>3</v>
      </c>
      <c r="K14" s="2"/>
      <c r="L14" s="2"/>
      <c r="M14" s="2"/>
      <c r="N14" s="2">
        <v>3</v>
      </c>
      <c r="O14" s="2">
        <v>0</v>
      </c>
      <c r="P14" s="2">
        <v>1</v>
      </c>
      <c r="Q14" s="2">
        <v>1</v>
      </c>
      <c r="R14" s="2">
        <v>1</v>
      </c>
      <c r="S14" s="2">
        <v>0</v>
      </c>
      <c r="T14" s="2"/>
    </row>
    <row r="15" spans="1:20" x14ac:dyDescent="0.3">
      <c r="A15" s="2" t="s">
        <v>16</v>
      </c>
      <c r="B15" s="2" t="s">
        <v>17</v>
      </c>
      <c r="C15" s="2" t="s">
        <v>18</v>
      </c>
      <c r="D15" s="2">
        <v>14</v>
      </c>
      <c r="E15" s="2" t="s">
        <v>35</v>
      </c>
      <c r="F15" s="2" t="s">
        <v>50</v>
      </c>
      <c r="G15" s="2"/>
      <c r="H15" s="2" t="s">
        <v>33</v>
      </c>
      <c r="I15" s="2" t="s">
        <v>34</v>
      </c>
      <c r="J15" s="2">
        <v>3</v>
      </c>
      <c r="K15" s="2"/>
      <c r="L15" s="2"/>
      <c r="M15" s="2"/>
      <c r="N15" s="2">
        <v>3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/>
    </row>
    <row r="16" spans="1:20" x14ac:dyDescent="0.3">
      <c r="A16" s="2" t="s">
        <v>16</v>
      </c>
      <c r="B16" s="2" t="s">
        <v>17</v>
      </c>
      <c r="C16" s="2" t="s">
        <v>18</v>
      </c>
      <c r="D16" s="2">
        <v>15</v>
      </c>
      <c r="E16" s="2" t="s">
        <v>51</v>
      </c>
      <c r="F16" s="2" t="s">
        <v>20</v>
      </c>
      <c r="G16" s="2">
        <v>1</v>
      </c>
      <c r="H16" s="2" t="s">
        <v>33</v>
      </c>
      <c r="I16" s="2" t="s">
        <v>34</v>
      </c>
      <c r="J16" s="2">
        <v>3</v>
      </c>
      <c r="K16" s="2"/>
      <c r="L16" s="2"/>
      <c r="M16" s="2"/>
      <c r="N16" s="2">
        <v>3</v>
      </c>
      <c r="O16" s="2">
        <v>0</v>
      </c>
      <c r="P16" s="2">
        <v>1</v>
      </c>
      <c r="Q16" s="2">
        <v>1</v>
      </c>
      <c r="R16" s="2">
        <v>1</v>
      </c>
      <c r="S16" s="2">
        <v>0</v>
      </c>
      <c r="T16" s="2"/>
    </row>
    <row r="17" spans="1:20" x14ac:dyDescent="0.3">
      <c r="A17" s="2" t="s">
        <v>16</v>
      </c>
      <c r="B17" s="2" t="s">
        <v>17</v>
      </c>
      <c r="C17" s="2" t="s">
        <v>18</v>
      </c>
      <c r="D17" s="2">
        <v>16</v>
      </c>
      <c r="E17" s="2" t="s">
        <v>51</v>
      </c>
      <c r="F17" s="2" t="s">
        <v>23</v>
      </c>
      <c r="G17" s="2"/>
      <c r="H17" s="2" t="s">
        <v>24</v>
      </c>
      <c r="I17" s="2" t="s">
        <v>34</v>
      </c>
      <c r="J17" s="2">
        <v>3</v>
      </c>
      <c r="K17" s="2"/>
      <c r="L17" s="2"/>
      <c r="M17" s="2"/>
      <c r="N17" s="2">
        <v>3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  <c r="T17" s="2"/>
    </row>
    <row r="18" spans="1:20" x14ac:dyDescent="0.3">
      <c r="A18" s="2" t="s">
        <v>16</v>
      </c>
      <c r="B18" s="2" t="s">
        <v>17</v>
      </c>
      <c r="C18" s="2" t="s">
        <v>18</v>
      </c>
      <c r="D18" s="2">
        <v>17</v>
      </c>
      <c r="E18" s="2" t="s">
        <v>51</v>
      </c>
      <c r="F18" s="2" t="s">
        <v>52</v>
      </c>
      <c r="G18" s="2"/>
      <c r="H18" s="2" t="s">
        <v>24</v>
      </c>
      <c r="I18" s="2" t="s">
        <v>53</v>
      </c>
      <c r="J18" s="2">
        <v>1</v>
      </c>
      <c r="K18" s="2"/>
      <c r="L18" s="2"/>
      <c r="M18" s="2"/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/>
    </row>
    <row r="19" spans="1:20" x14ac:dyDescent="0.3">
      <c r="A19" s="2" t="s">
        <v>16</v>
      </c>
      <c r="B19" s="2" t="s">
        <v>17</v>
      </c>
      <c r="C19" s="2" t="s">
        <v>127</v>
      </c>
      <c r="D19" s="2">
        <v>1</v>
      </c>
      <c r="E19" s="2" t="s">
        <v>73</v>
      </c>
      <c r="F19" s="2" t="s">
        <v>74</v>
      </c>
      <c r="G19" s="2">
        <v>181</v>
      </c>
      <c r="H19" s="2" t="s">
        <v>75</v>
      </c>
      <c r="I19" s="2" t="s">
        <v>76</v>
      </c>
      <c r="J19" s="2">
        <v>90.5</v>
      </c>
      <c r="K19" s="2" t="s">
        <v>77</v>
      </c>
      <c r="L19" s="2"/>
      <c r="M19" s="2"/>
      <c r="N19" s="2">
        <f>'Weaving Back-Up'!F6</f>
        <v>93</v>
      </c>
      <c r="O19" s="2">
        <v>0</v>
      </c>
      <c r="P19" s="2">
        <v>31</v>
      </c>
      <c r="Q19" s="2">
        <v>31</v>
      </c>
      <c r="R19" s="2">
        <v>31</v>
      </c>
      <c r="S19" s="2">
        <v>0</v>
      </c>
      <c r="T19" s="2"/>
    </row>
    <row r="20" spans="1:20" x14ac:dyDescent="0.3">
      <c r="A20" s="2" t="s">
        <v>16</v>
      </c>
      <c r="B20" s="2" t="s">
        <v>17</v>
      </c>
      <c r="C20" s="2" t="s">
        <v>127</v>
      </c>
      <c r="D20" s="2">
        <v>2</v>
      </c>
      <c r="E20" s="2" t="s">
        <v>73</v>
      </c>
      <c r="F20" s="2" t="s">
        <v>78</v>
      </c>
      <c r="G20" s="2"/>
      <c r="H20" s="2" t="s">
        <v>79</v>
      </c>
      <c r="I20" s="2" t="s">
        <v>80</v>
      </c>
      <c r="J20" s="2">
        <v>18.600000000000001</v>
      </c>
      <c r="K20" s="2" t="s">
        <v>81</v>
      </c>
      <c r="L20" s="2"/>
      <c r="M20" s="2"/>
      <c r="N20" s="2">
        <f>'Weaving Back-Up'!F10+3</f>
        <v>27</v>
      </c>
      <c r="O20" s="2">
        <v>0</v>
      </c>
      <c r="P20" s="2">
        <v>9</v>
      </c>
      <c r="Q20" s="2">
        <v>9</v>
      </c>
      <c r="R20" s="2">
        <v>9</v>
      </c>
      <c r="S20" s="2">
        <v>0</v>
      </c>
      <c r="T20" s="2"/>
    </row>
    <row r="21" spans="1:20" x14ac:dyDescent="0.3">
      <c r="A21" s="2" t="s">
        <v>16</v>
      </c>
      <c r="B21" s="2" t="s">
        <v>17</v>
      </c>
      <c r="C21" s="2" t="s">
        <v>127</v>
      </c>
      <c r="D21" s="2">
        <v>3</v>
      </c>
      <c r="E21" s="2" t="s">
        <v>73</v>
      </c>
      <c r="F21" s="2" t="s">
        <v>82</v>
      </c>
      <c r="G21" s="2"/>
      <c r="H21" s="2" t="s">
        <v>83</v>
      </c>
      <c r="I21" s="2" t="s">
        <v>84</v>
      </c>
      <c r="J21" s="2">
        <v>27</v>
      </c>
      <c r="K21" s="2" t="s">
        <v>81</v>
      </c>
      <c r="L21" s="2"/>
      <c r="M21" s="2"/>
      <c r="N21" s="2">
        <v>30</v>
      </c>
      <c r="O21" s="2">
        <v>0</v>
      </c>
      <c r="P21" s="2">
        <v>10</v>
      </c>
      <c r="Q21" s="2">
        <v>10</v>
      </c>
      <c r="R21" s="2">
        <v>10</v>
      </c>
      <c r="S21" s="2">
        <v>0</v>
      </c>
      <c r="T21" s="2" t="s">
        <v>85</v>
      </c>
    </row>
    <row r="22" spans="1:20" x14ac:dyDescent="0.3">
      <c r="A22" s="2" t="s">
        <v>16</v>
      </c>
      <c r="B22" s="2" t="s">
        <v>17</v>
      </c>
      <c r="C22" s="2" t="s">
        <v>127</v>
      </c>
      <c r="D22" s="2">
        <v>4</v>
      </c>
      <c r="E22" s="2" t="s">
        <v>73</v>
      </c>
      <c r="F22" s="2" t="s">
        <v>86</v>
      </c>
      <c r="G22" s="2"/>
      <c r="H22" s="2" t="s">
        <v>87</v>
      </c>
      <c r="I22" s="2" t="s">
        <v>88</v>
      </c>
      <c r="J22" s="2">
        <v>15.97</v>
      </c>
      <c r="K22" s="2" t="s">
        <v>77</v>
      </c>
      <c r="L22" s="2"/>
      <c r="M22" s="2"/>
      <c r="N22" s="2">
        <v>15</v>
      </c>
      <c r="O22" s="2">
        <v>0</v>
      </c>
      <c r="P22" s="2">
        <v>5</v>
      </c>
      <c r="Q22" s="2">
        <v>5</v>
      </c>
      <c r="R22" s="2">
        <v>5</v>
      </c>
      <c r="S22" s="2">
        <v>0</v>
      </c>
      <c r="T22" s="2"/>
    </row>
    <row r="23" spans="1:20" x14ac:dyDescent="0.3">
      <c r="A23" s="2" t="s">
        <v>16</v>
      </c>
      <c r="B23" s="2" t="s">
        <v>17</v>
      </c>
      <c r="C23" s="2" t="s">
        <v>127</v>
      </c>
      <c r="D23" s="2">
        <v>5</v>
      </c>
      <c r="E23" s="2" t="s">
        <v>73</v>
      </c>
      <c r="F23" s="2" t="s">
        <v>89</v>
      </c>
      <c r="G23" s="2"/>
      <c r="H23" s="2" t="s">
        <v>90</v>
      </c>
      <c r="I23" s="2" t="s">
        <v>91</v>
      </c>
      <c r="J23" s="2">
        <v>12.07</v>
      </c>
      <c r="K23" s="2" t="s">
        <v>77</v>
      </c>
      <c r="L23" s="2"/>
      <c r="M23" s="2"/>
      <c r="N23" s="2">
        <v>12</v>
      </c>
      <c r="O23" s="2">
        <v>0</v>
      </c>
      <c r="P23" s="2">
        <v>4</v>
      </c>
      <c r="Q23" s="2">
        <v>4</v>
      </c>
      <c r="R23" s="2">
        <v>4</v>
      </c>
      <c r="S23" s="2">
        <v>0</v>
      </c>
      <c r="T23" s="2"/>
    </row>
    <row r="24" spans="1:20" x14ac:dyDescent="0.3">
      <c r="A24" s="2" t="s">
        <v>16</v>
      </c>
      <c r="B24" s="2" t="s">
        <v>17</v>
      </c>
      <c r="C24" s="2" t="s">
        <v>127</v>
      </c>
      <c r="D24" s="2">
        <v>6</v>
      </c>
      <c r="E24" s="2" t="s">
        <v>73</v>
      </c>
      <c r="F24" s="2" t="s">
        <v>92</v>
      </c>
      <c r="G24" s="2"/>
      <c r="H24" s="2" t="s">
        <v>93</v>
      </c>
      <c r="I24" s="2" t="s">
        <v>94</v>
      </c>
      <c r="J24" s="2">
        <v>12.93</v>
      </c>
      <c r="K24" s="2" t="s">
        <v>77</v>
      </c>
      <c r="L24" s="2"/>
      <c r="M24" s="2"/>
      <c r="N24" s="2">
        <v>16</v>
      </c>
      <c r="O24" s="2">
        <v>1</v>
      </c>
      <c r="P24" s="2">
        <v>5</v>
      </c>
      <c r="Q24" s="2">
        <v>5</v>
      </c>
      <c r="R24" s="2">
        <v>5</v>
      </c>
      <c r="S24" s="2">
        <v>0</v>
      </c>
      <c r="T24" s="2"/>
    </row>
    <row r="25" spans="1:20" x14ac:dyDescent="0.3">
      <c r="A25" s="2" t="s">
        <v>16</v>
      </c>
      <c r="B25" s="2" t="s">
        <v>17</v>
      </c>
      <c r="C25" s="2" t="s">
        <v>127</v>
      </c>
      <c r="D25" s="2">
        <v>7</v>
      </c>
      <c r="E25" s="2" t="s">
        <v>73</v>
      </c>
      <c r="F25" s="2" t="s">
        <v>95</v>
      </c>
      <c r="G25" s="2"/>
      <c r="H25" s="2" t="s">
        <v>96</v>
      </c>
      <c r="I25" s="2" t="s">
        <v>97</v>
      </c>
      <c r="J25" s="2">
        <v>6</v>
      </c>
      <c r="K25" s="2" t="s">
        <v>81</v>
      </c>
      <c r="L25" s="2"/>
      <c r="M25" s="2"/>
      <c r="N25" s="2">
        <v>6</v>
      </c>
      <c r="O25" s="2">
        <v>0</v>
      </c>
      <c r="P25" s="2">
        <v>2</v>
      </c>
      <c r="Q25" s="2">
        <v>2</v>
      </c>
      <c r="R25" s="2">
        <v>2</v>
      </c>
      <c r="S25" s="2">
        <v>0</v>
      </c>
      <c r="T25" s="2"/>
    </row>
    <row r="26" spans="1:20" x14ac:dyDescent="0.3">
      <c r="A26" s="2" t="s">
        <v>16</v>
      </c>
      <c r="B26" s="2" t="s">
        <v>17</v>
      </c>
      <c r="C26" s="2" t="s">
        <v>127</v>
      </c>
      <c r="D26" s="2">
        <v>8</v>
      </c>
      <c r="E26" s="2" t="s">
        <v>73</v>
      </c>
      <c r="F26" s="2" t="s">
        <v>98</v>
      </c>
      <c r="G26" s="2"/>
      <c r="H26" s="2" t="s">
        <v>33</v>
      </c>
      <c r="I26" s="2" t="s">
        <v>34</v>
      </c>
      <c r="J26" s="2">
        <v>3</v>
      </c>
      <c r="K26" s="2" t="s">
        <v>81</v>
      </c>
      <c r="L26" s="2"/>
      <c r="M26" s="2"/>
      <c r="N26" s="2">
        <v>3</v>
      </c>
      <c r="O26" s="2">
        <v>0</v>
      </c>
      <c r="P26" s="2">
        <v>1</v>
      </c>
      <c r="Q26" s="2">
        <v>1</v>
      </c>
      <c r="R26" s="2">
        <v>1</v>
      </c>
      <c r="S26" s="2">
        <v>0</v>
      </c>
      <c r="T26" s="2"/>
    </row>
    <row r="27" spans="1:20" x14ac:dyDescent="0.3">
      <c r="A27" s="2" t="s">
        <v>16</v>
      </c>
      <c r="B27" s="2" t="s">
        <v>17</v>
      </c>
      <c r="C27" s="2" t="s">
        <v>127</v>
      </c>
      <c r="D27" s="2">
        <v>9</v>
      </c>
      <c r="E27" s="2" t="s">
        <v>73</v>
      </c>
      <c r="F27" s="2" t="s">
        <v>99</v>
      </c>
      <c r="G27" s="2"/>
      <c r="H27" s="2" t="s">
        <v>33</v>
      </c>
      <c r="I27" s="2" t="s">
        <v>34</v>
      </c>
      <c r="J27" s="2">
        <v>3</v>
      </c>
      <c r="K27" s="2" t="s">
        <v>81</v>
      </c>
      <c r="L27" s="2"/>
      <c r="M27" s="2"/>
      <c r="N27" s="2">
        <v>3</v>
      </c>
      <c r="O27" s="2">
        <v>0</v>
      </c>
      <c r="P27" s="2">
        <v>1</v>
      </c>
      <c r="Q27" s="2">
        <v>1</v>
      </c>
      <c r="R27" s="2">
        <v>1</v>
      </c>
      <c r="S27" s="2">
        <v>0</v>
      </c>
      <c r="T27" s="2"/>
    </row>
    <row r="28" spans="1:20" x14ac:dyDescent="0.3">
      <c r="A28" s="2" t="s">
        <v>16</v>
      </c>
      <c r="B28" s="2" t="s">
        <v>17</v>
      </c>
      <c r="C28" s="2" t="s">
        <v>127</v>
      </c>
      <c r="D28" s="2">
        <v>10</v>
      </c>
      <c r="E28" s="2" t="s">
        <v>73</v>
      </c>
      <c r="F28" s="2" t="s">
        <v>71</v>
      </c>
      <c r="G28" s="2"/>
      <c r="H28" s="2" t="s">
        <v>100</v>
      </c>
      <c r="I28" s="2" t="s">
        <v>101</v>
      </c>
      <c r="J28" s="2">
        <v>22.62</v>
      </c>
      <c r="K28" s="2" t="s">
        <v>77</v>
      </c>
      <c r="L28" s="2"/>
      <c r="M28" s="2"/>
      <c r="N28" s="2">
        <f>'Weaving Back-Up'!F11</f>
        <v>30</v>
      </c>
      <c r="O28" s="2">
        <v>0</v>
      </c>
      <c r="P28" s="2">
        <v>10</v>
      </c>
      <c r="Q28" s="2">
        <v>10</v>
      </c>
      <c r="R28" s="2">
        <v>10</v>
      </c>
      <c r="S28" s="2">
        <v>0</v>
      </c>
      <c r="T28" s="2"/>
    </row>
    <row r="29" spans="1:20" x14ac:dyDescent="0.3">
      <c r="A29" s="2" t="s">
        <v>16</v>
      </c>
      <c r="B29" s="2" t="s">
        <v>17</v>
      </c>
      <c r="C29" s="2" t="s">
        <v>127</v>
      </c>
      <c r="D29" s="2">
        <v>11</v>
      </c>
      <c r="E29" s="2" t="s">
        <v>73</v>
      </c>
      <c r="F29" s="2" t="s">
        <v>102</v>
      </c>
      <c r="G29" s="2"/>
      <c r="H29" s="2" t="s">
        <v>103</v>
      </c>
      <c r="I29" s="2" t="s">
        <v>104</v>
      </c>
      <c r="J29" s="2">
        <v>17</v>
      </c>
      <c r="K29" s="2" t="s">
        <v>81</v>
      </c>
      <c r="L29" s="2"/>
      <c r="M29" s="2"/>
      <c r="N29" s="2">
        <v>17</v>
      </c>
      <c r="O29" s="2">
        <v>0</v>
      </c>
      <c r="P29" s="2">
        <v>6</v>
      </c>
      <c r="Q29" s="2">
        <v>6</v>
      </c>
      <c r="R29" s="2">
        <v>5</v>
      </c>
      <c r="S29" s="2">
        <v>0</v>
      </c>
      <c r="T29" s="2"/>
    </row>
    <row r="30" spans="1:20" x14ac:dyDescent="0.3">
      <c r="A30" s="2" t="s">
        <v>16</v>
      </c>
      <c r="B30" s="2" t="s">
        <v>17</v>
      </c>
      <c r="C30" s="2" t="s">
        <v>127</v>
      </c>
      <c r="D30" s="2">
        <v>12</v>
      </c>
      <c r="E30" s="2" t="s">
        <v>73</v>
      </c>
      <c r="F30" s="2" t="s">
        <v>102</v>
      </c>
      <c r="G30" s="2"/>
      <c r="H30" s="2" t="s">
        <v>105</v>
      </c>
      <c r="I30" s="2" t="s">
        <v>34</v>
      </c>
      <c r="J30" s="2">
        <v>3</v>
      </c>
      <c r="K30" s="2" t="s">
        <v>81</v>
      </c>
      <c r="L30" s="2"/>
      <c r="M30" s="2"/>
      <c r="N30" s="2">
        <v>3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  <c r="T30" s="2"/>
    </row>
    <row r="31" spans="1:20" x14ac:dyDescent="0.3">
      <c r="A31" s="2" t="s">
        <v>16</v>
      </c>
      <c r="B31" s="2" t="s">
        <v>17</v>
      </c>
      <c r="C31" s="2" t="s">
        <v>127</v>
      </c>
      <c r="D31" s="2">
        <v>13</v>
      </c>
      <c r="E31" s="2" t="s">
        <v>73</v>
      </c>
      <c r="F31" s="2" t="s">
        <v>72</v>
      </c>
      <c r="G31" s="2"/>
      <c r="H31" s="2" t="s">
        <v>106</v>
      </c>
      <c r="I31" s="2" t="s">
        <v>107</v>
      </c>
      <c r="J31" s="2">
        <v>19.39</v>
      </c>
      <c r="K31" s="2" t="s">
        <v>77</v>
      </c>
      <c r="L31" s="2"/>
      <c r="M31" s="2"/>
      <c r="N31" s="2">
        <v>21</v>
      </c>
      <c r="O31" s="2">
        <v>0</v>
      </c>
      <c r="P31" s="2">
        <v>7</v>
      </c>
      <c r="Q31" s="2">
        <v>7</v>
      </c>
      <c r="R31" s="2">
        <v>7</v>
      </c>
      <c r="S31" s="2">
        <v>0</v>
      </c>
      <c r="T31" s="2"/>
    </row>
    <row r="32" spans="1:20" x14ac:dyDescent="0.3">
      <c r="A32" s="2" t="s">
        <v>16</v>
      </c>
      <c r="B32" s="2" t="s">
        <v>17</v>
      </c>
      <c r="C32" s="2" t="s">
        <v>127</v>
      </c>
      <c r="D32" s="2">
        <v>14</v>
      </c>
      <c r="E32" s="2" t="s">
        <v>73</v>
      </c>
      <c r="F32" s="2" t="s">
        <v>108</v>
      </c>
      <c r="G32" s="2"/>
      <c r="H32" s="2" t="s">
        <v>109</v>
      </c>
      <c r="I32" s="2" t="s">
        <v>43</v>
      </c>
      <c r="J32" s="2">
        <v>9</v>
      </c>
      <c r="K32" s="2" t="s">
        <v>81</v>
      </c>
      <c r="L32" s="2"/>
      <c r="M32" s="2"/>
      <c r="N32" s="2">
        <v>9</v>
      </c>
      <c r="O32" s="2">
        <v>0</v>
      </c>
      <c r="P32" s="2">
        <v>3</v>
      </c>
      <c r="Q32" s="2">
        <v>3</v>
      </c>
      <c r="R32" s="2">
        <v>3</v>
      </c>
      <c r="S32" s="2">
        <v>0</v>
      </c>
      <c r="T32" s="2"/>
    </row>
    <row r="33" spans="1:20" x14ac:dyDescent="0.3">
      <c r="A33" s="2" t="s">
        <v>16</v>
      </c>
      <c r="B33" s="2" t="s">
        <v>17</v>
      </c>
      <c r="C33" s="2" t="s">
        <v>127</v>
      </c>
      <c r="D33" s="2">
        <v>15</v>
      </c>
      <c r="E33" s="2" t="s">
        <v>73</v>
      </c>
      <c r="F33" s="2" t="s">
        <v>50</v>
      </c>
      <c r="G33" s="2"/>
      <c r="H33" s="2" t="s">
        <v>33</v>
      </c>
      <c r="I33" s="2" t="s">
        <v>34</v>
      </c>
      <c r="J33" s="2">
        <v>3</v>
      </c>
      <c r="K33" s="2" t="s">
        <v>81</v>
      </c>
      <c r="L33" s="2"/>
      <c r="M33" s="2"/>
      <c r="N33" s="2">
        <v>3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  <c r="T33" s="2"/>
    </row>
    <row r="34" spans="1:20" x14ac:dyDescent="0.3">
      <c r="A34" s="2" t="s">
        <v>16</v>
      </c>
      <c r="B34" s="2" t="s">
        <v>17</v>
      </c>
      <c r="C34" s="2" t="s">
        <v>128</v>
      </c>
      <c r="D34" s="2">
        <v>1</v>
      </c>
      <c r="E34" s="2"/>
      <c r="F34" s="2" t="s">
        <v>110</v>
      </c>
      <c r="G34" s="2">
        <v>7</v>
      </c>
      <c r="H34" s="2" t="s">
        <v>29</v>
      </c>
      <c r="I34" s="2" t="s">
        <v>111</v>
      </c>
      <c r="J34" s="2">
        <v>21</v>
      </c>
      <c r="K34" s="2" t="s">
        <v>77</v>
      </c>
      <c r="L34" s="2"/>
      <c r="M34" s="2"/>
      <c r="N34" s="2">
        <v>21</v>
      </c>
      <c r="O34" s="2">
        <v>0</v>
      </c>
      <c r="P34" s="2">
        <v>7</v>
      </c>
      <c r="Q34" s="2">
        <v>7</v>
      </c>
      <c r="R34" s="2">
        <v>7</v>
      </c>
      <c r="S34" s="2">
        <v>0</v>
      </c>
      <c r="T34" s="2"/>
    </row>
    <row r="35" spans="1:20" x14ac:dyDescent="0.3">
      <c r="A35" s="2" t="s">
        <v>16</v>
      </c>
      <c r="B35" s="2" t="s">
        <v>17</v>
      </c>
      <c r="C35" s="2" t="s">
        <v>128</v>
      </c>
      <c r="D35" s="2">
        <v>2</v>
      </c>
      <c r="E35" s="2"/>
      <c r="F35" s="2" t="s">
        <v>112</v>
      </c>
      <c r="G35" s="2">
        <v>7</v>
      </c>
      <c r="H35" s="2" t="s">
        <v>29</v>
      </c>
      <c r="I35" s="2" t="s">
        <v>111</v>
      </c>
      <c r="J35" s="2">
        <v>21</v>
      </c>
      <c r="K35" s="2" t="s">
        <v>77</v>
      </c>
      <c r="L35" s="2"/>
      <c r="M35" s="2"/>
      <c r="N35" s="2">
        <v>21</v>
      </c>
      <c r="O35" s="2">
        <v>0</v>
      </c>
      <c r="P35" s="2">
        <v>7</v>
      </c>
      <c r="Q35" s="2">
        <v>7</v>
      </c>
      <c r="R35" s="2">
        <v>7</v>
      </c>
      <c r="S35" s="2">
        <v>0</v>
      </c>
      <c r="T35" s="2"/>
    </row>
    <row r="36" spans="1:20" x14ac:dyDescent="0.3">
      <c r="A36" s="2" t="s">
        <v>16</v>
      </c>
      <c r="B36" s="2" t="s">
        <v>17</v>
      </c>
      <c r="C36" s="2" t="s">
        <v>128</v>
      </c>
      <c r="D36" s="2">
        <v>3</v>
      </c>
      <c r="E36" s="2"/>
      <c r="F36" s="2" t="s">
        <v>113</v>
      </c>
      <c r="G36" s="2">
        <v>2</v>
      </c>
      <c r="H36" s="2" t="s">
        <v>114</v>
      </c>
      <c r="I36" s="2" t="s">
        <v>34</v>
      </c>
      <c r="J36" s="2">
        <v>3</v>
      </c>
      <c r="K36" s="2" t="s">
        <v>77</v>
      </c>
      <c r="L36" s="2"/>
      <c r="M36" s="2"/>
      <c r="N36" s="2">
        <v>3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  <c r="T36" s="2"/>
    </row>
    <row r="37" spans="1:20" x14ac:dyDescent="0.3">
      <c r="A37" s="2" t="s">
        <v>16</v>
      </c>
      <c r="B37" s="2" t="s">
        <v>17</v>
      </c>
      <c r="C37" s="2" t="s">
        <v>128</v>
      </c>
      <c r="D37" s="2">
        <v>4</v>
      </c>
      <c r="E37" s="2"/>
      <c r="F37" s="2" t="s">
        <v>115</v>
      </c>
      <c r="G37" s="2">
        <v>1</v>
      </c>
      <c r="H37" s="2" t="s">
        <v>29</v>
      </c>
      <c r="I37" s="2" t="s">
        <v>34</v>
      </c>
      <c r="J37" s="2">
        <v>3</v>
      </c>
      <c r="K37" s="2" t="s">
        <v>77</v>
      </c>
      <c r="L37" s="2"/>
      <c r="M37" s="2"/>
      <c r="N37" s="2">
        <v>3</v>
      </c>
      <c r="O37" s="2">
        <v>0</v>
      </c>
      <c r="P37" s="2">
        <v>1</v>
      </c>
      <c r="Q37" s="2">
        <v>1</v>
      </c>
      <c r="R37" s="2">
        <v>1</v>
      </c>
      <c r="S37" s="2">
        <v>0</v>
      </c>
      <c r="T37" s="2"/>
    </row>
    <row r="38" spans="1:20" x14ac:dyDescent="0.3">
      <c r="A38" s="2" t="s">
        <v>16</v>
      </c>
      <c r="B38" s="2" t="s">
        <v>17</v>
      </c>
      <c r="C38" s="2" t="s">
        <v>128</v>
      </c>
      <c r="D38" s="2">
        <v>5</v>
      </c>
      <c r="E38" s="2"/>
      <c r="F38" s="2" t="s">
        <v>116</v>
      </c>
      <c r="G38" s="2"/>
      <c r="H38" s="2" t="s">
        <v>117</v>
      </c>
      <c r="I38" s="2" t="s">
        <v>43</v>
      </c>
      <c r="J38" s="2">
        <v>9</v>
      </c>
      <c r="K38" s="2" t="s">
        <v>81</v>
      </c>
      <c r="L38" s="2"/>
      <c r="M38" s="2"/>
      <c r="N38" s="2">
        <v>9</v>
      </c>
      <c r="O38" s="2">
        <v>0</v>
      </c>
      <c r="P38" s="2">
        <v>3</v>
      </c>
      <c r="Q38" s="2">
        <v>3</v>
      </c>
      <c r="R38" s="2">
        <v>3</v>
      </c>
      <c r="S38" s="2">
        <v>0</v>
      </c>
      <c r="T38" s="2"/>
    </row>
    <row r="39" spans="1:20" x14ac:dyDescent="0.3">
      <c r="A39" s="2" t="s">
        <v>16</v>
      </c>
      <c r="B39" s="2" t="s">
        <v>17</v>
      </c>
      <c r="C39" s="2" t="s">
        <v>128</v>
      </c>
      <c r="D39" s="2">
        <v>6</v>
      </c>
      <c r="E39" s="2"/>
      <c r="F39" s="2" t="s">
        <v>118</v>
      </c>
      <c r="G39" s="2">
        <v>1</v>
      </c>
      <c r="H39" s="2" t="s">
        <v>29</v>
      </c>
      <c r="I39" s="2" t="s">
        <v>34</v>
      </c>
      <c r="J39" s="2">
        <v>3</v>
      </c>
      <c r="K39" s="2" t="s">
        <v>77</v>
      </c>
      <c r="L39" s="2"/>
      <c r="M39" s="2"/>
      <c r="N39" s="2">
        <v>3</v>
      </c>
      <c r="O39" s="2">
        <v>0</v>
      </c>
      <c r="P39" s="2">
        <v>1</v>
      </c>
      <c r="Q39" s="2">
        <v>1</v>
      </c>
      <c r="R39" s="2">
        <v>1</v>
      </c>
      <c r="S39" s="2">
        <v>0</v>
      </c>
      <c r="T39" s="2"/>
    </row>
    <row r="40" spans="1:20" x14ac:dyDescent="0.3">
      <c r="A40" s="2" t="s">
        <v>16</v>
      </c>
      <c r="B40" s="2" t="s">
        <v>17</v>
      </c>
      <c r="C40" s="2" t="s">
        <v>128</v>
      </c>
      <c r="D40" s="2">
        <v>7</v>
      </c>
      <c r="E40" s="2"/>
      <c r="F40" s="2" t="s">
        <v>119</v>
      </c>
      <c r="G40" s="2"/>
      <c r="H40" s="2" t="s">
        <v>33</v>
      </c>
      <c r="I40" s="2" t="s">
        <v>34</v>
      </c>
      <c r="J40" s="2">
        <v>3</v>
      </c>
      <c r="K40" s="2" t="s">
        <v>81</v>
      </c>
      <c r="L40" s="2"/>
      <c r="M40" s="2"/>
      <c r="N40" s="2">
        <v>3</v>
      </c>
      <c r="O40" s="2">
        <v>0</v>
      </c>
      <c r="P40" s="2">
        <v>1</v>
      </c>
      <c r="Q40" s="2">
        <v>1</v>
      </c>
      <c r="R40" s="2">
        <v>1</v>
      </c>
      <c r="S40" s="2">
        <v>0</v>
      </c>
      <c r="T40" s="2"/>
    </row>
    <row r="41" spans="1:20" x14ac:dyDescent="0.3">
      <c r="A41" s="2" t="s">
        <v>16</v>
      </c>
      <c r="B41" s="2" t="s">
        <v>17</v>
      </c>
      <c r="C41" s="2" t="s">
        <v>128</v>
      </c>
      <c r="D41" s="2">
        <v>8</v>
      </c>
      <c r="E41" s="2"/>
      <c r="F41" s="2" t="s">
        <v>120</v>
      </c>
      <c r="G41" s="2"/>
      <c r="H41" s="2" t="s">
        <v>121</v>
      </c>
      <c r="I41" s="2" t="s">
        <v>34</v>
      </c>
      <c r="J41" s="2">
        <v>3</v>
      </c>
      <c r="K41" s="2" t="s">
        <v>81</v>
      </c>
      <c r="L41" s="2"/>
      <c r="M41" s="2"/>
      <c r="N41" s="2">
        <v>3</v>
      </c>
      <c r="O41" s="2">
        <v>0</v>
      </c>
      <c r="P41" s="2">
        <v>1</v>
      </c>
      <c r="Q41" s="2">
        <v>1</v>
      </c>
      <c r="R41" s="2">
        <v>1</v>
      </c>
      <c r="S41" s="2">
        <v>0</v>
      </c>
      <c r="T41" s="2"/>
    </row>
    <row r="42" spans="1:20" x14ac:dyDescent="0.3">
      <c r="A42" s="2" t="s">
        <v>16</v>
      </c>
      <c r="B42" s="2" t="s">
        <v>17</v>
      </c>
      <c r="C42" s="2" t="s">
        <v>128</v>
      </c>
      <c r="D42" s="2">
        <v>9</v>
      </c>
      <c r="E42" s="2"/>
      <c r="F42" s="2" t="s">
        <v>122</v>
      </c>
      <c r="G42" s="2"/>
      <c r="H42" s="2" t="s">
        <v>121</v>
      </c>
      <c r="I42" s="2" t="s">
        <v>34</v>
      </c>
      <c r="J42" s="2">
        <v>3</v>
      </c>
      <c r="K42" s="2" t="s">
        <v>81</v>
      </c>
      <c r="L42" s="2"/>
      <c r="M42" s="2"/>
      <c r="N42" s="2">
        <v>3</v>
      </c>
      <c r="O42" s="2">
        <v>0</v>
      </c>
      <c r="P42" s="2">
        <v>1</v>
      </c>
      <c r="Q42" s="2">
        <v>1</v>
      </c>
      <c r="R42" s="2">
        <v>1</v>
      </c>
      <c r="S42" s="2">
        <v>0</v>
      </c>
      <c r="T42" s="2"/>
    </row>
    <row r="43" spans="1:20" x14ac:dyDescent="0.3">
      <c r="A43" s="2" t="s">
        <v>16</v>
      </c>
      <c r="B43" s="2" t="s">
        <v>17</v>
      </c>
      <c r="C43" s="2" t="s">
        <v>128</v>
      </c>
      <c r="D43" s="2">
        <v>10</v>
      </c>
      <c r="E43" s="2"/>
      <c r="F43" s="2" t="s">
        <v>123</v>
      </c>
      <c r="G43" s="2"/>
      <c r="H43" s="2" t="s">
        <v>124</v>
      </c>
      <c r="I43" s="2" t="s">
        <v>97</v>
      </c>
      <c r="J43" s="2">
        <v>6</v>
      </c>
      <c r="K43" s="2" t="s">
        <v>81</v>
      </c>
      <c r="L43" s="2"/>
      <c r="M43" s="2"/>
      <c r="N43" s="2">
        <v>6</v>
      </c>
      <c r="O43" s="2">
        <v>0</v>
      </c>
      <c r="P43" s="2">
        <v>2</v>
      </c>
      <c r="Q43" s="2">
        <v>2</v>
      </c>
      <c r="R43" s="2">
        <v>2</v>
      </c>
      <c r="S43" s="2">
        <v>0</v>
      </c>
      <c r="T43" s="2"/>
    </row>
    <row r="44" spans="1:20" x14ac:dyDescent="0.3">
      <c r="A44" s="2" t="s">
        <v>16</v>
      </c>
      <c r="B44" s="2" t="s">
        <v>17</v>
      </c>
      <c r="C44" s="2" t="s">
        <v>128</v>
      </c>
      <c r="D44" s="2">
        <v>11</v>
      </c>
      <c r="E44" s="2"/>
      <c r="F44" s="2" t="s">
        <v>125</v>
      </c>
      <c r="G44" s="2"/>
      <c r="H44" s="2"/>
      <c r="I44" s="2" t="s">
        <v>126</v>
      </c>
      <c r="J44" s="2">
        <v>24</v>
      </c>
      <c r="K44" s="2" t="s">
        <v>81</v>
      </c>
      <c r="L44" s="2"/>
      <c r="M44" s="2"/>
      <c r="N44" s="2">
        <v>24</v>
      </c>
      <c r="O44" s="2">
        <v>0</v>
      </c>
      <c r="P44" s="2">
        <v>8</v>
      </c>
      <c r="Q44" s="2">
        <v>8</v>
      </c>
      <c r="R44" s="2">
        <v>8</v>
      </c>
      <c r="S44" s="2">
        <v>0</v>
      </c>
      <c r="T44" s="2"/>
    </row>
    <row r="45" spans="1:20" x14ac:dyDescent="0.3">
      <c r="A45" s="2" t="s">
        <v>16</v>
      </c>
      <c r="B45" s="2" t="s">
        <v>17</v>
      </c>
      <c r="C45" s="2" t="s">
        <v>129</v>
      </c>
      <c r="D45" s="2">
        <v>1</v>
      </c>
      <c r="E45" s="2" t="s">
        <v>130</v>
      </c>
      <c r="F45" s="2" t="s">
        <v>131</v>
      </c>
      <c r="G45" s="2">
        <v>1</v>
      </c>
      <c r="H45" s="2" t="s">
        <v>33</v>
      </c>
      <c r="I45" s="2" t="s">
        <v>34</v>
      </c>
      <c r="J45" s="2">
        <v>3</v>
      </c>
      <c r="K45" s="2" t="s">
        <v>81</v>
      </c>
      <c r="L45" s="2"/>
      <c r="M45" s="2"/>
      <c r="N45" s="2">
        <v>3</v>
      </c>
      <c r="O45" s="2">
        <v>0</v>
      </c>
      <c r="P45" s="2">
        <v>1</v>
      </c>
      <c r="Q45" s="2">
        <v>1</v>
      </c>
      <c r="R45" s="2">
        <v>1</v>
      </c>
      <c r="S45" s="2">
        <v>0</v>
      </c>
      <c r="T45" s="2"/>
    </row>
    <row r="46" spans="1:20" x14ac:dyDescent="0.3">
      <c r="A46" s="2" t="s">
        <v>16</v>
      </c>
      <c r="B46" s="2" t="s">
        <v>17</v>
      </c>
      <c r="C46" s="2" t="s">
        <v>129</v>
      </c>
      <c r="D46" s="2">
        <v>2</v>
      </c>
      <c r="E46" s="2" t="s">
        <v>130</v>
      </c>
      <c r="F46" s="2" t="s">
        <v>132</v>
      </c>
      <c r="G46" s="2">
        <v>2</v>
      </c>
      <c r="H46" s="2" t="s">
        <v>96</v>
      </c>
      <c r="I46" s="2" t="s">
        <v>97</v>
      </c>
      <c r="J46" s="2">
        <v>6</v>
      </c>
      <c r="K46" s="2" t="s">
        <v>81</v>
      </c>
      <c r="L46" s="2"/>
      <c r="M46" s="2"/>
      <c r="N46" s="2">
        <v>6</v>
      </c>
      <c r="O46" s="2">
        <v>0</v>
      </c>
      <c r="P46" s="2">
        <v>2</v>
      </c>
      <c r="Q46" s="2">
        <v>2</v>
      </c>
      <c r="R46" s="2">
        <v>2</v>
      </c>
      <c r="S46" s="2">
        <v>0</v>
      </c>
      <c r="T46" s="2"/>
    </row>
    <row r="47" spans="1:20" x14ac:dyDescent="0.3">
      <c r="A47" s="2" t="s">
        <v>16</v>
      </c>
      <c r="B47" s="2" t="s">
        <v>17</v>
      </c>
      <c r="C47" s="2" t="s">
        <v>129</v>
      </c>
      <c r="D47" s="2">
        <v>3</v>
      </c>
      <c r="E47" s="2" t="s">
        <v>130</v>
      </c>
      <c r="F47" s="2" t="s">
        <v>133</v>
      </c>
      <c r="G47" s="2">
        <v>37</v>
      </c>
      <c r="H47" s="2" t="s">
        <v>134</v>
      </c>
      <c r="I47" s="2" t="s">
        <v>135</v>
      </c>
      <c r="J47" s="2">
        <v>57</v>
      </c>
      <c r="K47" s="2" t="s">
        <v>77</v>
      </c>
      <c r="L47" s="2"/>
      <c r="M47" s="2"/>
      <c r="N47" s="2">
        <v>57</v>
      </c>
      <c r="O47" s="2">
        <v>0</v>
      </c>
      <c r="P47" s="2">
        <v>19</v>
      </c>
      <c r="Q47" s="2">
        <v>19</v>
      </c>
      <c r="R47" s="2">
        <v>19</v>
      </c>
      <c r="S47" s="2">
        <v>0</v>
      </c>
      <c r="T47" s="2" t="s">
        <v>136</v>
      </c>
    </row>
    <row r="48" spans="1:20" x14ac:dyDescent="0.3">
      <c r="A48" s="2" t="s">
        <v>16</v>
      </c>
      <c r="B48" s="2" t="s">
        <v>17</v>
      </c>
      <c r="C48" s="2" t="s">
        <v>129</v>
      </c>
      <c r="D48" s="2">
        <v>4</v>
      </c>
      <c r="E48" s="2" t="s">
        <v>130</v>
      </c>
      <c r="F48" s="2" t="s">
        <v>137</v>
      </c>
      <c r="G48" s="2"/>
      <c r="H48" s="2"/>
      <c r="I48" s="2"/>
      <c r="J48" s="2">
        <v>0</v>
      </c>
      <c r="K48" s="2" t="s">
        <v>81</v>
      </c>
      <c r="L48" s="2"/>
      <c r="M48" s="2"/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/>
    </row>
    <row r="49" spans="1:20" x14ac:dyDescent="0.3">
      <c r="A49" s="2" t="s">
        <v>16</v>
      </c>
      <c r="B49" s="2" t="s">
        <v>17</v>
      </c>
      <c r="C49" s="2" t="s">
        <v>129</v>
      </c>
      <c r="D49" s="2">
        <v>5</v>
      </c>
      <c r="E49" s="2" t="s">
        <v>130</v>
      </c>
      <c r="F49" s="2" t="s">
        <v>138</v>
      </c>
      <c r="G49" s="2"/>
      <c r="H49" s="2" t="s">
        <v>33</v>
      </c>
      <c r="I49" s="2" t="s">
        <v>34</v>
      </c>
      <c r="J49" s="2">
        <v>3</v>
      </c>
      <c r="K49" s="2" t="s">
        <v>81</v>
      </c>
      <c r="L49" s="2"/>
      <c r="M49" s="2"/>
      <c r="N49" s="2">
        <v>3</v>
      </c>
      <c r="O49" s="2">
        <v>0</v>
      </c>
      <c r="P49" s="2">
        <v>1</v>
      </c>
      <c r="Q49" s="2">
        <v>1</v>
      </c>
      <c r="R49" s="2">
        <v>1</v>
      </c>
      <c r="S49" s="2">
        <v>0</v>
      </c>
      <c r="T49" s="2"/>
    </row>
    <row r="50" spans="1:20" x14ac:dyDescent="0.3">
      <c r="A50" s="2" t="s">
        <v>16</v>
      </c>
      <c r="B50" s="2" t="s">
        <v>17</v>
      </c>
      <c r="C50" s="2" t="s">
        <v>129</v>
      </c>
      <c r="D50" s="2">
        <v>6</v>
      </c>
      <c r="E50" s="2" t="s">
        <v>130</v>
      </c>
      <c r="F50" s="2" t="s">
        <v>139</v>
      </c>
      <c r="G50" s="2"/>
      <c r="H50" s="2" t="s">
        <v>140</v>
      </c>
      <c r="I50" s="2" t="s">
        <v>97</v>
      </c>
      <c r="J50" s="2">
        <v>6</v>
      </c>
      <c r="K50" s="2" t="s">
        <v>81</v>
      </c>
      <c r="L50" s="2"/>
      <c r="M50" s="2"/>
      <c r="N50" s="2">
        <v>6</v>
      </c>
      <c r="O50" s="2">
        <v>0</v>
      </c>
      <c r="P50" s="2">
        <v>2</v>
      </c>
      <c r="Q50" s="2">
        <v>2</v>
      </c>
      <c r="R50" s="2">
        <v>2</v>
      </c>
      <c r="S50" s="2">
        <v>0</v>
      </c>
      <c r="T50" s="2"/>
    </row>
    <row r="51" spans="1:20" x14ac:dyDescent="0.3">
      <c r="A51" s="2" t="s">
        <v>16</v>
      </c>
      <c r="B51" s="2" t="s">
        <v>17</v>
      </c>
      <c r="C51" s="2" t="s">
        <v>129</v>
      </c>
      <c r="D51" s="2">
        <v>7</v>
      </c>
      <c r="E51" s="2" t="s">
        <v>130</v>
      </c>
      <c r="F51" s="2" t="s">
        <v>141</v>
      </c>
      <c r="G51" s="2"/>
      <c r="H51" s="2" t="s">
        <v>33</v>
      </c>
      <c r="I51" s="2" t="s">
        <v>34</v>
      </c>
      <c r="J51" s="2">
        <v>3</v>
      </c>
      <c r="K51" s="2" t="s">
        <v>81</v>
      </c>
      <c r="L51" s="2"/>
      <c r="M51" s="2"/>
      <c r="N51" s="2">
        <v>3</v>
      </c>
      <c r="O51" s="2">
        <v>0</v>
      </c>
      <c r="P51" s="2">
        <v>1</v>
      </c>
      <c r="Q51" s="2">
        <v>1</v>
      </c>
      <c r="R51" s="2">
        <v>1</v>
      </c>
      <c r="S51" s="2">
        <v>0</v>
      </c>
      <c r="T51" s="2"/>
    </row>
    <row r="52" spans="1:20" x14ac:dyDescent="0.3">
      <c r="A52" s="2" t="s">
        <v>16</v>
      </c>
      <c r="B52" s="2" t="s">
        <v>17</v>
      </c>
      <c r="C52" s="2" t="s">
        <v>129</v>
      </c>
      <c r="D52" s="2">
        <v>8</v>
      </c>
      <c r="E52" s="2" t="s">
        <v>130</v>
      </c>
      <c r="F52" s="2" t="s">
        <v>142</v>
      </c>
      <c r="G52" s="2"/>
      <c r="H52" s="2" t="s">
        <v>33</v>
      </c>
      <c r="I52" s="2" t="s">
        <v>34</v>
      </c>
      <c r="J52" s="2">
        <v>3</v>
      </c>
      <c r="K52" s="2" t="s">
        <v>81</v>
      </c>
      <c r="L52" s="2"/>
      <c r="M52" s="2"/>
      <c r="N52" s="2">
        <v>3</v>
      </c>
      <c r="O52" s="2">
        <v>0</v>
      </c>
      <c r="P52" s="2">
        <v>1</v>
      </c>
      <c r="Q52" s="2">
        <v>1</v>
      </c>
      <c r="R52" s="2">
        <v>1</v>
      </c>
      <c r="S52" s="2">
        <v>0</v>
      </c>
      <c r="T52" s="2"/>
    </row>
    <row r="53" spans="1:20" x14ac:dyDescent="0.3">
      <c r="A53" s="2" t="s">
        <v>16</v>
      </c>
      <c r="B53" s="2" t="s">
        <v>17</v>
      </c>
      <c r="C53" s="2" t="s">
        <v>129</v>
      </c>
      <c r="D53" s="2">
        <v>9</v>
      </c>
      <c r="E53" s="2" t="s">
        <v>130</v>
      </c>
      <c r="F53" s="2" t="s">
        <v>143</v>
      </c>
      <c r="G53" s="2"/>
      <c r="H53" s="2" t="s">
        <v>33</v>
      </c>
      <c r="I53" s="2" t="s">
        <v>34</v>
      </c>
      <c r="J53" s="2">
        <v>3</v>
      </c>
      <c r="K53" s="2" t="s">
        <v>81</v>
      </c>
      <c r="L53" s="2"/>
      <c r="M53" s="2"/>
      <c r="N53" s="2">
        <v>3</v>
      </c>
      <c r="O53" s="2">
        <v>0</v>
      </c>
      <c r="P53" s="2">
        <v>1</v>
      </c>
      <c r="Q53" s="2">
        <v>1</v>
      </c>
      <c r="R53" s="2">
        <v>1</v>
      </c>
      <c r="S53" s="2">
        <v>0</v>
      </c>
      <c r="T53" s="2"/>
    </row>
    <row r="54" spans="1:20" x14ac:dyDescent="0.3">
      <c r="A54" s="2" t="s">
        <v>16</v>
      </c>
      <c r="B54" s="2" t="s">
        <v>17</v>
      </c>
      <c r="C54" s="2" t="s">
        <v>144</v>
      </c>
      <c r="D54" s="2">
        <v>10</v>
      </c>
      <c r="E54" s="2" t="s">
        <v>144</v>
      </c>
      <c r="F54" s="2" t="s">
        <v>145</v>
      </c>
      <c r="G54" s="2"/>
      <c r="H54" s="2" t="s">
        <v>33</v>
      </c>
      <c r="I54" s="2" t="s">
        <v>34</v>
      </c>
      <c r="J54" s="2">
        <v>3</v>
      </c>
      <c r="K54" s="2" t="s">
        <v>81</v>
      </c>
      <c r="L54" s="2"/>
      <c r="M54" s="2"/>
      <c r="N54" s="2">
        <v>3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  <c r="T54" s="2"/>
    </row>
    <row r="55" spans="1:20" x14ac:dyDescent="0.3">
      <c r="A55" s="2" t="s">
        <v>16</v>
      </c>
      <c r="B55" s="2" t="s">
        <v>17</v>
      </c>
      <c r="C55" s="2" t="s">
        <v>144</v>
      </c>
      <c r="D55" s="2">
        <v>11</v>
      </c>
      <c r="E55" s="2" t="s">
        <v>144</v>
      </c>
      <c r="F55" s="2" t="s">
        <v>146</v>
      </c>
      <c r="G55" s="2">
        <v>16</v>
      </c>
      <c r="H55" s="2" t="s">
        <v>147</v>
      </c>
      <c r="I55" s="2" t="s">
        <v>148</v>
      </c>
      <c r="J55" s="2">
        <v>15</v>
      </c>
      <c r="K55" s="2" t="s">
        <v>77</v>
      </c>
      <c r="L55" s="2"/>
      <c r="M55" s="2"/>
      <c r="N55" s="2">
        <v>15</v>
      </c>
      <c r="O55" s="2">
        <v>0</v>
      </c>
      <c r="P55" s="2">
        <v>5</v>
      </c>
      <c r="Q55" s="2">
        <v>5</v>
      </c>
      <c r="R55" s="2">
        <v>5</v>
      </c>
      <c r="S55" s="2">
        <v>0</v>
      </c>
      <c r="T55" s="2"/>
    </row>
    <row r="56" spans="1:20" x14ac:dyDescent="0.3">
      <c r="A56" s="2" t="s">
        <v>16</v>
      </c>
      <c r="B56" s="2" t="s">
        <v>17</v>
      </c>
      <c r="C56" s="2" t="s">
        <v>144</v>
      </c>
      <c r="D56" s="2">
        <v>12</v>
      </c>
      <c r="E56" s="2" t="s">
        <v>144</v>
      </c>
      <c r="F56" s="2" t="s">
        <v>149</v>
      </c>
      <c r="G56" s="2"/>
      <c r="H56" s="2" t="s">
        <v>33</v>
      </c>
      <c r="I56" s="2" t="s">
        <v>34</v>
      </c>
      <c r="J56" s="2">
        <v>3</v>
      </c>
      <c r="K56" s="2" t="s">
        <v>81</v>
      </c>
      <c r="L56" s="2"/>
      <c r="M56" s="2"/>
      <c r="N56" s="2">
        <v>3</v>
      </c>
      <c r="O56" s="2">
        <v>0</v>
      </c>
      <c r="P56" s="2">
        <v>1</v>
      </c>
      <c r="Q56" s="2">
        <v>1</v>
      </c>
      <c r="R56" s="2">
        <v>1</v>
      </c>
      <c r="S56" s="2">
        <v>0</v>
      </c>
      <c r="T56" s="2"/>
    </row>
    <row r="57" spans="1:20" x14ac:dyDescent="0.3">
      <c r="A57" s="2" t="s">
        <v>16</v>
      </c>
      <c r="B57" s="2" t="s">
        <v>17</v>
      </c>
      <c r="C57" s="2" t="s">
        <v>150</v>
      </c>
      <c r="D57" s="2">
        <v>13</v>
      </c>
      <c r="E57" s="2" t="s">
        <v>151</v>
      </c>
      <c r="F57" s="2" t="s">
        <v>152</v>
      </c>
      <c r="G57" s="2"/>
      <c r="H57" s="2" t="s">
        <v>33</v>
      </c>
      <c r="I57" s="2" t="s">
        <v>34</v>
      </c>
      <c r="J57" s="2">
        <v>3</v>
      </c>
      <c r="K57" s="2" t="s">
        <v>81</v>
      </c>
      <c r="L57" s="2"/>
      <c r="M57" s="2"/>
      <c r="N57" s="2">
        <v>3</v>
      </c>
      <c r="O57" s="2">
        <v>0</v>
      </c>
      <c r="P57" s="2">
        <v>1</v>
      </c>
      <c r="Q57" s="2">
        <v>1</v>
      </c>
      <c r="R57" s="2">
        <v>1</v>
      </c>
      <c r="S57" s="2">
        <v>0</v>
      </c>
      <c r="T57" s="2"/>
    </row>
    <row r="58" spans="1:20" x14ac:dyDescent="0.3">
      <c r="A58" s="2" t="s">
        <v>16</v>
      </c>
      <c r="B58" s="2" t="s">
        <v>17</v>
      </c>
      <c r="C58" s="2" t="s">
        <v>150</v>
      </c>
      <c r="D58" s="2">
        <v>14</v>
      </c>
      <c r="E58" s="2" t="s">
        <v>151</v>
      </c>
      <c r="F58" s="2" t="s">
        <v>153</v>
      </c>
      <c r="G58" s="2"/>
      <c r="H58" s="2" t="s">
        <v>33</v>
      </c>
      <c r="I58" s="2" t="s">
        <v>34</v>
      </c>
      <c r="J58" s="2">
        <v>3</v>
      </c>
      <c r="K58" s="2" t="s">
        <v>81</v>
      </c>
      <c r="L58" s="2"/>
      <c r="M58" s="2"/>
      <c r="N58" s="2">
        <v>3</v>
      </c>
      <c r="O58" s="2">
        <v>0</v>
      </c>
      <c r="P58" s="2">
        <v>1</v>
      </c>
      <c r="Q58" s="2">
        <v>1</v>
      </c>
      <c r="R58" s="2">
        <v>1</v>
      </c>
      <c r="S58" s="2">
        <v>0</v>
      </c>
      <c r="T58" s="2"/>
    </row>
    <row r="59" spans="1:20" x14ac:dyDescent="0.3">
      <c r="A59" s="2" t="s">
        <v>16</v>
      </c>
      <c r="B59" s="2" t="s">
        <v>17</v>
      </c>
      <c r="C59" s="2" t="s">
        <v>150</v>
      </c>
      <c r="D59" s="2">
        <v>15</v>
      </c>
      <c r="E59" s="2" t="s">
        <v>151</v>
      </c>
      <c r="F59" s="2" t="s">
        <v>154</v>
      </c>
      <c r="G59" s="2"/>
      <c r="H59" s="2" t="s">
        <v>33</v>
      </c>
      <c r="I59" s="2" t="s">
        <v>34</v>
      </c>
      <c r="J59" s="2">
        <v>3</v>
      </c>
      <c r="K59" s="2" t="s">
        <v>81</v>
      </c>
      <c r="L59" s="2"/>
      <c r="M59" s="2"/>
      <c r="N59" s="2">
        <v>2</v>
      </c>
      <c r="O59" s="2">
        <v>0</v>
      </c>
      <c r="P59" s="2">
        <v>1</v>
      </c>
      <c r="Q59" s="2">
        <v>1</v>
      </c>
      <c r="R59" s="2">
        <v>0</v>
      </c>
      <c r="S59" s="2">
        <v>0</v>
      </c>
      <c r="T59" s="2" t="s">
        <v>155</v>
      </c>
    </row>
    <row r="60" spans="1:20" x14ac:dyDescent="0.3">
      <c r="A60" s="2" t="s">
        <v>16</v>
      </c>
      <c r="B60" s="2" t="s">
        <v>17</v>
      </c>
      <c r="C60" s="2" t="s">
        <v>156</v>
      </c>
      <c r="D60" s="2">
        <v>16</v>
      </c>
      <c r="E60" s="2" t="s">
        <v>157</v>
      </c>
      <c r="F60" s="2" t="s">
        <v>158</v>
      </c>
      <c r="G60" s="2"/>
      <c r="H60" s="2" t="s">
        <v>33</v>
      </c>
      <c r="I60" s="2" t="s">
        <v>34</v>
      </c>
      <c r="J60" s="2">
        <v>3</v>
      </c>
      <c r="K60" s="2" t="s">
        <v>81</v>
      </c>
      <c r="L60" s="2"/>
      <c r="M60" s="2"/>
      <c r="N60" s="2">
        <v>3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/>
    </row>
    <row r="61" spans="1:20" x14ac:dyDescent="0.3">
      <c r="A61" s="2" t="s">
        <v>16</v>
      </c>
      <c r="B61" s="2" t="s">
        <v>17</v>
      </c>
      <c r="C61" s="2" t="s">
        <v>156</v>
      </c>
      <c r="D61" s="2">
        <v>17</v>
      </c>
      <c r="E61" s="2" t="s">
        <v>157</v>
      </c>
      <c r="F61" s="2" t="s">
        <v>159</v>
      </c>
      <c r="G61" s="2">
        <v>6</v>
      </c>
      <c r="H61" s="2" t="s">
        <v>160</v>
      </c>
      <c r="I61" s="2" t="s">
        <v>161</v>
      </c>
      <c r="J61" s="2">
        <v>27</v>
      </c>
      <c r="K61" s="2" t="s">
        <v>77</v>
      </c>
      <c r="L61" s="2"/>
      <c r="M61" s="2"/>
      <c r="N61" s="2">
        <v>30</v>
      </c>
      <c r="O61" s="2">
        <v>0</v>
      </c>
      <c r="P61" s="2">
        <v>10</v>
      </c>
      <c r="Q61" s="2">
        <v>10</v>
      </c>
      <c r="R61" s="2">
        <v>10</v>
      </c>
      <c r="S61" s="2">
        <v>0</v>
      </c>
      <c r="T61" s="2" t="s">
        <v>85</v>
      </c>
    </row>
    <row r="62" spans="1:20" x14ac:dyDescent="0.3">
      <c r="A62" s="2" t="s">
        <v>16</v>
      </c>
      <c r="B62" s="2" t="s">
        <v>17</v>
      </c>
      <c r="C62" s="2" t="s">
        <v>156</v>
      </c>
      <c r="D62" s="2">
        <v>18</v>
      </c>
      <c r="E62" s="2" t="s">
        <v>157</v>
      </c>
      <c r="F62" s="2" t="s">
        <v>162</v>
      </c>
      <c r="G62" s="2"/>
      <c r="H62" s="2" t="s">
        <v>96</v>
      </c>
      <c r="I62" s="2" t="s">
        <v>97</v>
      </c>
      <c r="J62" s="2">
        <v>6</v>
      </c>
      <c r="K62" s="2" t="s">
        <v>81</v>
      </c>
      <c r="L62" s="2"/>
      <c r="M62" s="2"/>
      <c r="N62" s="2">
        <v>6</v>
      </c>
      <c r="O62" s="2">
        <v>0</v>
      </c>
      <c r="P62" s="2">
        <v>2</v>
      </c>
      <c r="Q62" s="2">
        <v>2</v>
      </c>
      <c r="R62" s="2">
        <v>2</v>
      </c>
      <c r="S62" s="2">
        <v>0</v>
      </c>
      <c r="T62" s="2"/>
    </row>
    <row r="63" spans="1:20" x14ac:dyDescent="0.3">
      <c r="A63" s="2" t="s">
        <v>16</v>
      </c>
      <c r="B63" s="2" t="s">
        <v>17</v>
      </c>
      <c r="C63" s="2" t="s">
        <v>189</v>
      </c>
      <c r="D63" s="2">
        <v>1</v>
      </c>
      <c r="E63" s="2" t="s">
        <v>190</v>
      </c>
      <c r="F63" s="2" t="s">
        <v>191</v>
      </c>
      <c r="G63" s="2"/>
      <c r="H63" s="2" t="s">
        <v>121</v>
      </c>
      <c r="I63" s="2" t="s">
        <v>34</v>
      </c>
      <c r="J63" s="2">
        <v>3</v>
      </c>
      <c r="K63" s="2" t="s">
        <v>81</v>
      </c>
      <c r="L63" s="2"/>
      <c r="M63" s="2"/>
      <c r="N63" s="2">
        <v>3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  <c r="T63" s="2"/>
    </row>
    <row r="64" spans="1:20" x14ac:dyDescent="0.3">
      <c r="A64" s="2" t="s">
        <v>16</v>
      </c>
      <c r="B64" s="2" t="s">
        <v>17</v>
      </c>
      <c r="C64" s="2" t="s">
        <v>189</v>
      </c>
      <c r="D64" s="2">
        <v>2</v>
      </c>
      <c r="E64" s="2" t="s">
        <v>190</v>
      </c>
      <c r="F64" s="2" t="s">
        <v>192</v>
      </c>
      <c r="G64" s="2"/>
      <c r="H64" s="2" t="s">
        <v>33</v>
      </c>
      <c r="I64" s="2" t="s">
        <v>34</v>
      </c>
      <c r="J64" s="2">
        <v>3</v>
      </c>
      <c r="K64" s="2" t="s">
        <v>81</v>
      </c>
      <c r="L64" s="2"/>
      <c r="M64" s="2"/>
      <c r="N64" s="2">
        <v>3</v>
      </c>
      <c r="O64" s="2">
        <v>0</v>
      </c>
      <c r="P64" s="2">
        <v>1</v>
      </c>
      <c r="Q64" s="2">
        <v>1</v>
      </c>
      <c r="R64" s="2">
        <v>1</v>
      </c>
      <c r="S64" s="2">
        <v>0</v>
      </c>
      <c r="T64" s="2"/>
    </row>
    <row r="65" spans="1:20" x14ac:dyDescent="0.3">
      <c r="A65" s="2" t="s">
        <v>16</v>
      </c>
      <c r="B65" s="2" t="s">
        <v>17</v>
      </c>
      <c r="C65" s="2" t="s">
        <v>189</v>
      </c>
      <c r="D65" s="2">
        <v>3</v>
      </c>
      <c r="E65" s="2" t="s">
        <v>190</v>
      </c>
      <c r="F65" s="2" t="s">
        <v>180</v>
      </c>
      <c r="G65" s="2">
        <v>5</v>
      </c>
      <c r="H65" s="2" t="s">
        <v>193</v>
      </c>
      <c r="I65" s="2" t="s">
        <v>194</v>
      </c>
      <c r="J65" s="2">
        <v>13</v>
      </c>
      <c r="K65" s="2" t="s">
        <v>77</v>
      </c>
      <c r="L65" s="2"/>
      <c r="M65" s="2"/>
      <c r="N65" s="2">
        <v>13</v>
      </c>
      <c r="O65" s="2">
        <v>0</v>
      </c>
      <c r="P65" s="2">
        <v>5</v>
      </c>
      <c r="Q65" s="2">
        <v>4</v>
      </c>
      <c r="R65" s="2">
        <v>4</v>
      </c>
      <c r="S65" s="2">
        <v>0</v>
      </c>
      <c r="T65" s="2"/>
    </row>
    <row r="66" spans="1:20" x14ac:dyDescent="0.3">
      <c r="A66" s="2" t="s">
        <v>16</v>
      </c>
      <c r="B66" s="2" t="s">
        <v>17</v>
      </c>
      <c r="C66" s="2" t="s">
        <v>189</v>
      </c>
      <c r="D66" s="2">
        <v>4</v>
      </c>
      <c r="E66" s="2" t="s">
        <v>190</v>
      </c>
      <c r="F66" s="2" t="s">
        <v>181</v>
      </c>
      <c r="G66" s="2">
        <v>5</v>
      </c>
      <c r="H66" s="2" t="s">
        <v>195</v>
      </c>
      <c r="I66" s="2" t="s">
        <v>196</v>
      </c>
      <c r="J66" s="2">
        <v>26</v>
      </c>
      <c r="K66" s="2" t="s">
        <v>77</v>
      </c>
      <c r="L66" s="2"/>
      <c r="M66" s="2"/>
      <c r="N66" s="2">
        <v>26</v>
      </c>
      <c r="O66" s="2">
        <v>0</v>
      </c>
      <c r="P66" s="2">
        <v>10</v>
      </c>
      <c r="Q66" s="2">
        <v>8</v>
      </c>
      <c r="R66" s="2">
        <v>8</v>
      </c>
      <c r="S66" s="2">
        <v>0</v>
      </c>
      <c r="T66" s="2" t="s">
        <v>197</v>
      </c>
    </row>
    <row r="67" spans="1:20" x14ac:dyDescent="0.3">
      <c r="A67" s="2" t="s">
        <v>16</v>
      </c>
      <c r="B67" s="2" t="s">
        <v>17</v>
      </c>
      <c r="C67" s="2" t="s">
        <v>189</v>
      </c>
      <c r="D67" s="2">
        <v>5</v>
      </c>
      <c r="E67" s="2" t="s">
        <v>190</v>
      </c>
      <c r="F67" s="2" t="s">
        <v>183</v>
      </c>
      <c r="G67" s="2">
        <v>5</v>
      </c>
      <c r="H67" s="2" t="s">
        <v>193</v>
      </c>
      <c r="I67" s="2" t="s">
        <v>194</v>
      </c>
      <c r="J67" s="2">
        <v>13</v>
      </c>
      <c r="K67" s="2" t="s">
        <v>77</v>
      </c>
      <c r="L67" s="2"/>
      <c r="M67" s="2"/>
      <c r="N67" s="2">
        <v>13</v>
      </c>
      <c r="O67" s="2">
        <v>0</v>
      </c>
      <c r="P67" s="2">
        <v>5</v>
      </c>
      <c r="Q67" s="2">
        <v>4</v>
      </c>
      <c r="R67" s="2">
        <v>4</v>
      </c>
      <c r="S67" s="2">
        <v>0</v>
      </c>
      <c r="T67" s="2"/>
    </row>
    <row r="68" spans="1:20" x14ac:dyDescent="0.3">
      <c r="A68" s="2" t="s">
        <v>16</v>
      </c>
      <c r="B68" s="2" t="s">
        <v>17</v>
      </c>
      <c r="C68" s="2" t="s">
        <v>189</v>
      </c>
      <c r="D68" s="2">
        <v>6</v>
      </c>
      <c r="E68" s="2" t="s">
        <v>190</v>
      </c>
      <c r="F68" s="2" t="s">
        <v>198</v>
      </c>
      <c r="G68" s="2"/>
      <c r="H68" s="2" t="s">
        <v>33</v>
      </c>
      <c r="I68" s="2" t="s">
        <v>34</v>
      </c>
      <c r="J68" s="2">
        <v>3</v>
      </c>
      <c r="K68" s="2" t="s">
        <v>81</v>
      </c>
      <c r="L68" s="2"/>
      <c r="M68" s="2"/>
      <c r="N68" s="2">
        <v>3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  <c r="T68" s="2"/>
    </row>
    <row r="69" spans="1:20" x14ac:dyDescent="0.3">
      <c r="A69" s="2" t="s">
        <v>16</v>
      </c>
      <c r="B69" s="2" t="s">
        <v>17</v>
      </c>
      <c r="C69" s="2" t="s">
        <v>189</v>
      </c>
      <c r="D69" s="2">
        <v>7</v>
      </c>
      <c r="E69" s="2" t="s">
        <v>190</v>
      </c>
      <c r="F69" s="2" t="s">
        <v>199</v>
      </c>
      <c r="G69" s="2"/>
      <c r="H69" s="2" t="s">
        <v>33</v>
      </c>
      <c r="I69" s="2" t="s">
        <v>34</v>
      </c>
      <c r="J69" s="2">
        <v>3</v>
      </c>
      <c r="K69" s="2" t="s">
        <v>81</v>
      </c>
      <c r="L69" s="2"/>
      <c r="M69" s="2"/>
      <c r="N69" s="2">
        <v>3</v>
      </c>
      <c r="O69" s="2">
        <v>0</v>
      </c>
      <c r="P69" s="2">
        <v>1</v>
      </c>
      <c r="Q69" s="2">
        <v>1</v>
      </c>
      <c r="R69" s="2">
        <v>1</v>
      </c>
      <c r="S69" s="2">
        <v>0</v>
      </c>
      <c r="T69" s="2"/>
    </row>
    <row r="70" spans="1:20" x14ac:dyDescent="0.3">
      <c r="A70" s="2" t="s">
        <v>16</v>
      </c>
      <c r="B70" s="2" t="s">
        <v>17</v>
      </c>
      <c r="C70" s="2" t="s">
        <v>189</v>
      </c>
      <c r="D70" s="2">
        <v>8</v>
      </c>
      <c r="E70" s="2" t="s">
        <v>190</v>
      </c>
      <c r="F70" s="2" t="s">
        <v>200</v>
      </c>
      <c r="G70" s="2">
        <v>2</v>
      </c>
      <c r="H70" s="2" t="s">
        <v>201</v>
      </c>
      <c r="I70" s="2" t="s">
        <v>97</v>
      </c>
      <c r="J70" s="2">
        <v>6</v>
      </c>
      <c r="K70" s="2" t="s">
        <v>77</v>
      </c>
      <c r="L70" s="2"/>
      <c r="M70" s="2"/>
      <c r="N70" s="2">
        <v>6</v>
      </c>
      <c r="O70" s="2">
        <v>0</v>
      </c>
      <c r="P70" s="2">
        <v>2</v>
      </c>
      <c r="Q70" s="2">
        <v>2</v>
      </c>
      <c r="R70" s="2">
        <v>2</v>
      </c>
      <c r="S70" s="2">
        <v>0</v>
      </c>
      <c r="T70" s="2"/>
    </row>
    <row r="71" spans="1:20" x14ac:dyDescent="0.3">
      <c r="A71" s="2" t="s">
        <v>16</v>
      </c>
      <c r="B71" s="2" t="s">
        <v>17</v>
      </c>
      <c r="C71" s="2" t="s">
        <v>189</v>
      </c>
      <c r="D71" s="2">
        <v>9</v>
      </c>
      <c r="E71" s="2" t="s">
        <v>190</v>
      </c>
      <c r="F71" s="2" t="s">
        <v>202</v>
      </c>
      <c r="G71" s="2"/>
      <c r="H71" s="2" t="s">
        <v>96</v>
      </c>
      <c r="I71" s="2" t="s">
        <v>97</v>
      </c>
      <c r="J71" s="2">
        <v>6</v>
      </c>
      <c r="K71" s="2" t="s">
        <v>81</v>
      </c>
      <c r="L71" s="2"/>
      <c r="M71" s="2"/>
      <c r="N71" s="2">
        <v>6</v>
      </c>
      <c r="O71" s="2">
        <v>0</v>
      </c>
      <c r="P71" s="2">
        <v>2</v>
      </c>
      <c r="Q71" s="2">
        <v>2</v>
      </c>
      <c r="R71" s="2">
        <v>2</v>
      </c>
      <c r="S71" s="2">
        <v>0</v>
      </c>
      <c r="T71" s="2"/>
    </row>
    <row r="72" spans="1:20" x14ac:dyDescent="0.3">
      <c r="A72" s="2" t="s">
        <v>16</v>
      </c>
      <c r="B72" s="2" t="s">
        <v>17</v>
      </c>
      <c r="C72" s="2" t="s">
        <v>189</v>
      </c>
      <c r="D72" s="2">
        <v>1</v>
      </c>
      <c r="E72" s="2" t="s">
        <v>190</v>
      </c>
      <c r="F72" s="2" t="s">
        <v>191</v>
      </c>
      <c r="G72" s="2"/>
      <c r="H72" s="2" t="s">
        <v>121</v>
      </c>
      <c r="I72" s="2" t="s">
        <v>34</v>
      </c>
      <c r="J72" s="2">
        <v>3</v>
      </c>
      <c r="K72" s="2" t="s">
        <v>81</v>
      </c>
      <c r="L72" s="2"/>
      <c r="M72" s="2"/>
      <c r="N72" s="2">
        <v>3</v>
      </c>
      <c r="O72" s="2">
        <v>0</v>
      </c>
      <c r="P72" s="2">
        <v>1</v>
      </c>
      <c r="Q72" s="2">
        <v>1</v>
      </c>
      <c r="R72" s="2">
        <v>1</v>
      </c>
      <c r="S72" s="2">
        <v>0</v>
      </c>
      <c r="T72" s="2"/>
    </row>
    <row r="73" spans="1:20" x14ac:dyDescent="0.3">
      <c r="A73" s="2" t="s">
        <v>16</v>
      </c>
      <c r="B73" s="2" t="s">
        <v>17</v>
      </c>
      <c r="C73" s="2" t="s">
        <v>189</v>
      </c>
      <c r="D73" s="2">
        <v>2</v>
      </c>
      <c r="E73" s="2" t="s">
        <v>190</v>
      </c>
      <c r="F73" s="2" t="s">
        <v>192</v>
      </c>
      <c r="G73" s="2"/>
      <c r="H73" s="2" t="s">
        <v>33</v>
      </c>
      <c r="I73" s="2" t="s">
        <v>34</v>
      </c>
      <c r="J73" s="2">
        <v>3</v>
      </c>
      <c r="K73" s="2" t="s">
        <v>81</v>
      </c>
      <c r="L73" s="2"/>
      <c r="M73" s="2"/>
      <c r="N73" s="2">
        <v>3</v>
      </c>
      <c r="O73" s="2">
        <v>0</v>
      </c>
      <c r="P73" s="2">
        <v>1</v>
      </c>
      <c r="Q73" s="2">
        <v>1</v>
      </c>
      <c r="R73" s="2">
        <v>1</v>
      </c>
      <c r="S73" s="2">
        <v>0</v>
      </c>
      <c r="T73" s="2"/>
    </row>
    <row r="74" spans="1:20" x14ac:dyDescent="0.3">
      <c r="A74" s="2" t="s">
        <v>16</v>
      </c>
      <c r="B74" s="2" t="s">
        <v>17</v>
      </c>
      <c r="C74" s="2" t="s">
        <v>189</v>
      </c>
      <c r="D74" s="2">
        <v>3</v>
      </c>
      <c r="E74" s="2" t="s">
        <v>190</v>
      </c>
      <c r="F74" s="2" t="s">
        <v>180</v>
      </c>
      <c r="G74" s="2">
        <v>5</v>
      </c>
      <c r="H74" s="2" t="s">
        <v>193</v>
      </c>
      <c r="I74" s="2" t="s">
        <v>194</v>
      </c>
      <c r="J74" s="2">
        <v>13</v>
      </c>
      <c r="K74" s="2" t="s">
        <v>77</v>
      </c>
      <c r="L74" s="2"/>
      <c r="M74" s="2"/>
      <c r="N74" s="2">
        <v>13</v>
      </c>
      <c r="O74" s="2">
        <v>0</v>
      </c>
      <c r="P74" s="18">
        <f>Stenter!G18</f>
        <v>5</v>
      </c>
      <c r="Q74" s="18">
        <f>Stenter!H18</f>
        <v>4</v>
      </c>
      <c r="R74" s="18">
        <f>Stenter!I18</f>
        <v>4</v>
      </c>
      <c r="S74" s="2">
        <v>0</v>
      </c>
      <c r="T74" s="2"/>
    </row>
    <row r="75" spans="1:20" x14ac:dyDescent="0.3">
      <c r="A75" s="2" t="s">
        <v>16</v>
      </c>
      <c r="B75" s="2" t="s">
        <v>17</v>
      </c>
      <c r="C75" s="2" t="s">
        <v>189</v>
      </c>
      <c r="D75" s="2">
        <v>4</v>
      </c>
      <c r="E75" s="2" t="s">
        <v>190</v>
      </c>
      <c r="F75" s="2" t="s">
        <v>181</v>
      </c>
      <c r="G75" s="2">
        <v>5</v>
      </c>
      <c r="H75" s="2" t="s">
        <v>195</v>
      </c>
      <c r="I75" s="2" t="s">
        <v>196</v>
      </c>
      <c r="J75" s="2">
        <v>26</v>
      </c>
      <c r="K75" s="2" t="s">
        <v>77</v>
      </c>
      <c r="L75" s="2"/>
      <c r="M75" s="2"/>
      <c r="N75" s="2">
        <v>26</v>
      </c>
      <c r="O75" s="2">
        <v>0</v>
      </c>
      <c r="P75" s="18">
        <f>Stenter!G19</f>
        <v>10</v>
      </c>
      <c r="Q75" s="18">
        <f>Stenter!H19</f>
        <v>8</v>
      </c>
      <c r="R75" s="18">
        <f>Stenter!I19</f>
        <v>8</v>
      </c>
      <c r="S75" s="2">
        <v>0</v>
      </c>
      <c r="T75" s="2" t="s">
        <v>197</v>
      </c>
    </row>
    <row r="76" spans="1:20" x14ac:dyDescent="0.3">
      <c r="A76" s="2" t="s">
        <v>16</v>
      </c>
      <c r="B76" s="2" t="s">
        <v>17</v>
      </c>
      <c r="C76" s="2" t="s">
        <v>189</v>
      </c>
      <c r="D76" s="2">
        <v>5</v>
      </c>
      <c r="E76" s="2" t="s">
        <v>190</v>
      </c>
      <c r="F76" s="2" t="s">
        <v>183</v>
      </c>
      <c r="G76" s="2">
        <v>5</v>
      </c>
      <c r="H76" s="2" t="s">
        <v>193</v>
      </c>
      <c r="I76" s="2" t="s">
        <v>194</v>
      </c>
      <c r="J76" s="2">
        <v>13</v>
      </c>
      <c r="K76" s="2" t="s">
        <v>77</v>
      </c>
      <c r="L76" s="2"/>
      <c r="M76" s="2"/>
      <c r="N76" s="2">
        <v>13</v>
      </c>
      <c r="O76" s="2">
        <v>0</v>
      </c>
      <c r="P76" s="18">
        <f>Stenter!G20</f>
        <v>5</v>
      </c>
      <c r="Q76" s="18">
        <f>Stenter!H20</f>
        <v>4</v>
      </c>
      <c r="R76" s="18">
        <f>Stenter!I20</f>
        <v>4</v>
      </c>
      <c r="S76" s="2">
        <v>0</v>
      </c>
      <c r="T76" s="2"/>
    </row>
    <row r="77" spans="1:20" x14ac:dyDescent="0.3">
      <c r="A77" s="2" t="s">
        <v>16</v>
      </c>
      <c r="B77" s="2" t="s">
        <v>17</v>
      </c>
      <c r="C77" s="2" t="s">
        <v>189</v>
      </c>
      <c r="D77" s="2">
        <v>6</v>
      </c>
      <c r="E77" s="2" t="s">
        <v>190</v>
      </c>
      <c r="F77" s="2" t="s">
        <v>198</v>
      </c>
      <c r="G77" s="2"/>
      <c r="H77" s="2" t="s">
        <v>33</v>
      </c>
      <c r="I77" s="2" t="s">
        <v>34</v>
      </c>
      <c r="J77" s="2">
        <v>3</v>
      </c>
      <c r="K77" s="2" t="s">
        <v>81</v>
      </c>
      <c r="L77" s="2"/>
      <c r="M77" s="2"/>
      <c r="N77" s="2">
        <v>3</v>
      </c>
      <c r="O77" s="2">
        <v>0</v>
      </c>
      <c r="P77" s="2">
        <v>1</v>
      </c>
      <c r="Q77" s="2">
        <v>1</v>
      </c>
      <c r="R77" s="2">
        <v>1</v>
      </c>
      <c r="S77" s="2">
        <v>0</v>
      </c>
      <c r="T77" s="2"/>
    </row>
    <row r="78" spans="1:20" x14ac:dyDescent="0.3">
      <c r="A78" s="2" t="s">
        <v>16</v>
      </c>
      <c r="B78" s="2" t="s">
        <v>17</v>
      </c>
      <c r="C78" s="2" t="s">
        <v>189</v>
      </c>
      <c r="D78" s="2">
        <v>7</v>
      </c>
      <c r="E78" s="2" t="s">
        <v>190</v>
      </c>
      <c r="F78" s="2" t="s">
        <v>199</v>
      </c>
      <c r="G78" s="2"/>
      <c r="H78" s="2" t="s">
        <v>33</v>
      </c>
      <c r="I78" s="2" t="s">
        <v>34</v>
      </c>
      <c r="J78" s="2">
        <v>3</v>
      </c>
      <c r="K78" s="2" t="s">
        <v>81</v>
      </c>
      <c r="L78" s="2"/>
      <c r="M78" s="2"/>
      <c r="N78" s="2">
        <v>3</v>
      </c>
      <c r="O78" s="2">
        <v>0</v>
      </c>
      <c r="P78" s="2">
        <v>1</v>
      </c>
      <c r="Q78" s="2">
        <v>1</v>
      </c>
      <c r="R78" s="2">
        <v>1</v>
      </c>
      <c r="S78" s="2">
        <v>0</v>
      </c>
      <c r="T78" s="2"/>
    </row>
    <row r="79" spans="1:20" x14ac:dyDescent="0.3">
      <c r="A79" s="2" t="s">
        <v>16</v>
      </c>
      <c r="B79" s="2" t="s">
        <v>17</v>
      </c>
      <c r="C79" s="2" t="s">
        <v>189</v>
      </c>
      <c r="D79" s="2">
        <v>8</v>
      </c>
      <c r="E79" s="2" t="s">
        <v>190</v>
      </c>
      <c r="F79" s="2" t="s">
        <v>200</v>
      </c>
      <c r="G79" s="2">
        <v>2</v>
      </c>
      <c r="H79" s="2" t="s">
        <v>201</v>
      </c>
      <c r="I79" s="2" t="s">
        <v>97</v>
      </c>
      <c r="J79" s="2">
        <v>6</v>
      </c>
      <c r="K79" s="2" t="s">
        <v>77</v>
      </c>
      <c r="L79" s="2"/>
      <c r="M79" s="2"/>
      <c r="N79" s="2">
        <v>6</v>
      </c>
      <c r="O79" s="2">
        <v>0</v>
      </c>
      <c r="P79" s="2">
        <v>2</v>
      </c>
      <c r="Q79" s="2">
        <v>2</v>
      </c>
      <c r="R79" s="2">
        <v>2</v>
      </c>
      <c r="S79" s="2">
        <v>0</v>
      </c>
      <c r="T79" s="2"/>
    </row>
    <row r="80" spans="1:20" x14ac:dyDescent="0.3">
      <c r="A80" s="2" t="s">
        <v>16</v>
      </c>
      <c r="B80" s="2" t="s">
        <v>17</v>
      </c>
      <c r="C80" s="2" t="s">
        <v>189</v>
      </c>
      <c r="D80" s="2">
        <v>9</v>
      </c>
      <c r="E80" s="2" t="s">
        <v>190</v>
      </c>
      <c r="F80" s="2" t="s">
        <v>202</v>
      </c>
      <c r="G80" s="2"/>
      <c r="H80" s="2" t="s">
        <v>96</v>
      </c>
      <c r="I80" s="2" t="s">
        <v>97</v>
      </c>
      <c r="J80" s="2">
        <v>6</v>
      </c>
      <c r="K80" s="2" t="s">
        <v>81</v>
      </c>
      <c r="L80" s="2"/>
      <c r="M80" s="2"/>
      <c r="N80" s="2">
        <v>6</v>
      </c>
      <c r="O80" s="2">
        <v>0</v>
      </c>
      <c r="P80" s="2">
        <v>2</v>
      </c>
      <c r="Q80" s="2">
        <v>2</v>
      </c>
      <c r="R80" s="2">
        <v>2</v>
      </c>
      <c r="S80" s="2">
        <v>0</v>
      </c>
      <c r="T80" s="2"/>
    </row>
    <row r="81" spans="1:20" x14ac:dyDescent="0.3">
      <c r="A81" s="2" t="s">
        <v>16</v>
      </c>
      <c r="B81" s="2" t="s">
        <v>17</v>
      </c>
      <c r="C81" s="2" t="s">
        <v>203</v>
      </c>
      <c r="D81" s="2">
        <v>1</v>
      </c>
      <c r="E81" s="2" t="s">
        <v>204</v>
      </c>
      <c r="F81" s="2" t="s">
        <v>205</v>
      </c>
      <c r="G81" s="2"/>
      <c r="H81" s="2" t="s">
        <v>206</v>
      </c>
      <c r="I81" s="2" t="s">
        <v>22</v>
      </c>
      <c r="J81" s="2">
        <v>12</v>
      </c>
      <c r="K81" s="2" t="s">
        <v>81</v>
      </c>
      <c r="L81" s="2"/>
      <c r="M81" s="2"/>
      <c r="N81" s="2">
        <v>12</v>
      </c>
      <c r="O81" s="2">
        <v>0</v>
      </c>
      <c r="P81" s="2">
        <v>4</v>
      </c>
      <c r="Q81" s="2">
        <v>4</v>
      </c>
      <c r="R81" s="2">
        <v>4</v>
      </c>
      <c r="S81" s="2">
        <v>0</v>
      </c>
      <c r="T81" s="2"/>
    </row>
    <row r="82" spans="1:20" x14ac:dyDescent="0.3">
      <c r="A82" s="2" t="s">
        <v>16</v>
      </c>
      <c r="B82" s="2" t="s">
        <v>17</v>
      </c>
      <c r="C82" s="2" t="s">
        <v>203</v>
      </c>
      <c r="D82" s="2">
        <v>2</v>
      </c>
      <c r="E82" s="2" t="s">
        <v>204</v>
      </c>
      <c r="F82" s="2" t="s">
        <v>207</v>
      </c>
      <c r="G82" s="2"/>
      <c r="H82" s="2" t="s">
        <v>33</v>
      </c>
      <c r="I82" s="2" t="s">
        <v>34</v>
      </c>
      <c r="J82" s="2">
        <v>3</v>
      </c>
      <c r="K82" s="2" t="s">
        <v>81</v>
      </c>
      <c r="L82" s="2"/>
      <c r="M82" s="2"/>
      <c r="N82" s="2">
        <v>3</v>
      </c>
      <c r="O82" s="2">
        <v>0</v>
      </c>
      <c r="P82" s="2">
        <v>1</v>
      </c>
      <c r="Q82" s="2">
        <v>1</v>
      </c>
      <c r="R82" s="2">
        <v>1</v>
      </c>
      <c r="S82" s="2">
        <v>0</v>
      </c>
      <c r="T82" s="2"/>
    </row>
    <row r="83" spans="1:20" x14ac:dyDescent="0.3">
      <c r="A83" s="2" t="s">
        <v>16</v>
      </c>
      <c r="B83" s="2" t="s">
        <v>17</v>
      </c>
      <c r="C83" s="2" t="s">
        <v>203</v>
      </c>
      <c r="D83" s="2">
        <v>3</v>
      </c>
      <c r="E83" s="2" t="s">
        <v>204</v>
      </c>
      <c r="F83" s="2" t="s">
        <v>208</v>
      </c>
      <c r="G83" s="2"/>
      <c r="H83" s="2" t="s">
        <v>209</v>
      </c>
      <c r="I83" s="2" t="s">
        <v>210</v>
      </c>
      <c r="J83" s="2">
        <v>18</v>
      </c>
      <c r="K83" s="2" t="s">
        <v>81</v>
      </c>
      <c r="L83" s="2"/>
      <c r="M83" s="2"/>
      <c r="N83" s="2">
        <v>18</v>
      </c>
      <c r="O83" s="2">
        <v>0</v>
      </c>
      <c r="P83" s="2">
        <v>6</v>
      </c>
      <c r="Q83" s="2">
        <v>6</v>
      </c>
      <c r="R83" s="2">
        <v>6</v>
      </c>
      <c r="S83" s="2">
        <v>0</v>
      </c>
      <c r="T83" s="2"/>
    </row>
    <row r="84" spans="1:20" x14ac:dyDescent="0.3">
      <c r="A84" s="2" t="s">
        <v>16</v>
      </c>
      <c r="B84" s="2" t="s">
        <v>17</v>
      </c>
      <c r="C84" s="2" t="s">
        <v>211</v>
      </c>
      <c r="D84" s="2">
        <v>1</v>
      </c>
      <c r="E84" s="2" t="s">
        <v>211</v>
      </c>
      <c r="F84" s="2" t="s">
        <v>212</v>
      </c>
      <c r="G84" s="2"/>
      <c r="H84" s="2" t="s">
        <v>105</v>
      </c>
      <c r="I84" s="2" t="s">
        <v>213</v>
      </c>
      <c r="J84" s="2">
        <v>2</v>
      </c>
      <c r="K84" s="2" t="s">
        <v>81</v>
      </c>
      <c r="L84" s="2"/>
      <c r="M84" s="2"/>
      <c r="N84" s="2">
        <v>2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</row>
    <row r="85" spans="1:20" x14ac:dyDescent="0.3">
      <c r="A85" s="2" t="s">
        <v>16</v>
      </c>
      <c r="B85" s="2" t="s">
        <v>17</v>
      </c>
      <c r="C85" s="2" t="s">
        <v>211</v>
      </c>
      <c r="D85" s="2">
        <v>2</v>
      </c>
      <c r="E85" s="2" t="s">
        <v>211</v>
      </c>
      <c r="F85" s="2" t="s">
        <v>214</v>
      </c>
      <c r="G85" s="2"/>
      <c r="H85" s="2" t="s">
        <v>121</v>
      </c>
      <c r="I85" s="2" t="s">
        <v>34</v>
      </c>
      <c r="J85" s="2">
        <v>3</v>
      </c>
      <c r="K85" s="2" t="s">
        <v>81</v>
      </c>
      <c r="L85" s="2"/>
      <c r="M85" s="2"/>
      <c r="N85" s="2">
        <v>3</v>
      </c>
      <c r="O85" s="2">
        <v>0</v>
      </c>
      <c r="P85" s="2">
        <v>1</v>
      </c>
      <c r="Q85" s="2">
        <v>1</v>
      </c>
      <c r="R85" s="2">
        <v>1</v>
      </c>
      <c r="S85" s="2">
        <v>0</v>
      </c>
    </row>
    <row r="86" spans="1:20" x14ac:dyDescent="0.3">
      <c r="A86" s="2" t="s">
        <v>16</v>
      </c>
      <c r="B86" s="2" t="s">
        <v>17</v>
      </c>
      <c r="C86" s="2" t="s">
        <v>211</v>
      </c>
      <c r="D86" s="2">
        <v>3</v>
      </c>
      <c r="E86" s="2" t="s">
        <v>211</v>
      </c>
      <c r="F86" s="2" t="s">
        <v>215</v>
      </c>
      <c r="G86" s="2"/>
      <c r="H86" s="2" t="s">
        <v>216</v>
      </c>
      <c r="I86" s="2" t="s">
        <v>97</v>
      </c>
      <c r="J86" s="2">
        <v>6</v>
      </c>
      <c r="K86" s="2" t="s">
        <v>81</v>
      </c>
      <c r="L86" s="2"/>
      <c r="M86" s="2"/>
      <c r="N86" s="2">
        <v>6</v>
      </c>
      <c r="O86" s="2">
        <v>0</v>
      </c>
      <c r="P86" s="2">
        <v>2</v>
      </c>
      <c r="Q86" s="2">
        <v>2</v>
      </c>
      <c r="R86" s="2">
        <v>2</v>
      </c>
      <c r="S86" s="2">
        <v>0</v>
      </c>
    </row>
    <row r="87" spans="1:20" x14ac:dyDescent="0.3">
      <c r="A87" s="2" t="s">
        <v>16</v>
      </c>
      <c r="B87" s="2" t="s">
        <v>17</v>
      </c>
      <c r="C87" s="2" t="s">
        <v>211</v>
      </c>
      <c r="D87" s="2">
        <v>4</v>
      </c>
      <c r="E87" s="2" t="s">
        <v>211</v>
      </c>
      <c r="F87" s="2" t="s">
        <v>217</v>
      </c>
      <c r="G87" s="2"/>
      <c r="H87" s="2" t="s">
        <v>218</v>
      </c>
      <c r="I87" s="2" t="s">
        <v>43</v>
      </c>
      <c r="J87" s="2">
        <v>9</v>
      </c>
      <c r="K87" s="2" t="s">
        <v>81</v>
      </c>
      <c r="L87" s="2"/>
      <c r="M87" s="2"/>
      <c r="N87" s="2">
        <v>9</v>
      </c>
      <c r="O87" s="2">
        <v>0</v>
      </c>
      <c r="P87" s="2">
        <v>3</v>
      </c>
      <c r="Q87" s="2">
        <v>3</v>
      </c>
      <c r="R87" s="2">
        <v>3</v>
      </c>
      <c r="S87" s="2">
        <v>0</v>
      </c>
    </row>
    <row r="88" spans="1:20" x14ac:dyDescent="0.3">
      <c r="A88" s="2" t="s">
        <v>16</v>
      </c>
      <c r="B88" s="2" t="s">
        <v>17</v>
      </c>
      <c r="C88" s="2" t="s">
        <v>211</v>
      </c>
      <c r="D88" s="2">
        <v>5</v>
      </c>
      <c r="E88" s="2" t="s">
        <v>211</v>
      </c>
      <c r="F88" s="2" t="s">
        <v>219</v>
      </c>
      <c r="G88" s="2">
        <v>24</v>
      </c>
      <c r="H88" s="2" t="s">
        <v>29</v>
      </c>
      <c r="I88" s="2" t="s">
        <v>220</v>
      </c>
      <c r="J88" s="2">
        <v>72</v>
      </c>
      <c r="K88" s="2" t="s">
        <v>77</v>
      </c>
      <c r="L88" s="2"/>
      <c r="M88" s="2"/>
      <c r="N88" s="2">
        <v>72</v>
      </c>
      <c r="O88" s="2">
        <v>0</v>
      </c>
      <c r="P88" s="2">
        <v>24</v>
      </c>
      <c r="Q88" s="2">
        <v>24</v>
      </c>
      <c r="R88" s="2">
        <v>24</v>
      </c>
      <c r="S88" s="2">
        <v>0</v>
      </c>
    </row>
    <row r="89" spans="1:20" x14ac:dyDescent="0.3">
      <c r="A89" s="2" t="s">
        <v>16</v>
      </c>
      <c r="B89" s="2" t="s">
        <v>17</v>
      </c>
      <c r="C89" s="2" t="s">
        <v>221</v>
      </c>
      <c r="D89" s="2">
        <v>6</v>
      </c>
      <c r="E89" s="2" t="s">
        <v>222</v>
      </c>
      <c r="F89" s="2" t="s">
        <v>223</v>
      </c>
      <c r="G89" s="2"/>
      <c r="H89" s="2" t="s">
        <v>33</v>
      </c>
      <c r="I89" s="2" t="s">
        <v>34</v>
      </c>
      <c r="J89" s="2">
        <v>3</v>
      </c>
      <c r="K89" s="2" t="s">
        <v>81</v>
      </c>
      <c r="L89" s="2"/>
      <c r="M89" s="2"/>
      <c r="N89" s="2">
        <v>3</v>
      </c>
      <c r="O89" s="2">
        <v>0</v>
      </c>
      <c r="P89" s="2">
        <v>1</v>
      </c>
      <c r="Q89" s="2">
        <v>1</v>
      </c>
      <c r="R89" s="2">
        <v>1</v>
      </c>
      <c r="S89" s="2">
        <v>0</v>
      </c>
    </row>
    <row r="90" spans="1:20" x14ac:dyDescent="0.3">
      <c r="A90" s="2" t="s">
        <v>16</v>
      </c>
      <c r="B90" s="2" t="s">
        <v>17</v>
      </c>
      <c r="C90" s="2" t="s">
        <v>221</v>
      </c>
      <c r="D90" s="2">
        <v>7</v>
      </c>
      <c r="E90" s="2" t="s">
        <v>222</v>
      </c>
      <c r="F90" s="2" t="s">
        <v>224</v>
      </c>
      <c r="G90" s="2"/>
      <c r="H90" s="2" t="s">
        <v>33</v>
      </c>
      <c r="I90" s="2" t="s">
        <v>53</v>
      </c>
      <c r="J90" s="2">
        <v>1</v>
      </c>
      <c r="K90" s="2" t="s">
        <v>81</v>
      </c>
      <c r="L90" s="2"/>
      <c r="M90" s="2"/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</row>
    <row r="91" spans="1:20" x14ac:dyDescent="0.3">
      <c r="A91" s="2" t="s">
        <v>16</v>
      </c>
      <c r="B91" s="2" t="s">
        <v>17</v>
      </c>
      <c r="C91" s="2" t="s">
        <v>221</v>
      </c>
      <c r="D91" s="2">
        <v>8</v>
      </c>
      <c r="E91" s="2" t="s">
        <v>222</v>
      </c>
      <c r="F91" s="2" t="s">
        <v>225</v>
      </c>
      <c r="G91" s="2"/>
      <c r="H91" s="2" t="s">
        <v>226</v>
      </c>
      <c r="I91" s="2" t="s">
        <v>97</v>
      </c>
      <c r="J91" s="2">
        <v>6</v>
      </c>
      <c r="K91" s="2" t="s">
        <v>81</v>
      </c>
      <c r="L91" s="2"/>
      <c r="M91" s="2"/>
      <c r="N91" s="2">
        <v>6</v>
      </c>
      <c r="O91" s="2">
        <v>0</v>
      </c>
      <c r="P91" s="2">
        <v>2</v>
      </c>
      <c r="Q91" s="2">
        <v>2</v>
      </c>
      <c r="R91" s="2">
        <v>2</v>
      </c>
      <c r="S91" s="2">
        <v>0</v>
      </c>
    </row>
    <row r="92" spans="1:20" x14ac:dyDescent="0.3">
      <c r="A92" s="2" t="s">
        <v>16</v>
      </c>
      <c r="B92" s="2" t="s">
        <v>17</v>
      </c>
      <c r="C92" s="2" t="s">
        <v>221</v>
      </c>
      <c r="D92" s="2">
        <v>9</v>
      </c>
      <c r="E92" s="2" t="s">
        <v>227</v>
      </c>
      <c r="F92" s="2" t="s">
        <v>228</v>
      </c>
      <c r="G92" s="2">
        <v>3</v>
      </c>
      <c r="H92" s="2" t="s">
        <v>29</v>
      </c>
      <c r="I92" s="2" t="s">
        <v>43</v>
      </c>
      <c r="J92" s="2">
        <v>9</v>
      </c>
      <c r="K92" s="2" t="s">
        <v>77</v>
      </c>
      <c r="L92" s="2"/>
      <c r="M92" s="2"/>
      <c r="N92" s="2">
        <v>9</v>
      </c>
      <c r="O92" s="2">
        <v>0</v>
      </c>
      <c r="P92" s="2">
        <v>3</v>
      </c>
      <c r="Q92" s="2">
        <v>3</v>
      </c>
      <c r="R92" s="2">
        <v>3</v>
      </c>
      <c r="S92" s="2">
        <v>0</v>
      </c>
    </row>
    <row r="93" spans="1:20" x14ac:dyDescent="0.3">
      <c r="A93" s="2" t="s">
        <v>16</v>
      </c>
      <c r="B93" s="2" t="s">
        <v>17</v>
      </c>
      <c r="C93" s="2" t="s">
        <v>221</v>
      </c>
      <c r="D93" s="2">
        <v>10</v>
      </c>
      <c r="E93" s="2" t="s">
        <v>227</v>
      </c>
      <c r="F93" s="2" t="s">
        <v>229</v>
      </c>
      <c r="G93" s="2"/>
      <c r="H93" s="2" t="s">
        <v>206</v>
      </c>
      <c r="I93" s="2" t="s">
        <v>22</v>
      </c>
      <c r="J93" s="2">
        <v>12</v>
      </c>
      <c r="K93" s="2" t="s">
        <v>81</v>
      </c>
      <c r="L93" s="2"/>
      <c r="M93" s="2"/>
      <c r="N93" s="2">
        <v>12</v>
      </c>
      <c r="O93" s="2">
        <v>0</v>
      </c>
      <c r="P93" s="2">
        <v>4</v>
      </c>
      <c r="Q93" s="2">
        <v>4</v>
      </c>
      <c r="R93" s="2">
        <v>4</v>
      </c>
      <c r="S93" s="2">
        <v>0</v>
      </c>
    </row>
    <row r="94" spans="1:20" x14ac:dyDescent="0.3">
      <c r="A94" s="2" t="s">
        <v>16</v>
      </c>
      <c r="B94" s="2" t="s">
        <v>17</v>
      </c>
      <c r="C94" s="2" t="s">
        <v>221</v>
      </c>
      <c r="D94" s="2">
        <v>11</v>
      </c>
      <c r="E94" s="2" t="s">
        <v>221</v>
      </c>
      <c r="F94" s="2" t="s">
        <v>230</v>
      </c>
      <c r="G94" s="2">
        <v>15</v>
      </c>
      <c r="H94" s="2" t="s">
        <v>231</v>
      </c>
      <c r="I94" s="2" t="s">
        <v>232</v>
      </c>
      <c r="J94" s="2">
        <v>15</v>
      </c>
      <c r="K94" s="2" t="s">
        <v>77</v>
      </c>
      <c r="L94" s="2"/>
      <c r="M94" s="2"/>
      <c r="N94" s="2">
        <v>15</v>
      </c>
      <c r="O94" s="2">
        <v>0</v>
      </c>
      <c r="P94" s="2">
        <v>5</v>
      </c>
      <c r="Q94" s="2">
        <v>5</v>
      </c>
      <c r="R94" s="2">
        <v>5</v>
      </c>
      <c r="S94" s="2">
        <v>0</v>
      </c>
    </row>
    <row r="95" spans="1:20" x14ac:dyDescent="0.3">
      <c r="A95" s="2" t="s">
        <v>16</v>
      </c>
      <c r="B95" s="2" t="s">
        <v>17</v>
      </c>
      <c r="C95" s="2" t="s">
        <v>221</v>
      </c>
      <c r="D95" s="2">
        <v>12</v>
      </c>
      <c r="E95" s="2" t="s">
        <v>221</v>
      </c>
      <c r="F95" s="2" t="s">
        <v>233</v>
      </c>
      <c r="G95" s="2"/>
      <c r="H95" s="2" t="s">
        <v>96</v>
      </c>
      <c r="I95" s="2" t="s">
        <v>97</v>
      </c>
      <c r="J95" s="2">
        <v>6</v>
      </c>
      <c r="K95" s="2" t="s">
        <v>81</v>
      </c>
      <c r="L95" s="2"/>
      <c r="M95" s="2"/>
      <c r="N95" s="2">
        <v>6</v>
      </c>
      <c r="O95" s="2">
        <v>0</v>
      </c>
      <c r="P95" s="2">
        <v>2</v>
      </c>
      <c r="Q95" s="2">
        <v>2</v>
      </c>
      <c r="R95" s="2">
        <v>2</v>
      </c>
      <c r="S95" s="2">
        <v>0</v>
      </c>
    </row>
    <row r="96" spans="1:20" x14ac:dyDescent="0.3">
      <c r="A96" s="2" t="s">
        <v>16</v>
      </c>
      <c r="B96" s="2" t="s">
        <v>17</v>
      </c>
      <c r="C96" s="2" t="s">
        <v>221</v>
      </c>
      <c r="D96" s="2">
        <v>13</v>
      </c>
      <c r="E96" s="2" t="s">
        <v>221</v>
      </c>
      <c r="F96" s="2" t="s">
        <v>208</v>
      </c>
      <c r="G96" s="2"/>
      <c r="H96" s="2" t="s">
        <v>206</v>
      </c>
      <c r="I96" s="2" t="s">
        <v>22</v>
      </c>
      <c r="J96" s="2">
        <v>12</v>
      </c>
      <c r="K96" s="2" t="s">
        <v>81</v>
      </c>
      <c r="L96" s="2"/>
      <c r="M96" s="2"/>
      <c r="N96" s="2">
        <v>12</v>
      </c>
      <c r="O96" s="2">
        <v>0</v>
      </c>
      <c r="P96" s="2">
        <v>4</v>
      </c>
      <c r="Q96" s="2">
        <v>4</v>
      </c>
      <c r="R96" s="2">
        <v>4</v>
      </c>
      <c r="S96" s="2">
        <v>0</v>
      </c>
    </row>
    <row r="97" spans="1:20" x14ac:dyDescent="0.3">
      <c r="A97" s="2" t="s">
        <v>16</v>
      </c>
      <c r="B97" s="2" t="s">
        <v>17</v>
      </c>
      <c r="C97" s="2" t="s">
        <v>221</v>
      </c>
      <c r="D97" s="2">
        <v>14</v>
      </c>
      <c r="E97" s="2"/>
      <c r="F97" s="2" t="s">
        <v>234</v>
      </c>
      <c r="G97" s="2"/>
      <c r="H97" s="2" t="s">
        <v>33</v>
      </c>
      <c r="I97" s="2" t="s">
        <v>34</v>
      </c>
      <c r="J97" s="2">
        <v>3</v>
      </c>
      <c r="K97" s="2" t="s">
        <v>81</v>
      </c>
      <c r="L97" s="2"/>
      <c r="M97" s="2"/>
      <c r="N97" s="2">
        <v>3</v>
      </c>
      <c r="O97" s="2">
        <v>0</v>
      </c>
      <c r="P97" s="2">
        <v>1</v>
      </c>
      <c r="Q97" s="2">
        <v>1</v>
      </c>
      <c r="R97" s="2">
        <v>1</v>
      </c>
      <c r="S97" s="2">
        <v>0</v>
      </c>
    </row>
    <row r="98" spans="1:20" x14ac:dyDescent="0.3">
      <c r="A98" t="s">
        <v>16</v>
      </c>
      <c r="B98" t="s">
        <v>17</v>
      </c>
      <c r="C98" t="s">
        <v>235</v>
      </c>
      <c r="D98">
        <v>1</v>
      </c>
      <c r="E98" t="s">
        <v>235</v>
      </c>
      <c r="F98" t="s">
        <v>236</v>
      </c>
      <c r="G98" t="s">
        <v>237</v>
      </c>
      <c r="H98" t="s">
        <v>33</v>
      </c>
      <c r="I98" t="s">
        <v>34</v>
      </c>
      <c r="J98">
        <v>3</v>
      </c>
      <c r="K98" t="s">
        <v>237</v>
      </c>
      <c r="L98" t="s">
        <v>237</v>
      </c>
      <c r="M98" t="s">
        <v>237</v>
      </c>
      <c r="N98">
        <v>3</v>
      </c>
      <c r="O98">
        <v>0</v>
      </c>
      <c r="P98">
        <v>1</v>
      </c>
      <c r="Q98">
        <v>1</v>
      </c>
      <c r="R98">
        <v>1</v>
      </c>
      <c r="S98">
        <v>0</v>
      </c>
      <c r="T98" t="s">
        <v>237</v>
      </c>
    </row>
    <row r="99" spans="1:20" x14ac:dyDescent="0.3">
      <c r="A99" t="s">
        <v>16</v>
      </c>
      <c r="B99" t="s">
        <v>17</v>
      </c>
      <c r="C99" t="s">
        <v>235</v>
      </c>
      <c r="D99">
        <v>2</v>
      </c>
      <c r="E99" t="s">
        <v>235</v>
      </c>
      <c r="F99" t="s">
        <v>238</v>
      </c>
      <c r="G99" t="s">
        <v>237</v>
      </c>
      <c r="H99" t="s">
        <v>33</v>
      </c>
      <c r="I99" t="s">
        <v>34</v>
      </c>
      <c r="J99">
        <v>3</v>
      </c>
      <c r="K99" t="s">
        <v>237</v>
      </c>
      <c r="L99" t="s">
        <v>237</v>
      </c>
      <c r="M99" t="s">
        <v>237</v>
      </c>
      <c r="N99">
        <v>3</v>
      </c>
      <c r="O99">
        <v>0</v>
      </c>
      <c r="P99">
        <v>1</v>
      </c>
      <c r="Q99">
        <v>1</v>
      </c>
      <c r="R99">
        <v>1</v>
      </c>
      <c r="S99">
        <v>0</v>
      </c>
      <c r="T99" t="s">
        <v>237</v>
      </c>
    </row>
    <row r="100" spans="1:20" x14ac:dyDescent="0.3">
      <c r="A100" t="s">
        <v>16</v>
      </c>
      <c r="B100" t="s">
        <v>17</v>
      </c>
      <c r="C100" t="s">
        <v>235</v>
      </c>
      <c r="D100">
        <v>3</v>
      </c>
      <c r="E100" t="s">
        <v>235</v>
      </c>
      <c r="F100" t="s">
        <v>239</v>
      </c>
      <c r="G100">
        <v>4</v>
      </c>
      <c r="H100" t="s">
        <v>29</v>
      </c>
      <c r="I100" t="s">
        <v>22</v>
      </c>
      <c r="J100">
        <v>12</v>
      </c>
      <c r="K100" t="s">
        <v>237</v>
      </c>
      <c r="L100" t="s">
        <v>237</v>
      </c>
      <c r="M100" t="s">
        <v>237</v>
      </c>
      <c r="N100">
        <v>12</v>
      </c>
      <c r="O100">
        <v>0</v>
      </c>
      <c r="P100">
        <v>4</v>
      </c>
      <c r="Q100">
        <v>4</v>
      </c>
      <c r="R100">
        <v>4</v>
      </c>
      <c r="S100">
        <v>0</v>
      </c>
      <c r="T100" t="s">
        <v>240</v>
      </c>
    </row>
    <row r="101" spans="1:20" x14ac:dyDescent="0.3">
      <c r="A101" t="s">
        <v>16</v>
      </c>
      <c r="B101" t="s">
        <v>17</v>
      </c>
      <c r="C101" t="s">
        <v>235</v>
      </c>
      <c r="D101">
        <v>4</v>
      </c>
      <c r="E101" t="s">
        <v>235</v>
      </c>
      <c r="F101" t="s">
        <v>241</v>
      </c>
      <c r="G101">
        <v>4</v>
      </c>
      <c r="H101" t="s">
        <v>29</v>
      </c>
      <c r="I101" t="s">
        <v>22</v>
      </c>
      <c r="J101">
        <v>12</v>
      </c>
      <c r="K101" t="s">
        <v>237</v>
      </c>
      <c r="L101" t="s">
        <v>237</v>
      </c>
      <c r="M101" t="s">
        <v>237</v>
      </c>
      <c r="N101">
        <v>12</v>
      </c>
      <c r="O101">
        <v>0</v>
      </c>
      <c r="P101">
        <v>4</v>
      </c>
      <c r="Q101">
        <v>4</v>
      </c>
      <c r="R101">
        <v>4</v>
      </c>
      <c r="S101">
        <v>0</v>
      </c>
      <c r="T101" t="s">
        <v>240</v>
      </c>
    </row>
    <row r="102" spans="1:20" x14ac:dyDescent="0.3">
      <c r="A102" t="s">
        <v>16</v>
      </c>
      <c r="B102" t="s">
        <v>17</v>
      </c>
      <c r="C102" t="s">
        <v>235</v>
      </c>
      <c r="D102">
        <v>5</v>
      </c>
      <c r="E102" t="s">
        <v>235</v>
      </c>
      <c r="F102" t="s">
        <v>242</v>
      </c>
      <c r="G102" t="s">
        <v>237</v>
      </c>
      <c r="H102" t="s">
        <v>96</v>
      </c>
      <c r="I102" t="s">
        <v>97</v>
      </c>
      <c r="J102">
        <v>6</v>
      </c>
      <c r="K102" t="s">
        <v>237</v>
      </c>
      <c r="L102" t="s">
        <v>237</v>
      </c>
      <c r="M102" t="s">
        <v>237</v>
      </c>
      <c r="N102">
        <v>6</v>
      </c>
      <c r="O102">
        <v>0</v>
      </c>
      <c r="P102">
        <v>2</v>
      </c>
      <c r="Q102">
        <v>2</v>
      </c>
      <c r="R102">
        <v>2</v>
      </c>
      <c r="S102">
        <v>0</v>
      </c>
      <c r="T102" t="s">
        <v>237</v>
      </c>
    </row>
    <row r="103" spans="1:20" x14ac:dyDescent="0.3">
      <c r="A103" t="s">
        <v>16</v>
      </c>
      <c r="B103" t="s">
        <v>17</v>
      </c>
      <c r="C103" t="s">
        <v>235</v>
      </c>
      <c r="D103">
        <v>6</v>
      </c>
      <c r="E103" t="s">
        <v>235</v>
      </c>
      <c r="F103" t="s">
        <v>243</v>
      </c>
      <c r="G103" t="s">
        <v>237</v>
      </c>
      <c r="H103" t="s">
        <v>96</v>
      </c>
      <c r="I103" t="s">
        <v>97</v>
      </c>
      <c r="J103">
        <v>6</v>
      </c>
      <c r="K103" t="s">
        <v>237</v>
      </c>
      <c r="L103" t="s">
        <v>237</v>
      </c>
      <c r="M103" t="s">
        <v>237</v>
      </c>
      <c r="N103">
        <v>6</v>
      </c>
      <c r="O103">
        <v>0</v>
      </c>
      <c r="P103">
        <v>2</v>
      </c>
      <c r="Q103">
        <v>2</v>
      </c>
      <c r="R103">
        <v>2</v>
      </c>
      <c r="S103">
        <v>0</v>
      </c>
      <c r="T103" t="s">
        <v>237</v>
      </c>
    </row>
    <row r="104" spans="1:20" x14ac:dyDescent="0.3">
      <c r="A104" t="s">
        <v>16</v>
      </c>
      <c r="B104" t="s">
        <v>17</v>
      </c>
      <c r="C104" t="s">
        <v>235</v>
      </c>
      <c r="D104">
        <v>7</v>
      </c>
      <c r="E104" t="s">
        <v>235</v>
      </c>
      <c r="F104" t="s">
        <v>244</v>
      </c>
      <c r="G104" t="s">
        <v>237</v>
      </c>
      <c r="H104" t="s">
        <v>96</v>
      </c>
      <c r="I104" t="s">
        <v>97</v>
      </c>
      <c r="J104">
        <v>6</v>
      </c>
      <c r="K104" t="s">
        <v>237</v>
      </c>
      <c r="L104" t="s">
        <v>237</v>
      </c>
      <c r="M104" t="s">
        <v>237</v>
      </c>
      <c r="N104">
        <v>6</v>
      </c>
      <c r="O104">
        <v>0</v>
      </c>
      <c r="P104">
        <v>2</v>
      </c>
      <c r="Q104">
        <v>2</v>
      </c>
      <c r="R104">
        <v>2</v>
      </c>
      <c r="S104">
        <v>0</v>
      </c>
      <c r="T104" t="s">
        <v>245</v>
      </c>
    </row>
    <row r="105" spans="1:20" x14ac:dyDescent="0.3">
      <c r="A105" t="s">
        <v>16</v>
      </c>
      <c r="B105" t="s">
        <v>17</v>
      </c>
      <c r="C105" t="s">
        <v>246</v>
      </c>
      <c r="D105">
        <v>8</v>
      </c>
      <c r="E105" t="s">
        <v>246</v>
      </c>
      <c r="F105" t="s">
        <v>247</v>
      </c>
      <c r="G105" t="s">
        <v>237</v>
      </c>
      <c r="H105" t="s">
        <v>237</v>
      </c>
      <c r="I105" t="s">
        <v>34</v>
      </c>
      <c r="J105">
        <v>3</v>
      </c>
      <c r="K105" t="s">
        <v>237</v>
      </c>
      <c r="L105" t="s">
        <v>237</v>
      </c>
      <c r="M105" t="s">
        <v>237</v>
      </c>
      <c r="N105">
        <v>3</v>
      </c>
      <c r="O105">
        <v>0</v>
      </c>
      <c r="P105">
        <v>1</v>
      </c>
      <c r="Q105">
        <v>1</v>
      </c>
      <c r="R105">
        <v>1</v>
      </c>
      <c r="S105">
        <v>0</v>
      </c>
      <c r="T105" t="s">
        <v>237</v>
      </c>
    </row>
    <row r="106" spans="1:20" x14ac:dyDescent="0.3">
      <c r="A106" t="s">
        <v>16</v>
      </c>
      <c r="B106" t="s">
        <v>17</v>
      </c>
      <c r="C106" t="s">
        <v>246</v>
      </c>
      <c r="D106">
        <v>9</v>
      </c>
      <c r="E106" t="s">
        <v>246</v>
      </c>
      <c r="F106" t="s">
        <v>248</v>
      </c>
      <c r="G106" t="s">
        <v>237</v>
      </c>
      <c r="H106" t="s">
        <v>237</v>
      </c>
      <c r="I106" t="s">
        <v>34</v>
      </c>
      <c r="J106">
        <v>3</v>
      </c>
      <c r="K106" t="s">
        <v>237</v>
      </c>
      <c r="L106" t="s">
        <v>237</v>
      </c>
      <c r="M106" t="s">
        <v>237</v>
      </c>
      <c r="N106">
        <v>3</v>
      </c>
      <c r="O106">
        <v>0</v>
      </c>
      <c r="P106">
        <v>1</v>
      </c>
      <c r="Q106">
        <v>1</v>
      </c>
      <c r="R106">
        <v>1</v>
      </c>
      <c r="S106">
        <v>0</v>
      </c>
      <c r="T106" t="s">
        <v>237</v>
      </c>
    </row>
    <row r="107" spans="1:20" x14ac:dyDescent="0.3">
      <c r="A107" t="s">
        <v>16</v>
      </c>
      <c r="B107" t="s">
        <v>17</v>
      </c>
      <c r="C107" t="s">
        <v>246</v>
      </c>
      <c r="D107">
        <v>10</v>
      </c>
      <c r="E107" t="s">
        <v>246</v>
      </c>
      <c r="F107" t="s">
        <v>249</v>
      </c>
      <c r="G107" t="s">
        <v>237</v>
      </c>
      <c r="H107" t="s">
        <v>237</v>
      </c>
      <c r="I107" t="s">
        <v>97</v>
      </c>
      <c r="J107">
        <v>6</v>
      </c>
      <c r="K107" t="s">
        <v>237</v>
      </c>
      <c r="L107" t="s">
        <v>237</v>
      </c>
      <c r="M107" t="s">
        <v>237</v>
      </c>
      <c r="N107">
        <v>6</v>
      </c>
      <c r="O107">
        <v>0</v>
      </c>
      <c r="P107">
        <v>2</v>
      </c>
      <c r="Q107">
        <v>2</v>
      </c>
      <c r="R107">
        <v>2</v>
      </c>
      <c r="S107">
        <v>0</v>
      </c>
      <c r="T107" t="s">
        <v>237</v>
      </c>
    </row>
    <row r="108" spans="1:20" x14ac:dyDescent="0.3">
      <c r="A108" t="s">
        <v>16</v>
      </c>
      <c r="B108" t="s">
        <v>17</v>
      </c>
      <c r="C108" t="s">
        <v>246</v>
      </c>
      <c r="D108">
        <v>11</v>
      </c>
      <c r="E108" t="s">
        <v>246</v>
      </c>
      <c r="F108" t="s">
        <v>250</v>
      </c>
      <c r="G108" t="s">
        <v>237</v>
      </c>
      <c r="H108" t="s">
        <v>237</v>
      </c>
      <c r="I108" t="s">
        <v>251</v>
      </c>
      <c r="J108">
        <v>60</v>
      </c>
      <c r="K108" t="s">
        <v>237</v>
      </c>
      <c r="L108" t="s">
        <v>237</v>
      </c>
      <c r="M108" t="s">
        <v>237</v>
      </c>
      <c r="N108">
        <v>60</v>
      </c>
      <c r="O108">
        <v>0</v>
      </c>
      <c r="P108">
        <v>20</v>
      </c>
      <c r="Q108">
        <v>20</v>
      </c>
      <c r="R108">
        <v>20</v>
      </c>
      <c r="S108">
        <v>0</v>
      </c>
      <c r="T108" t="s">
        <v>252</v>
      </c>
    </row>
    <row r="109" spans="1:20" x14ac:dyDescent="0.3">
      <c r="A109" t="s">
        <v>16</v>
      </c>
      <c r="B109" t="s">
        <v>17</v>
      </c>
      <c r="C109" t="s">
        <v>246</v>
      </c>
      <c r="D109">
        <v>12</v>
      </c>
      <c r="E109" t="s">
        <v>246</v>
      </c>
      <c r="F109" t="s">
        <v>253</v>
      </c>
      <c r="G109" t="s">
        <v>237</v>
      </c>
      <c r="H109" t="s">
        <v>237</v>
      </c>
      <c r="I109" t="s">
        <v>251</v>
      </c>
      <c r="J109">
        <v>60</v>
      </c>
      <c r="K109" t="s">
        <v>237</v>
      </c>
      <c r="L109" t="s">
        <v>237</v>
      </c>
      <c r="M109" t="s">
        <v>237</v>
      </c>
      <c r="N109">
        <v>60</v>
      </c>
      <c r="O109">
        <v>0</v>
      </c>
      <c r="P109">
        <v>20</v>
      </c>
      <c r="Q109">
        <v>20</v>
      </c>
      <c r="R109">
        <v>20</v>
      </c>
      <c r="S109">
        <v>0</v>
      </c>
      <c r="T109" t="s">
        <v>237</v>
      </c>
    </row>
    <row r="110" spans="1:20" x14ac:dyDescent="0.3">
      <c r="A110" t="s">
        <v>16</v>
      </c>
      <c r="B110" t="s">
        <v>17</v>
      </c>
      <c r="C110" t="s">
        <v>254</v>
      </c>
      <c r="D110">
        <v>13</v>
      </c>
      <c r="E110" t="s">
        <v>254</v>
      </c>
      <c r="F110" t="s">
        <v>255</v>
      </c>
      <c r="G110" t="s">
        <v>237</v>
      </c>
      <c r="H110" t="s">
        <v>237</v>
      </c>
      <c r="I110" t="s">
        <v>97</v>
      </c>
      <c r="J110">
        <v>6</v>
      </c>
      <c r="K110" t="s">
        <v>237</v>
      </c>
      <c r="L110" t="s">
        <v>237</v>
      </c>
      <c r="M110" t="s">
        <v>237</v>
      </c>
      <c r="N110">
        <v>6</v>
      </c>
      <c r="O110">
        <v>0</v>
      </c>
      <c r="P110">
        <v>2</v>
      </c>
      <c r="Q110">
        <v>2</v>
      </c>
      <c r="R110">
        <v>2</v>
      </c>
      <c r="S110">
        <v>0</v>
      </c>
      <c r="T110" t="s">
        <v>237</v>
      </c>
    </row>
    <row r="111" spans="1:20" x14ac:dyDescent="0.3">
      <c r="A111" t="s">
        <v>16</v>
      </c>
      <c r="B111" t="s">
        <v>17</v>
      </c>
      <c r="C111" t="s">
        <v>254</v>
      </c>
      <c r="D111">
        <v>14</v>
      </c>
      <c r="E111" t="s">
        <v>254</v>
      </c>
      <c r="F111" t="s">
        <v>256</v>
      </c>
      <c r="G111" t="s">
        <v>237</v>
      </c>
      <c r="H111" t="s">
        <v>237</v>
      </c>
      <c r="I111" t="s">
        <v>257</v>
      </c>
      <c r="J111">
        <v>19</v>
      </c>
      <c r="K111" t="s">
        <v>237</v>
      </c>
      <c r="L111" t="s">
        <v>237</v>
      </c>
      <c r="M111" t="s">
        <v>237</v>
      </c>
      <c r="N111">
        <v>19</v>
      </c>
      <c r="O111">
        <v>0</v>
      </c>
      <c r="P111">
        <v>7</v>
      </c>
      <c r="Q111">
        <v>6</v>
      </c>
      <c r="R111">
        <v>6</v>
      </c>
      <c r="S111">
        <v>0</v>
      </c>
      <c r="T111" t="s">
        <v>237</v>
      </c>
    </row>
    <row r="112" spans="1:20" x14ac:dyDescent="0.3">
      <c r="A112" t="s">
        <v>16</v>
      </c>
      <c r="B112" t="s">
        <v>17</v>
      </c>
      <c r="C112" t="s">
        <v>258</v>
      </c>
      <c r="D112">
        <v>15</v>
      </c>
      <c r="E112" t="s">
        <v>258</v>
      </c>
      <c r="F112" t="s">
        <v>259</v>
      </c>
      <c r="G112" t="s">
        <v>237</v>
      </c>
      <c r="H112" t="s">
        <v>237</v>
      </c>
      <c r="I112" t="s">
        <v>126</v>
      </c>
      <c r="J112">
        <v>24</v>
      </c>
      <c r="K112" t="s">
        <v>237</v>
      </c>
      <c r="L112" t="s">
        <v>237</v>
      </c>
      <c r="M112" t="s">
        <v>237</v>
      </c>
      <c r="N112">
        <v>24</v>
      </c>
      <c r="O112">
        <v>0</v>
      </c>
      <c r="P112">
        <v>8</v>
      </c>
      <c r="Q112">
        <v>8</v>
      </c>
      <c r="R112">
        <v>8</v>
      </c>
      <c r="S112">
        <v>0</v>
      </c>
      <c r="T112" t="s">
        <v>237</v>
      </c>
    </row>
    <row r="113" spans="1:20" x14ac:dyDescent="0.3">
      <c r="A113" t="s">
        <v>16</v>
      </c>
      <c r="B113" t="s">
        <v>17</v>
      </c>
      <c r="C113" t="s">
        <v>258</v>
      </c>
      <c r="D113">
        <v>16</v>
      </c>
      <c r="E113" t="s">
        <v>258</v>
      </c>
      <c r="F113" t="s">
        <v>260</v>
      </c>
      <c r="G113" t="s">
        <v>237</v>
      </c>
      <c r="H113" t="s">
        <v>237</v>
      </c>
      <c r="I113" t="s">
        <v>261</v>
      </c>
      <c r="J113">
        <v>84</v>
      </c>
      <c r="K113" t="s">
        <v>237</v>
      </c>
      <c r="L113" t="s">
        <v>237</v>
      </c>
      <c r="M113" t="s">
        <v>237</v>
      </c>
      <c r="N113">
        <v>84</v>
      </c>
      <c r="O113">
        <v>0</v>
      </c>
      <c r="P113">
        <v>28</v>
      </c>
      <c r="Q113">
        <v>28</v>
      </c>
      <c r="R113">
        <v>28</v>
      </c>
      <c r="S113">
        <v>0</v>
      </c>
      <c r="T113" t="s">
        <v>237</v>
      </c>
    </row>
    <row r="114" spans="1:20" x14ac:dyDescent="0.3">
      <c r="A114" t="s">
        <v>16</v>
      </c>
      <c r="B114" t="s">
        <v>17</v>
      </c>
      <c r="C114" t="s">
        <v>258</v>
      </c>
      <c r="D114">
        <v>17</v>
      </c>
      <c r="E114" t="s">
        <v>258</v>
      </c>
      <c r="F114" t="s">
        <v>262</v>
      </c>
      <c r="G114" t="s">
        <v>237</v>
      </c>
      <c r="H114" t="s">
        <v>237</v>
      </c>
      <c r="I114" t="s">
        <v>34</v>
      </c>
      <c r="J114">
        <v>3</v>
      </c>
      <c r="K114" t="s">
        <v>237</v>
      </c>
      <c r="L114" t="s">
        <v>237</v>
      </c>
      <c r="M114" t="s">
        <v>237</v>
      </c>
      <c r="N114">
        <v>3</v>
      </c>
      <c r="O114">
        <v>0</v>
      </c>
      <c r="P114">
        <v>1</v>
      </c>
      <c r="Q114">
        <v>1</v>
      </c>
      <c r="R114">
        <v>1</v>
      </c>
      <c r="S114">
        <v>0</v>
      </c>
      <c r="T114" t="s">
        <v>237</v>
      </c>
    </row>
    <row r="115" spans="1:20" x14ac:dyDescent="0.3">
      <c r="A115" t="s">
        <v>16</v>
      </c>
      <c r="B115" t="s">
        <v>17</v>
      </c>
      <c r="C115" t="s">
        <v>263</v>
      </c>
      <c r="D115">
        <v>18</v>
      </c>
      <c r="E115" t="s">
        <v>263</v>
      </c>
      <c r="F115" t="s">
        <v>264</v>
      </c>
      <c r="G115" t="s">
        <v>237</v>
      </c>
      <c r="H115" t="s">
        <v>237</v>
      </c>
      <c r="I115" t="s">
        <v>265</v>
      </c>
      <c r="J115">
        <v>96</v>
      </c>
      <c r="K115" t="s">
        <v>237</v>
      </c>
      <c r="L115" t="s">
        <v>237</v>
      </c>
      <c r="M115" t="s">
        <v>237</v>
      </c>
      <c r="N115">
        <v>96</v>
      </c>
      <c r="O115">
        <v>0</v>
      </c>
      <c r="P115">
        <v>32</v>
      </c>
      <c r="Q115">
        <v>32</v>
      </c>
      <c r="R115">
        <v>32</v>
      </c>
      <c r="S115">
        <v>0</v>
      </c>
      <c r="T115" t="s">
        <v>237</v>
      </c>
    </row>
    <row r="116" spans="1:20" x14ac:dyDescent="0.3">
      <c r="A116" t="s">
        <v>16</v>
      </c>
      <c r="B116" t="s">
        <v>17</v>
      </c>
      <c r="C116" t="s">
        <v>263</v>
      </c>
      <c r="D116">
        <v>19</v>
      </c>
      <c r="E116" t="s">
        <v>263</v>
      </c>
      <c r="F116" t="s">
        <v>266</v>
      </c>
      <c r="G116" t="s">
        <v>237</v>
      </c>
      <c r="H116" t="s">
        <v>237</v>
      </c>
      <c r="I116" t="s">
        <v>267</v>
      </c>
      <c r="J116">
        <v>132</v>
      </c>
      <c r="K116" t="s">
        <v>237</v>
      </c>
      <c r="L116" t="s">
        <v>237</v>
      </c>
      <c r="M116" t="s">
        <v>237</v>
      </c>
      <c r="N116">
        <v>132</v>
      </c>
      <c r="O116">
        <v>0</v>
      </c>
      <c r="P116">
        <v>44</v>
      </c>
      <c r="Q116">
        <v>44</v>
      </c>
      <c r="R116">
        <v>44</v>
      </c>
      <c r="S116">
        <v>0</v>
      </c>
      <c r="T116" t="s">
        <v>237</v>
      </c>
    </row>
    <row r="117" spans="1:20" x14ac:dyDescent="0.3">
      <c r="A117" t="s">
        <v>16</v>
      </c>
      <c r="B117" t="s">
        <v>17</v>
      </c>
      <c r="C117" t="s">
        <v>263</v>
      </c>
      <c r="D117">
        <v>20</v>
      </c>
      <c r="E117" t="s">
        <v>263</v>
      </c>
      <c r="F117" t="s">
        <v>268</v>
      </c>
      <c r="G117" t="s">
        <v>237</v>
      </c>
      <c r="H117" t="s">
        <v>237</v>
      </c>
      <c r="I117" t="s">
        <v>269</v>
      </c>
      <c r="J117">
        <v>461</v>
      </c>
      <c r="K117" t="s">
        <v>237</v>
      </c>
      <c r="L117" t="s">
        <v>237</v>
      </c>
      <c r="M117" t="s">
        <v>237</v>
      </c>
      <c r="N117">
        <v>461</v>
      </c>
      <c r="O117">
        <v>0</v>
      </c>
      <c r="P117">
        <v>154</v>
      </c>
      <c r="Q117">
        <v>154</v>
      </c>
      <c r="R117">
        <v>153</v>
      </c>
      <c r="S117">
        <v>0</v>
      </c>
      <c r="T117" t="s">
        <v>237</v>
      </c>
    </row>
    <row r="118" spans="1:20" x14ac:dyDescent="0.3">
      <c r="A118" t="s">
        <v>16</v>
      </c>
      <c r="B118" t="s">
        <v>17</v>
      </c>
      <c r="C118" t="s">
        <v>263</v>
      </c>
      <c r="D118">
        <v>21</v>
      </c>
      <c r="E118" t="s">
        <v>263</v>
      </c>
      <c r="F118" t="s">
        <v>270</v>
      </c>
      <c r="G118" t="s">
        <v>237</v>
      </c>
      <c r="H118" t="s">
        <v>237</v>
      </c>
      <c r="I118" t="s">
        <v>271</v>
      </c>
      <c r="J118">
        <v>512</v>
      </c>
      <c r="K118" t="s">
        <v>237</v>
      </c>
      <c r="L118" t="s">
        <v>237</v>
      </c>
      <c r="M118" t="s">
        <v>237</v>
      </c>
      <c r="N118">
        <v>512</v>
      </c>
      <c r="O118">
        <v>0</v>
      </c>
      <c r="P118">
        <v>171</v>
      </c>
      <c r="Q118">
        <v>171</v>
      </c>
      <c r="R118">
        <v>170</v>
      </c>
      <c r="S118">
        <v>0</v>
      </c>
      <c r="T118" t="s">
        <v>237</v>
      </c>
    </row>
    <row r="119" spans="1:20" x14ac:dyDescent="0.3">
      <c r="A119" t="s">
        <v>16</v>
      </c>
      <c r="B119" t="s">
        <v>17</v>
      </c>
      <c r="C119" t="s">
        <v>272</v>
      </c>
      <c r="D119">
        <v>22</v>
      </c>
      <c r="E119" t="s">
        <v>272</v>
      </c>
      <c r="F119" t="s">
        <v>273</v>
      </c>
      <c r="G119" t="s">
        <v>237</v>
      </c>
      <c r="H119" t="s">
        <v>237</v>
      </c>
      <c r="I119" t="s">
        <v>34</v>
      </c>
      <c r="J119">
        <v>3</v>
      </c>
      <c r="K119" t="s">
        <v>237</v>
      </c>
      <c r="L119" t="s">
        <v>237</v>
      </c>
      <c r="M119" t="s">
        <v>237</v>
      </c>
      <c r="N119">
        <v>3</v>
      </c>
      <c r="O119">
        <v>0</v>
      </c>
      <c r="P119">
        <v>1</v>
      </c>
      <c r="Q119">
        <v>1</v>
      </c>
      <c r="R119">
        <v>1</v>
      </c>
      <c r="S119">
        <v>0</v>
      </c>
      <c r="T119" t="s">
        <v>237</v>
      </c>
    </row>
    <row r="120" spans="1:20" x14ac:dyDescent="0.3">
      <c r="A120" t="s">
        <v>16</v>
      </c>
      <c r="B120" t="s">
        <v>17</v>
      </c>
      <c r="C120" t="s">
        <v>272</v>
      </c>
      <c r="D120">
        <v>23</v>
      </c>
      <c r="E120" t="s">
        <v>272</v>
      </c>
      <c r="F120" t="s">
        <v>274</v>
      </c>
      <c r="G120" t="s">
        <v>237</v>
      </c>
      <c r="H120" t="s">
        <v>237</v>
      </c>
      <c r="I120" t="s">
        <v>275</v>
      </c>
      <c r="J120">
        <v>36</v>
      </c>
      <c r="K120" t="s">
        <v>237</v>
      </c>
      <c r="L120" t="s">
        <v>237</v>
      </c>
      <c r="M120" t="s">
        <v>237</v>
      </c>
      <c r="N120">
        <v>36</v>
      </c>
      <c r="O120">
        <v>0</v>
      </c>
      <c r="P120">
        <v>12</v>
      </c>
      <c r="Q120">
        <v>12</v>
      </c>
      <c r="R120">
        <v>12</v>
      </c>
      <c r="S120">
        <v>0</v>
      </c>
      <c r="T120" t="s">
        <v>237</v>
      </c>
    </row>
    <row r="121" spans="1:20" x14ac:dyDescent="0.3">
      <c r="A121" t="s">
        <v>16</v>
      </c>
      <c r="B121" t="s">
        <v>17</v>
      </c>
      <c r="C121" t="s">
        <v>276</v>
      </c>
      <c r="D121">
        <v>24</v>
      </c>
      <c r="E121" t="s">
        <v>276</v>
      </c>
      <c r="F121" t="s">
        <v>277</v>
      </c>
      <c r="G121" t="s">
        <v>237</v>
      </c>
      <c r="H121" t="s">
        <v>237</v>
      </c>
      <c r="I121" t="s">
        <v>278</v>
      </c>
      <c r="J121">
        <v>1</v>
      </c>
      <c r="K121" t="s">
        <v>237</v>
      </c>
      <c r="L121" t="s">
        <v>237</v>
      </c>
      <c r="M121" t="s">
        <v>237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 t="s">
        <v>237</v>
      </c>
    </row>
    <row r="122" spans="1:20" x14ac:dyDescent="0.3">
      <c r="A122" t="s">
        <v>16</v>
      </c>
      <c r="B122" t="s">
        <v>17</v>
      </c>
      <c r="C122" t="s">
        <v>276</v>
      </c>
      <c r="D122">
        <v>25</v>
      </c>
      <c r="E122" t="s">
        <v>276</v>
      </c>
      <c r="F122" t="s">
        <v>279</v>
      </c>
      <c r="G122" t="s">
        <v>237</v>
      </c>
      <c r="H122" t="s">
        <v>237</v>
      </c>
      <c r="I122" t="s">
        <v>97</v>
      </c>
      <c r="J122">
        <v>6</v>
      </c>
      <c r="K122" t="s">
        <v>237</v>
      </c>
      <c r="L122" t="s">
        <v>237</v>
      </c>
      <c r="M122" t="s">
        <v>237</v>
      </c>
      <c r="N122">
        <v>6</v>
      </c>
      <c r="O122">
        <v>0</v>
      </c>
      <c r="P122">
        <v>2</v>
      </c>
      <c r="Q122">
        <v>2</v>
      </c>
      <c r="R122">
        <v>2</v>
      </c>
      <c r="S122">
        <v>0</v>
      </c>
      <c r="T122" t="s">
        <v>237</v>
      </c>
    </row>
    <row r="123" spans="1:20" x14ac:dyDescent="0.3">
      <c r="A123" t="s">
        <v>16</v>
      </c>
      <c r="B123" t="s">
        <v>17</v>
      </c>
      <c r="C123" t="s">
        <v>276</v>
      </c>
      <c r="D123">
        <v>26</v>
      </c>
      <c r="E123" t="s">
        <v>276</v>
      </c>
      <c r="F123" t="s">
        <v>280</v>
      </c>
      <c r="G123" t="s">
        <v>237</v>
      </c>
      <c r="H123" t="s">
        <v>237</v>
      </c>
      <c r="I123" t="s">
        <v>278</v>
      </c>
      <c r="J123">
        <v>1</v>
      </c>
      <c r="K123" t="s">
        <v>237</v>
      </c>
      <c r="L123" t="s">
        <v>237</v>
      </c>
      <c r="M123" t="s">
        <v>237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 t="s">
        <v>237</v>
      </c>
    </row>
    <row r="124" spans="1:20" x14ac:dyDescent="0.3">
      <c r="A124" t="s">
        <v>16</v>
      </c>
      <c r="B124" t="s">
        <v>17</v>
      </c>
      <c r="C124" t="s">
        <v>276</v>
      </c>
      <c r="D124">
        <v>27</v>
      </c>
      <c r="E124" t="s">
        <v>276</v>
      </c>
      <c r="F124" t="s">
        <v>281</v>
      </c>
      <c r="G124" t="s">
        <v>237</v>
      </c>
      <c r="H124" t="s">
        <v>237</v>
      </c>
      <c r="I124" t="s">
        <v>26</v>
      </c>
      <c r="J124">
        <v>15</v>
      </c>
      <c r="K124" t="s">
        <v>237</v>
      </c>
      <c r="L124" t="s">
        <v>237</v>
      </c>
      <c r="M124" t="s">
        <v>237</v>
      </c>
      <c r="N124">
        <v>15</v>
      </c>
      <c r="O124">
        <v>0</v>
      </c>
      <c r="P124">
        <v>5</v>
      </c>
      <c r="Q124">
        <v>5</v>
      </c>
      <c r="R124">
        <v>5</v>
      </c>
      <c r="S124">
        <v>0</v>
      </c>
      <c r="T124" t="s">
        <v>237</v>
      </c>
    </row>
    <row r="125" spans="1:20" x14ac:dyDescent="0.3">
      <c r="A125" t="s">
        <v>16</v>
      </c>
      <c r="B125" t="s">
        <v>17</v>
      </c>
      <c r="C125" t="s">
        <v>276</v>
      </c>
      <c r="D125">
        <v>28</v>
      </c>
      <c r="E125" t="s">
        <v>276</v>
      </c>
      <c r="F125" t="s">
        <v>282</v>
      </c>
      <c r="G125" t="s">
        <v>237</v>
      </c>
      <c r="H125" t="s">
        <v>237</v>
      </c>
      <c r="I125" t="s">
        <v>34</v>
      </c>
      <c r="J125">
        <v>3</v>
      </c>
      <c r="K125" t="s">
        <v>237</v>
      </c>
      <c r="L125" t="s">
        <v>237</v>
      </c>
      <c r="M125" t="s">
        <v>237</v>
      </c>
      <c r="N125">
        <v>3</v>
      </c>
      <c r="O125">
        <v>0</v>
      </c>
      <c r="P125">
        <v>1</v>
      </c>
      <c r="Q125">
        <v>1</v>
      </c>
      <c r="R125">
        <v>1</v>
      </c>
      <c r="S125">
        <v>0</v>
      </c>
      <c r="T125" t="s">
        <v>237</v>
      </c>
    </row>
    <row r="126" spans="1:20" x14ac:dyDescent="0.3">
      <c r="A126" t="s">
        <v>16</v>
      </c>
      <c r="B126" t="s">
        <v>17</v>
      </c>
      <c r="C126" t="s">
        <v>276</v>
      </c>
      <c r="D126">
        <v>29</v>
      </c>
      <c r="E126" t="s">
        <v>276</v>
      </c>
      <c r="F126" t="s">
        <v>283</v>
      </c>
      <c r="G126" t="s">
        <v>237</v>
      </c>
      <c r="H126" t="s">
        <v>237</v>
      </c>
      <c r="I126" t="s">
        <v>22</v>
      </c>
      <c r="J126">
        <v>12</v>
      </c>
      <c r="K126" t="s">
        <v>237</v>
      </c>
      <c r="L126" t="s">
        <v>237</v>
      </c>
      <c r="M126" t="s">
        <v>237</v>
      </c>
      <c r="N126">
        <v>12</v>
      </c>
      <c r="O126">
        <v>0</v>
      </c>
      <c r="P126">
        <v>4</v>
      </c>
      <c r="Q126">
        <v>4</v>
      </c>
      <c r="R126">
        <v>4</v>
      </c>
      <c r="S126">
        <v>0</v>
      </c>
      <c r="T126" t="s">
        <v>237</v>
      </c>
    </row>
    <row r="127" spans="1:20" x14ac:dyDescent="0.3">
      <c r="A127" t="s">
        <v>16</v>
      </c>
      <c r="B127" t="s">
        <v>17</v>
      </c>
      <c r="C127" t="s">
        <v>276</v>
      </c>
      <c r="D127">
        <v>30</v>
      </c>
      <c r="E127" t="s">
        <v>276</v>
      </c>
      <c r="F127" t="s">
        <v>284</v>
      </c>
      <c r="G127" t="s">
        <v>237</v>
      </c>
      <c r="H127" t="s">
        <v>237</v>
      </c>
      <c r="I127" t="s">
        <v>34</v>
      </c>
      <c r="J127">
        <v>3</v>
      </c>
      <c r="K127" t="s">
        <v>237</v>
      </c>
      <c r="L127" t="s">
        <v>237</v>
      </c>
      <c r="M127" t="s">
        <v>237</v>
      </c>
      <c r="N127">
        <v>3</v>
      </c>
      <c r="O127">
        <v>0</v>
      </c>
      <c r="P127">
        <v>1</v>
      </c>
      <c r="Q127">
        <v>1</v>
      </c>
      <c r="R127">
        <v>1</v>
      </c>
      <c r="S127">
        <v>0</v>
      </c>
      <c r="T127" t="s">
        <v>237</v>
      </c>
    </row>
    <row r="128" spans="1:20" x14ac:dyDescent="0.3">
      <c r="A128" t="s">
        <v>16</v>
      </c>
      <c r="B128" t="s">
        <v>17</v>
      </c>
      <c r="C128" t="s">
        <v>276</v>
      </c>
      <c r="D128">
        <v>31</v>
      </c>
      <c r="E128" t="s">
        <v>276</v>
      </c>
      <c r="F128" t="s">
        <v>285</v>
      </c>
      <c r="G128" t="s">
        <v>237</v>
      </c>
      <c r="H128" t="s">
        <v>237</v>
      </c>
      <c r="I128" t="s">
        <v>26</v>
      </c>
      <c r="J128">
        <v>15</v>
      </c>
      <c r="K128" t="s">
        <v>237</v>
      </c>
      <c r="L128" t="s">
        <v>237</v>
      </c>
      <c r="M128" t="s">
        <v>237</v>
      </c>
      <c r="N128">
        <v>15</v>
      </c>
      <c r="O128">
        <v>0</v>
      </c>
      <c r="P128">
        <v>5</v>
      </c>
      <c r="Q128">
        <v>5</v>
      </c>
      <c r="R128">
        <v>5</v>
      </c>
      <c r="S128">
        <v>0</v>
      </c>
      <c r="T128" t="s">
        <v>237</v>
      </c>
    </row>
    <row r="129" spans="1:20" x14ac:dyDescent="0.3">
      <c r="A129" t="s">
        <v>16</v>
      </c>
      <c r="B129" t="s">
        <v>17</v>
      </c>
      <c r="C129" t="s">
        <v>276</v>
      </c>
      <c r="D129">
        <v>32</v>
      </c>
      <c r="E129" t="s">
        <v>276</v>
      </c>
      <c r="F129" t="s">
        <v>286</v>
      </c>
      <c r="G129" t="s">
        <v>237</v>
      </c>
      <c r="H129" t="s">
        <v>237</v>
      </c>
      <c r="I129" t="s">
        <v>34</v>
      </c>
      <c r="J129">
        <v>3</v>
      </c>
      <c r="K129" t="s">
        <v>237</v>
      </c>
      <c r="L129" t="s">
        <v>237</v>
      </c>
      <c r="M129" t="s">
        <v>237</v>
      </c>
      <c r="N129">
        <v>3</v>
      </c>
      <c r="O129">
        <v>0</v>
      </c>
      <c r="P129">
        <v>1</v>
      </c>
      <c r="Q129">
        <v>1</v>
      </c>
      <c r="R129">
        <v>1</v>
      </c>
      <c r="S129">
        <v>0</v>
      </c>
      <c r="T129" t="s">
        <v>237</v>
      </c>
    </row>
    <row r="130" spans="1:20" x14ac:dyDescent="0.3">
      <c r="A130" t="s">
        <v>16</v>
      </c>
      <c r="B130" t="s">
        <v>17</v>
      </c>
      <c r="C130" t="s">
        <v>276</v>
      </c>
      <c r="D130">
        <v>33</v>
      </c>
      <c r="E130" t="s">
        <v>276</v>
      </c>
      <c r="F130" t="s">
        <v>287</v>
      </c>
      <c r="G130" t="s">
        <v>237</v>
      </c>
      <c r="H130" t="s">
        <v>237</v>
      </c>
      <c r="I130" t="s">
        <v>278</v>
      </c>
      <c r="J130">
        <v>1</v>
      </c>
      <c r="K130" t="s">
        <v>237</v>
      </c>
      <c r="L130" t="s">
        <v>237</v>
      </c>
      <c r="M130" t="s">
        <v>237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 t="s">
        <v>237</v>
      </c>
    </row>
    <row r="131" spans="1:20" x14ac:dyDescent="0.3">
      <c r="A131" t="s">
        <v>16</v>
      </c>
      <c r="B131" t="s">
        <v>17</v>
      </c>
      <c r="C131" t="s">
        <v>288</v>
      </c>
      <c r="D131">
        <v>34</v>
      </c>
      <c r="E131" t="s">
        <v>288</v>
      </c>
      <c r="F131" t="s">
        <v>289</v>
      </c>
      <c r="G131" t="s">
        <v>237</v>
      </c>
      <c r="H131" t="s">
        <v>237</v>
      </c>
      <c r="I131" t="s">
        <v>34</v>
      </c>
      <c r="J131">
        <v>3</v>
      </c>
      <c r="K131" t="s">
        <v>237</v>
      </c>
      <c r="L131" t="s">
        <v>237</v>
      </c>
      <c r="M131" t="s">
        <v>237</v>
      </c>
      <c r="N131">
        <v>3</v>
      </c>
      <c r="O131">
        <v>0</v>
      </c>
      <c r="P131">
        <v>1</v>
      </c>
      <c r="Q131">
        <v>1</v>
      </c>
      <c r="R131">
        <v>1</v>
      </c>
      <c r="S131">
        <v>0</v>
      </c>
      <c r="T131" t="s">
        <v>237</v>
      </c>
    </row>
    <row r="132" spans="1:20" x14ac:dyDescent="0.3">
      <c r="A132" t="s">
        <v>16</v>
      </c>
      <c r="B132" t="s">
        <v>17</v>
      </c>
      <c r="C132" t="s">
        <v>290</v>
      </c>
      <c r="D132">
        <v>35</v>
      </c>
      <c r="E132" t="s">
        <v>290</v>
      </c>
      <c r="F132" t="s">
        <v>291</v>
      </c>
      <c r="G132" t="s">
        <v>237</v>
      </c>
      <c r="H132" t="s">
        <v>237</v>
      </c>
      <c r="I132" t="s">
        <v>34</v>
      </c>
      <c r="J132">
        <v>3</v>
      </c>
      <c r="K132" t="s">
        <v>237</v>
      </c>
      <c r="L132" t="s">
        <v>237</v>
      </c>
      <c r="M132" t="s">
        <v>237</v>
      </c>
      <c r="N132">
        <v>3</v>
      </c>
      <c r="O132">
        <v>0</v>
      </c>
      <c r="P132">
        <v>1</v>
      </c>
      <c r="Q132">
        <v>1</v>
      </c>
      <c r="R132">
        <v>1</v>
      </c>
      <c r="S132">
        <v>0</v>
      </c>
      <c r="T132" t="s">
        <v>237</v>
      </c>
    </row>
    <row r="133" spans="1:20" x14ac:dyDescent="0.3">
      <c r="A133" t="s">
        <v>16</v>
      </c>
      <c r="B133" t="s">
        <v>17</v>
      </c>
      <c r="C133" t="s">
        <v>292</v>
      </c>
      <c r="D133">
        <v>36</v>
      </c>
      <c r="E133" t="s">
        <v>292</v>
      </c>
      <c r="F133" t="s">
        <v>293</v>
      </c>
      <c r="G133" t="s">
        <v>237</v>
      </c>
      <c r="H133" t="s">
        <v>237</v>
      </c>
      <c r="I133" t="s">
        <v>34</v>
      </c>
      <c r="J133">
        <v>3</v>
      </c>
      <c r="K133" t="s">
        <v>237</v>
      </c>
      <c r="L133" t="s">
        <v>237</v>
      </c>
      <c r="M133" t="s">
        <v>237</v>
      </c>
      <c r="N133">
        <v>3</v>
      </c>
      <c r="O133">
        <v>0</v>
      </c>
      <c r="P133">
        <v>1</v>
      </c>
      <c r="Q133">
        <v>1</v>
      </c>
      <c r="R133">
        <v>1</v>
      </c>
      <c r="S133">
        <v>0</v>
      </c>
      <c r="T133" t="s">
        <v>237</v>
      </c>
    </row>
    <row r="134" spans="1:20" x14ac:dyDescent="0.3">
      <c r="A134" t="s">
        <v>16</v>
      </c>
      <c r="B134" t="s">
        <v>17</v>
      </c>
      <c r="C134" t="s">
        <v>292</v>
      </c>
      <c r="D134">
        <v>37</v>
      </c>
      <c r="E134" t="s">
        <v>292</v>
      </c>
      <c r="F134" t="s">
        <v>294</v>
      </c>
      <c r="G134" t="s">
        <v>237</v>
      </c>
      <c r="H134" t="s">
        <v>237</v>
      </c>
      <c r="I134" t="s">
        <v>43</v>
      </c>
      <c r="J134">
        <v>9</v>
      </c>
      <c r="K134" t="s">
        <v>237</v>
      </c>
      <c r="L134" t="s">
        <v>237</v>
      </c>
      <c r="M134" t="s">
        <v>237</v>
      </c>
      <c r="N134">
        <v>9</v>
      </c>
      <c r="O134">
        <v>0</v>
      </c>
      <c r="P134">
        <v>3</v>
      </c>
      <c r="Q134">
        <v>3</v>
      </c>
      <c r="R134">
        <v>3</v>
      </c>
      <c r="S134">
        <v>0</v>
      </c>
      <c r="T134" t="s">
        <v>237</v>
      </c>
    </row>
    <row r="135" spans="1:20" x14ac:dyDescent="0.3">
      <c r="A135" t="s">
        <v>16</v>
      </c>
      <c r="B135" t="s">
        <v>17</v>
      </c>
      <c r="C135" t="s">
        <v>295</v>
      </c>
      <c r="D135">
        <v>38</v>
      </c>
      <c r="E135" t="s">
        <v>295</v>
      </c>
      <c r="F135" t="s">
        <v>296</v>
      </c>
      <c r="G135" t="s">
        <v>237</v>
      </c>
      <c r="H135" t="s">
        <v>237</v>
      </c>
      <c r="I135" t="s">
        <v>297</v>
      </c>
      <c r="J135">
        <v>105</v>
      </c>
      <c r="K135" t="s">
        <v>237</v>
      </c>
      <c r="L135" t="s">
        <v>237</v>
      </c>
      <c r="M135" t="s">
        <v>237</v>
      </c>
      <c r="N135">
        <v>105</v>
      </c>
      <c r="O135">
        <v>0</v>
      </c>
      <c r="P135">
        <v>35</v>
      </c>
      <c r="Q135">
        <v>35</v>
      </c>
      <c r="R135">
        <v>35</v>
      </c>
      <c r="S135">
        <v>0</v>
      </c>
      <c r="T135" t="s">
        <v>237</v>
      </c>
    </row>
    <row r="136" spans="1:20" x14ac:dyDescent="0.3">
      <c r="A136" t="s">
        <v>16</v>
      </c>
      <c r="B136" t="s">
        <v>17</v>
      </c>
      <c r="C136" t="s">
        <v>295</v>
      </c>
      <c r="D136">
        <v>39</v>
      </c>
      <c r="E136" t="s">
        <v>295</v>
      </c>
      <c r="F136" t="s">
        <v>298</v>
      </c>
      <c r="G136" t="s">
        <v>237</v>
      </c>
      <c r="H136" t="s">
        <v>237</v>
      </c>
      <c r="I136" t="s">
        <v>43</v>
      </c>
      <c r="J136">
        <v>9</v>
      </c>
      <c r="K136" t="s">
        <v>237</v>
      </c>
      <c r="L136" t="s">
        <v>237</v>
      </c>
      <c r="M136" t="s">
        <v>237</v>
      </c>
      <c r="N136">
        <v>9</v>
      </c>
      <c r="O136">
        <v>0</v>
      </c>
      <c r="P136">
        <v>3</v>
      </c>
      <c r="Q136">
        <v>3</v>
      </c>
      <c r="R136">
        <v>3</v>
      </c>
      <c r="S136">
        <v>0</v>
      </c>
      <c r="T136" t="s">
        <v>237</v>
      </c>
    </row>
    <row r="137" spans="1:20" x14ac:dyDescent="0.3">
      <c r="A137" t="s">
        <v>16</v>
      </c>
      <c r="B137" t="s">
        <v>17</v>
      </c>
      <c r="C137" t="s">
        <v>295</v>
      </c>
      <c r="D137">
        <v>40</v>
      </c>
      <c r="E137" t="s">
        <v>295</v>
      </c>
      <c r="F137" t="s">
        <v>299</v>
      </c>
      <c r="G137" t="s">
        <v>237</v>
      </c>
      <c r="H137" t="s">
        <v>237</v>
      </c>
      <c r="I137" t="s">
        <v>22</v>
      </c>
      <c r="J137">
        <v>12</v>
      </c>
      <c r="K137" t="s">
        <v>237</v>
      </c>
      <c r="L137" t="s">
        <v>237</v>
      </c>
      <c r="M137" t="s">
        <v>237</v>
      </c>
      <c r="N137">
        <v>12</v>
      </c>
      <c r="O137">
        <v>0</v>
      </c>
      <c r="P137">
        <v>4</v>
      </c>
      <c r="Q137">
        <v>4</v>
      </c>
      <c r="R137">
        <v>4</v>
      </c>
      <c r="S137">
        <v>0</v>
      </c>
      <c r="T137" t="s">
        <v>237</v>
      </c>
    </row>
    <row r="138" spans="1:20" x14ac:dyDescent="0.3">
      <c r="A138" t="s">
        <v>16</v>
      </c>
      <c r="B138" t="s">
        <v>17</v>
      </c>
      <c r="C138" t="s">
        <v>300</v>
      </c>
      <c r="D138">
        <v>41</v>
      </c>
      <c r="E138" t="s">
        <v>300</v>
      </c>
      <c r="F138" t="s">
        <v>301</v>
      </c>
      <c r="G138" t="s">
        <v>237</v>
      </c>
      <c r="H138" t="s">
        <v>237</v>
      </c>
      <c r="I138" t="s">
        <v>302</v>
      </c>
      <c r="J138">
        <v>8</v>
      </c>
      <c r="K138" t="s">
        <v>237</v>
      </c>
      <c r="L138" t="s">
        <v>237</v>
      </c>
      <c r="M138" t="s">
        <v>237</v>
      </c>
      <c r="N138">
        <v>8</v>
      </c>
      <c r="O138">
        <v>0</v>
      </c>
      <c r="P138">
        <v>3</v>
      </c>
      <c r="Q138">
        <v>3</v>
      </c>
      <c r="R138">
        <v>2</v>
      </c>
      <c r="S138">
        <v>0</v>
      </c>
      <c r="T138" t="s">
        <v>237</v>
      </c>
    </row>
    <row r="139" spans="1:20" x14ac:dyDescent="0.3">
      <c r="A139" t="s">
        <v>16</v>
      </c>
      <c r="B139" t="s">
        <v>17</v>
      </c>
      <c r="C139" t="s">
        <v>300</v>
      </c>
      <c r="D139">
        <v>42</v>
      </c>
      <c r="E139" t="s">
        <v>300</v>
      </c>
      <c r="F139" t="s">
        <v>303</v>
      </c>
      <c r="G139" t="s">
        <v>237</v>
      </c>
      <c r="H139" t="s">
        <v>237</v>
      </c>
      <c r="I139" t="s">
        <v>278</v>
      </c>
      <c r="J139">
        <v>1</v>
      </c>
      <c r="K139" t="s">
        <v>237</v>
      </c>
      <c r="L139" t="s">
        <v>237</v>
      </c>
      <c r="M139" t="s">
        <v>237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  <c r="T139" t="s">
        <v>237</v>
      </c>
    </row>
    <row r="140" spans="1:20" x14ac:dyDescent="0.3">
      <c r="A140" t="s">
        <v>16</v>
      </c>
      <c r="B140" t="s">
        <v>17</v>
      </c>
      <c r="C140" t="s">
        <v>300</v>
      </c>
      <c r="D140">
        <v>43</v>
      </c>
      <c r="E140" t="s">
        <v>300</v>
      </c>
      <c r="F140" t="s">
        <v>304</v>
      </c>
      <c r="G140" t="s">
        <v>237</v>
      </c>
      <c r="H140" t="s">
        <v>237</v>
      </c>
      <c r="I140" t="s">
        <v>34</v>
      </c>
      <c r="J140">
        <v>3</v>
      </c>
      <c r="K140" t="s">
        <v>237</v>
      </c>
      <c r="L140" t="s">
        <v>237</v>
      </c>
      <c r="M140" t="s">
        <v>237</v>
      </c>
      <c r="N140">
        <v>3</v>
      </c>
      <c r="O140">
        <v>0</v>
      </c>
      <c r="P140">
        <v>1</v>
      </c>
      <c r="Q140">
        <v>1</v>
      </c>
      <c r="R140">
        <v>1</v>
      </c>
      <c r="S140">
        <v>0</v>
      </c>
      <c r="T140" t="s">
        <v>237</v>
      </c>
    </row>
    <row r="141" spans="1:20" x14ac:dyDescent="0.3">
      <c r="A141" t="s">
        <v>16</v>
      </c>
      <c r="B141" t="s">
        <v>17</v>
      </c>
      <c r="C141" t="s">
        <v>300</v>
      </c>
      <c r="D141">
        <v>44</v>
      </c>
      <c r="E141" t="s">
        <v>300</v>
      </c>
      <c r="F141" t="s">
        <v>305</v>
      </c>
      <c r="G141" t="s">
        <v>237</v>
      </c>
      <c r="H141" t="s">
        <v>237</v>
      </c>
      <c r="I141" t="s">
        <v>34</v>
      </c>
      <c r="J141">
        <v>3</v>
      </c>
      <c r="K141" t="s">
        <v>237</v>
      </c>
      <c r="L141" t="s">
        <v>237</v>
      </c>
      <c r="M141" t="s">
        <v>237</v>
      </c>
      <c r="N141">
        <v>3</v>
      </c>
      <c r="O141">
        <v>0</v>
      </c>
      <c r="P141">
        <v>1</v>
      </c>
      <c r="Q141">
        <v>1</v>
      </c>
      <c r="R141">
        <v>1</v>
      </c>
      <c r="S141">
        <v>0</v>
      </c>
      <c r="T141" t="s">
        <v>237</v>
      </c>
    </row>
    <row r="142" spans="1:20" x14ac:dyDescent="0.3">
      <c r="A142" t="s">
        <v>16</v>
      </c>
      <c r="B142" t="s">
        <v>17</v>
      </c>
      <c r="C142" t="s">
        <v>300</v>
      </c>
      <c r="D142">
        <v>45</v>
      </c>
      <c r="E142" t="s">
        <v>300</v>
      </c>
      <c r="F142" t="s">
        <v>306</v>
      </c>
      <c r="G142" t="s">
        <v>237</v>
      </c>
      <c r="H142" t="s">
        <v>237</v>
      </c>
      <c r="I142" t="s">
        <v>307</v>
      </c>
      <c r="J142">
        <v>5</v>
      </c>
      <c r="K142" t="s">
        <v>237</v>
      </c>
      <c r="L142" t="s">
        <v>237</v>
      </c>
      <c r="M142" t="s">
        <v>237</v>
      </c>
      <c r="N142">
        <v>5</v>
      </c>
      <c r="O142">
        <v>0</v>
      </c>
      <c r="P142">
        <v>2</v>
      </c>
      <c r="Q142">
        <v>2</v>
      </c>
      <c r="R142">
        <v>1</v>
      </c>
      <c r="S142">
        <v>0</v>
      </c>
      <c r="T142" t="s">
        <v>237</v>
      </c>
    </row>
    <row r="143" spans="1:20" x14ac:dyDescent="0.3">
      <c r="A143" t="s">
        <v>16</v>
      </c>
      <c r="B143" t="s">
        <v>17</v>
      </c>
      <c r="C143" t="s">
        <v>300</v>
      </c>
      <c r="D143">
        <v>46</v>
      </c>
      <c r="E143" t="s">
        <v>300</v>
      </c>
      <c r="F143" t="s">
        <v>308</v>
      </c>
      <c r="G143" t="s">
        <v>237</v>
      </c>
      <c r="H143" t="s">
        <v>237</v>
      </c>
      <c r="I143" t="s">
        <v>26</v>
      </c>
      <c r="J143">
        <v>15</v>
      </c>
      <c r="K143" t="s">
        <v>237</v>
      </c>
      <c r="L143" t="s">
        <v>237</v>
      </c>
      <c r="M143" t="s">
        <v>237</v>
      </c>
      <c r="N143">
        <v>15</v>
      </c>
      <c r="O143">
        <v>0</v>
      </c>
      <c r="P143">
        <v>5</v>
      </c>
      <c r="Q143">
        <v>5</v>
      </c>
      <c r="R143">
        <v>5</v>
      </c>
      <c r="S143">
        <v>0</v>
      </c>
      <c r="T143" t="s">
        <v>237</v>
      </c>
    </row>
    <row r="144" spans="1:20" x14ac:dyDescent="0.3">
      <c r="A144" t="s">
        <v>16</v>
      </c>
      <c r="B144" t="s">
        <v>17</v>
      </c>
      <c r="C144" t="s">
        <v>300</v>
      </c>
      <c r="D144">
        <v>47</v>
      </c>
      <c r="E144" t="s">
        <v>300</v>
      </c>
      <c r="F144" t="s">
        <v>309</v>
      </c>
      <c r="G144" t="s">
        <v>237</v>
      </c>
      <c r="H144" t="s">
        <v>237</v>
      </c>
      <c r="I144" t="s">
        <v>26</v>
      </c>
      <c r="J144">
        <v>15</v>
      </c>
      <c r="K144" t="s">
        <v>237</v>
      </c>
      <c r="L144" t="s">
        <v>237</v>
      </c>
      <c r="M144" t="s">
        <v>237</v>
      </c>
      <c r="N144">
        <v>15</v>
      </c>
      <c r="O144">
        <v>0</v>
      </c>
      <c r="P144">
        <v>5</v>
      </c>
      <c r="Q144">
        <v>5</v>
      </c>
      <c r="R144">
        <v>5</v>
      </c>
      <c r="S144">
        <v>0</v>
      </c>
      <c r="T144" t="s">
        <v>237</v>
      </c>
    </row>
    <row r="145" spans="1:20" x14ac:dyDescent="0.3">
      <c r="A145" t="s">
        <v>16</v>
      </c>
      <c r="B145" t="s">
        <v>17</v>
      </c>
      <c r="C145" t="s">
        <v>300</v>
      </c>
      <c r="D145">
        <v>48</v>
      </c>
      <c r="E145" t="s">
        <v>300</v>
      </c>
      <c r="F145" t="s">
        <v>310</v>
      </c>
      <c r="G145" t="s">
        <v>237</v>
      </c>
      <c r="H145" t="s">
        <v>237</v>
      </c>
      <c r="I145" t="s">
        <v>26</v>
      </c>
      <c r="J145">
        <v>15</v>
      </c>
      <c r="K145" t="s">
        <v>237</v>
      </c>
      <c r="L145" t="s">
        <v>237</v>
      </c>
      <c r="M145" t="s">
        <v>237</v>
      </c>
      <c r="N145">
        <v>15</v>
      </c>
      <c r="O145">
        <v>0</v>
      </c>
      <c r="P145">
        <v>5</v>
      </c>
      <c r="Q145">
        <v>5</v>
      </c>
      <c r="R145">
        <v>5</v>
      </c>
      <c r="S145">
        <v>0</v>
      </c>
      <c r="T145" t="s">
        <v>237</v>
      </c>
    </row>
    <row r="146" spans="1:20" x14ac:dyDescent="0.3">
      <c r="A146" t="s">
        <v>16</v>
      </c>
      <c r="B146" t="s">
        <v>17</v>
      </c>
      <c r="C146" t="s">
        <v>311</v>
      </c>
      <c r="D146">
        <v>49</v>
      </c>
      <c r="E146" t="s">
        <v>311</v>
      </c>
      <c r="F146" t="s">
        <v>312</v>
      </c>
      <c r="G146" t="s">
        <v>237</v>
      </c>
      <c r="H146" t="s">
        <v>237</v>
      </c>
      <c r="I146" t="s">
        <v>313</v>
      </c>
      <c r="J146">
        <v>432</v>
      </c>
      <c r="K146" t="s">
        <v>237</v>
      </c>
      <c r="L146" t="s">
        <v>237</v>
      </c>
      <c r="M146" t="s">
        <v>237</v>
      </c>
      <c r="N146">
        <v>432</v>
      </c>
      <c r="O146">
        <v>0</v>
      </c>
      <c r="P146">
        <v>144</v>
      </c>
      <c r="Q146">
        <v>144</v>
      </c>
      <c r="R146">
        <v>144</v>
      </c>
      <c r="S146">
        <v>0</v>
      </c>
      <c r="T146" t="s">
        <v>237</v>
      </c>
    </row>
    <row r="147" spans="1:20" x14ac:dyDescent="0.3">
      <c r="A147" t="s">
        <v>16</v>
      </c>
      <c r="B147" t="s">
        <v>17</v>
      </c>
      <c r="C147" t="s">
        <v>314</v>
      </c>
      <c r="D147">
        <v>50</v>
      </c>
      <c r="E147" t="s">
        <v>314</v>
      </c>
      <c r="F147" t="s">
        <v>315</v>
      </c>
      <c r="G147" t="s">
        <v>237</v>
      </c>
      <c r="H147" t="s">
        <v>237</v>
      </c>
      <c r="I147" t="s">
        <v>316</v>
      </c>
      <c r="J147">
        <v>27</v>
      </c>
      <c r="K147" t="s">
        <v>237</v>
      </c>
      <c r="L147" t="s">
        <v>237</v>
      </c>
      <c r="M147" t="s">
        <v>237</v>
      </c>
      <c r="N147">
        <v>27</v>
      </c>
      <c r="O147">
        <v>0</v>
      </c>
      <c r="P147">
        <v>9</v>
      </c>
      <c r="Q147">
        <v>9</v>
      </c>
      <c r="R147">
        <v>9</v>
      </c>
      <c r="S147">
        <v>0</v>
      </c>
      <c r="T147" t="s">
        <v>237</v>
      </c>
    </row>
    <row r="148" spans="1:20" x14ac:dyDescent="0.3">
      <c r="A148" t="s">
        <v>16</v>
      </c>
      <c r="B148" t="s">
        <v>17</v>
      </c>
      <c r="C148" t="s">
        <v>317</v>
      </c>
      <c r="D148">
        <v>51</v>
      </c>
      <c r="E148" t="s">
        <v>317</v>
      </c>
      <c r="F148" t="s">
        <v>237</v>
      </c>
      <c r="G148" t="s">
        <v>237</v>
      </c>
      <c r="H148" t="s">
        <v>237</v>
      </c>
      <c r="I148" t="s">
        <v>318</v>
      </c>
      <c r="J148">
        <v>30</v>
      </c>
      <c r="K148" t="s">
        <v>237</v>
      </c>
      <c r="L148" t="s">
        <v>237</v>
      </c>
      <c r="M148" t="s">
        <v>237</v>
      </c>
      <c r="N148">
        <v>30</v>
      </c>
      <c r="O148">
        <v>0</v>
      </c>
      <c r="P148">
        <v>10</v>
      </c>
      <c r="Q148">
        <v>10</v>
      </c>
      <c r="R148">
        <v>10</v>
      </c>
      <c r="S148">
        <v>0</v>
      </c>
      <c r="T148" t="s">
        <v>237</v>
      </c>
    </row>
    <row r="149" spans="1:20" x14ac:dyDescent="0.3">
      <c r="A149" t="s">
        <v>16</v>
      </c>
      <c r="B149" t="s">
        <v>17</v>
      </c>
      <c r="C149" t="s">
        <v>319</v>
      </c>
      <c r="D149">
        <v>1</v>
      </c>
      <c r="E149" t="s">
        <v>320</v>
      </c>
      <c r="F149" t="s">
        <v>321</v>
      </c>
      <c r="H149" t="s">
        <v>322</v>
      </c>
      <c r="I149" t="s">
        <v>34</v>
      </c>
      <c r="J149">
        <v>1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</row>
    <row r="150" spans="1:20" x14ac:dyDescent="0.3">
      <c r="A150" t="s">
        <v>16</v>
      </c>
      <c r="B150" t="s">
        <v>17</v>
      </c>
      <c r="C150" t="s">
        <v>319</v>
      </c>
      <c r="D150">
        <v>2</v>
      </c>
      <c r="E150" t="s">
        <v>323</v>
      </c>
      <c r="F150" t="s">
        <v>321</v>
      </c>
      <c r="H150" t="s">
        <v>324</v>
      </c>
      <c r="I150" t="s">
        <v>43</v>
      </c>
      <c r="J150">
        <v>9</v>
      </c>
      <c r="N150">
        <v>9</v>
      </c>
      <c r="O150">
        <v>0</v>
      </c>
      <c r="P150">
        <v>3</v>
      </c>
      <c r="Q150">
        <v>3</v>
      </c>
      <c r="R150">
        <v>3</v>
      </c>
      <c r="S150">
        <v>0</v>
      </c>
    </row>
    <row r="151" spans="1:20" x14ac:dyDescent="0.3">
      <c r="A151" t="s">
        <v>16</v>
      </c>
      <c r="B151" t="s">
        <v>17</v>
      </c>
      <c r="C151" t="s">
        <v>319</v>
      </c>
      <c r="D151">
        <v>3</v>
      </c>
      <c r="E151" t="s">
        <v>325</v>
      </c>
      <c r="F151" t="s">
        <v>326</v>
      </c>
      <c r="H151" t="s">
        <v>327</v>
      </c>
      <c r="I151" t="s">
        <v>97</v>
      </c>
      <c r="J151">
        <v>6</v>
      </c>
      <c r="N151">
        <v>6</v>
      </c>
      <c r="O151">
        <v>0</v>
      </c>
      <c r="P151">
        <v>2</v>
      </c>
      <c r="Q151">
        <v>2</v>
      </c>
      <c r="R151">
        <v>2</v>
      </c>
      <c r="S151">
        <v>0</v>
      </c>
    </row>
    <row r="152" spans="1:20" x14ac:dyDescent="0.3">
      <c r="A152" t="s">
        <v>16</v>
      </c>
      <c r="B152" t="s">
        <v>17</v>
      </c>
      <c r="C152" t="s">
        <v>319</v>
      </c>
      <c r="D152">
        <v>4</v>
      </c>
      <c r="E152" t="s">
        <v>328</v>
      </c>
      <c r="F152" t="s">
        <v>329</v>
      </c>
      <c r="H152" t="s">
        <v>327</v>
      </c>
      <c r="I152" t="s">
        <v>97</v>
      </c>
      <c r="J152">
        <v>6</v>
      </c>
      <c r="N152">
        <v>6</v>
      </c>
      <c r="O152">
        <v>0</v>
      </c>
      <c r="P152">
        <v>2</v>
      </c>
      <c r="Q152">
        <v>2</v>
      </c>
      <c r="R152">
        <v>2</v>
      </c>
      <c r="S152">
        <v>0</v>
      </c>
    </row>
    <row r="153" spans="1:20" x14ac:dyDescent="0.3">
      <c r="A153" t="s">
        <v>16</v>
      </c>
      <c r="B153" t="s">
        <v>17</v>
      </c>
      <c r="C153" t="s">
        <v>319</v>
      </c>
      <c r="D153">
        <v>5</v>
      </c>
      <c r="E153" t="s">
        <v>330</v>
      </c>
      <c r="F153" t="s">
        <v>331</v>
      </c>
      <c r="H153" t="s">
        <v>332</v>
      </c>
      <c r="I153" t="s">
        <v>22</v>
      </c>
      <c r="J153">
        <v>8</v>
      </c>
      <c r="N153">
        <v>8</v>
      </c>
      <c r="O153">
        <v>0</v>
      </c>
      <c r="P153">
        <v>3</v>
      </c>
      <c r="Q153">
        <v>3</v>
      </c>
      <c r="R153">
        <v>2</v>
      </c>
      <c r="S153">
        <v>0</v>
      </c>
    </row>
    <row r="154" spans="1:20" x14ac:dyDescent="0.3">
      <c r="A154" t="s">
        <v>16</v>
      </c>
      <c r="B154" t="s">
        <v>17</v>
      </c>
      <c r="C154" t="s">
        <v>333</v>
      </c>
      <c r="D154">
        <v>6</v>
      </c>
      <c r="E154" t="s">
        <v>333</v>
      </c>
      <c r="F154" t="s">
        <v>334</v>
      </c>
      <c r="H154" t="s">
        <v>33</v>
      </c>
      <c r="I154" t="s">
        <v>34</v>
      </c>
      <c r="J154">
        <v>3</v>
      </c>
      <c r="N154">
        <v>3</v>
      </c>
      <c r="O154">
        <v>0</v>
      </c>
      <c r="P154">
        <v>1</v>
      </c>
      <c r="Q154">
        <v>1</v>
      </c>
      <c r="R154">
        <v>1</v>
      </c>
      <c r="S154">
        <v>0</v>
      </c>
    </row>
    <row r="155" spans="1:20" x14ac:dyDescent="0.3">
      <c r="A155" t="s">
        <v>16</v>
      </c>
      <c r="B155" t="s">
        <v>17</v>
      </c>
      <c r="C155" t="s">
        <v>333</v>
      </c>
      <c r="D155">
        <v>7</v>
      </c>
      <c r="E155" t="s">
        <v>333</v>
      </c>
      <c r="F155" t="s">
        <v>335</v>
      </c>
      <c r="H155" t="s">
        <v>218</v>
      </c>
      <c r="I155" t="s">
        <v>43</v>
      </c>
      <c r="J155">
        <v>9</v>
      </c>
      <c r="N155">
        <v>9</v>
      </c>
      <c r="O155">
        <v>0</v>
      </c>
      <c r="P155">
        <v>3</v>
      </c>
      <c r="Q155">
        <v>3</v>
      </c>
      <c r="R155">
        <v>3</v>
      </c>
      <c r="S155">
        <v>0</v>
      </c>
    </row>
    <row r="156" spans="1:20" x14ac:dyDescent="0.3">
      <c r="A156" t="s">
        <v>16</v>
      </c>
      <c r="B156" t="s">
        <v>17</v>
      </c>
      <c r="C156" t="s">
        <v>333</v>
      </c>
      <c r="D156">
        <v>8</v>
      </c>
      <c r="E156" t="s">
        <v>333</v>
      </c>
      <c r="F156" t="s">
        <v>336</v>
      </c>
      <c r="H156" t="s">
        <v>33</v>
      </c>
      <c r="I156" t="s">
        <v>34</v>
      </c>
      <c r="J156">
        <v>3</v>
      </c>
      <c r="N156">
        <v>3</v>
      </c>
      <c r="O156">
        <v>0</v>
      </c>
      <c r="P156">
        <v>1</v>
      </c>
      <c r="Q156">
        <v>1</v>
      </c>
      <c r="R156">
        <v>1</v>
      </c>
      <c r="S156">
        <v>0</v>
      </c>
    </row>
    <row r="157" spans="1:20" x14ac:dyDescent="0.3">
      <c r="A157" t="s">
        <v>16</v>
      </c>
      <c r="B157" t="s">
        <v>17</v>
      </c>
      <c r="C157" t="s">
        <v>333</v>
      </c>
      <c r="D157">
        <v>9</v>
      </c>
      <c r="E157" t="s">
        <v>333</v>
      </c>
      <c r="F157" t="s">
        <v>337</v>
      </c>
      <c r="H157" t="s">
        <v>33</v>
      </c>
      <c r="I157" t="s">
        <v>34</v>
      </c>
      <c r="J157">
        <v>3</v>
      </c>
      <c r="N157">
        <v>3</v>
      </c>
      <c r="O157">
        <v>0</v>
      </c>
      <c r="P157">
        <v>1</v>
      </c>
      <c r="Q157">
        <v>1</v>
      </c>
      <c r="R157">
        <v>1</v>
      </c>
      <c r="S157">
        <v>0</v>
      </c>
    </row>
    <row r="158" spans="1:20" x14ac:dyDescent="0.3">
      <c r="A158" t="s">
        <v>16</v>
      </c>
      <c r="B158" t="s">
        <v>17</v>
      </c>
      <c r="C158" t="s">
        <v>338</v>
      </c>
      <c r="D158">
        <v>10</v>
      </c>
      <c r="E158" t="s">
        <v>320</v>
      </c>
      <c r="F158" t="s">
        <v>339</v>
      </c>
      <c r="H158" t="s">
        <v>206</v>
      </c>
      <c r="I158" t="s">
        <v>22</v>
      </c>
      <c r="J158">
        <v>9</v>
      </c>
      <c r="N158">
        <v>9</v>
      </c>
      <c r="O158">
        <v>0</v>
      </c>
      <c r="P158">
        <v>3</v>
      </c>
      <c r="Q158">
        <v>3</v>
      </c>
      <c r="R158">
        <v>3</v>
      </c>
      <c r="S158">
        <v>0</v>
      </c>
    </row>
    <row r="159" spans="1:20" x14ac:dyDescent="0.3">
      <c r="A159" t="s">
        <v>16</v>
      </c>
      <c r="B159" t="s">
        <v>17</v>
      </c>
      <c r="C159" t="s">
        <v>338</v>
      </c>
      <c r="D159">
        <v>11</v>
      </c>
      <c r="E159" t="s">
        <v>340</v>
      </c>
      <c r="F159" t="s">
        <v>339</v>
      </c>
      <c r="H159" t="s">
        <v>96</v>
      </c>
      <c r="I159" t="s">
        <v>97</v>
      </c>
      <c r="J159">
        <v>6</v>
      </c>
      <c r="N159">
        <v>6</v>
      </c>
      <c r="O159">
        <v>0</v>
      </c>
      <c r="P159">
        <v>2</v>
      </c>
      <c r="Q159">
        <v>2</v>
      </c>
      <c r="R159">
        <v>2</v>
      </c>
      <c r="S159">
        <v>0</v>
      </c>
    </row>
    <row r="160" spans="1:20" x14ac:dyDescent="0.3">
      <c r="A160" t="s">
        <v>16</v>
      </c>
      <c r="B160" t="s">
        <v>17</v>
      </c>
      <c r="C160" t="s">
        <v>338</v>
      </c>
      <c r="D160">
        <v>12</v>
      </c>
      <c r="E160" t="s">
        <v>323</v>
      </c>
      <c r="F160" t="s">
        <v>339</v>
      </c>
      <c r="H160" t="s">
        <v>341</v>
      </c>
      <c r="I160" t="s">
        <v>126</v>
      </c>
      <c r="J160">
        <v>18</v>
      </c>
      <c r="N160">
        <v>18</v>
      </c>
      <c r="O160">
        <v>0</v>
      </c>
      <c r="P160">
        <v>6</v>
      </c>
      <c r="Q160">
        <v>6</v>
      </c>
      <c r="R160">
        <v>6</v>
      </c>
      <c r="S160">
        <v>0</v>
      </c>
    </row>
    <row r="161" spans="1:19" x14ac:dyDescent="0.3">
      <c r="A161" t="s">
        <v>16</v>
      </c>
      <c r="B161" t="s">
        <v>17</v>
      </c>
      <c r="C161" t="s">
        <v>338</v>
      </c>
      <c r="D161">
        <v>13</v>
      </c>
      <c r="E161" t="s">
        <v>342</v>
      </c>
      <c r="F161" t="s">
        <v>339</v>
      </c>
      <c r="H161" t="s">
        <v>341</v>
      </c>
      <c r="I161" t="s">
        <v>126</v>
      </c>
      <c r="J161">
        <v>21</v>
      </c>
      <c r="N161">
        <v>21</v>
      </c>
      <c r="O161">
        <v>0</v>
      </c>
      <c r="P161">
        <v>7</v>
      </c>
      <c r="Q161">
        <v>7</v>
      </c>
      <c r="R161">
        <v>7</v>
      </c>
      <c r="S161">
        <v>0</v>
      </c>
    </row>
    <row r="162" spans="1:19" x14ac:dyDescent="0.3">
      <c r="A162" t="s">
        <v>16</v>
      </c>
      <c r="B162" t="s">
        <v>17</v>
      </c>
      <c r="C162" t="s">
        <v>343</v>
      </c>
      <c r="D162">
        <v>14</v>
      </c>
      <c r="E162" t="s">
        <v>343</v>
      </c>
      <c r="F162" t="s">
        <v>344</v>
      </c>
      <c r="J162">
        <v>9</v>
      </c>
      <c r="N162">
        <v>9</v>
      </c>
      <c r="O162">
        <v>0</v>
      </c>
      <c r="P162">
        <v>3</v>
      </c>
      <c r="Q162">
        <v>3</v>
      </c>
      <c r="R162">
        <v>3</v>
      </c>
      <c r="S162">
        <v>0</v>
      </c>
    </row>
    <row r="163" spans="1:19" x14ac:dyDescent="0.3">
      <c r="A163" t="s">
        <v>16</v>
      </c>
      <c r="B163" t="s">
        <v>17</v>
      </c>
      <c r="C163" t="s">
        <v>345</v>
      </c>
      <c r="D163">
        <v>15</v>
      </c>
      <c r="E163" t="s">
        <v>345</v>
      </c>
      <c r="F163" t="s">
        <v>346</v>
      </c>
      <c r="H163" t="s">
        <v>218</v>
      </c>
      <c r="I163" t="s">
        <v>43</v>
      </c>
      <c r="J163">
        <v>9</v>
      </c>
      <c r="N163">
        <v>9</v>
      </c>
      <c r="O163">
        <v>0</v>
      </c>
      <c r="P163">
        <v>3</v>
      </c>
      <c r="Q163">
        <v>3</v>
      </c>
      <c r="R163">
        <v>3</v>
      </c>
      <c r="S163">
        <v>0</v>
      </c>
    </row>
    <row r="164" spans="1:19" x14ac:dyDescent="0.3">
      <c r="A164" t="s">
        <v>16</v>
      </c>
      <c r="B164" t="s">
        <v>17</v>
      </c>
      <c r="C164" t="s">
        <v>345</v>
      </c>
      <c r="D164">
        <v>16</v>
      </c>
      <c r="E164" t="s">
        <v>345</v>
      </c>
      <c r="F164" t="s">
        <v>347</v>
      </c>
      <c r="H164" t="s">
        <v>33</v>
      </c>
      <c r="I164" t="s">
        <v>34</v>
      </c>
      <c r="J164">
        <v>6</v>
      </c>
      <c r="N164">
        <v>6</v>
      </c>
      <c r="O164">
        <v>0</v>
      </c>
      <c r="P164">
        <v>2</v>
      </c>
      <c r="Q164">
        <v>2</v>
      </c>
      <c r="R164">
        <v>2</v>
      </c>
      <c r="S164">
        <v>0</v>
      </c>
    </row>
    <row r="165" spans="1:19" x14ac:dyDescent="0.3">
      <c r="A165" t="s">
        <v>16</v>
      </c>
      <c r="B165" t="s">
        <v>17</v>
      </c>
      <c r="C165" t="s">
        <v>345</v>
      </c>
      <c r="D165">
        <v>17</v>
      </c>
      <c r="E165" t="s">
        <v>345</v>
      </c>
      <c r="F165" t="s">
        <v>348</v>
      </c>
      <c r="H165" t="s">
        <v>33</v>
      </c>
      <c r="I165" t="s">
        <v>34</v>
      </c>
      <c r="J165">
        <v>3</v>
      </c>
      <c r="N165">
        <v>3</v>
      </c>
      <c r="O165">
        <v>0</v>
      </c>
      <c r="P165">
        <v>1</v>
      </c>
      <c r="Q165">
        <v>1</v>
      </c>
      <c r="R165">
        <v>1</v>
      </c>
      <c r="S165">
        <v>0</v>
      </c>
    </row>
    <row r="166" spans="1:19" x14ac:dyDescent="0.3">
      <c r="A166" t="s">
        <v>16</v>
      </c>
      <c r="B166" t="s">
        <v>17</v>
      </c>
      <c r="C166" t="s">
        <v>345</v>
      </c>
      <c r="D166">
        <v>18</v>
      </c>
      <c r="E166" t="s">
        <v>345</v>
      </c>
      <c r="F166" t="s">
        <v>349</v>
      </c>
      <c r="H166" t="s">
        <v>33</v>
      </c>
      <c r="I166" t="s">
        <v>34</v>
      </c>
      <c r="J166">
        <v>6</v>
      </c>
      <c r="N166">
        <v>6</v>
      </c>
      <c r="O166">
        <v>0</v>
      </c>
      <c r="P166">
        <v>2</v>
      </c>
      <c r="Q166">
        <v>2</v>
      </c>
      <c r="R166">
        <v>2</v>
      </c>
      <c r="S166">
        <v>0</v>
      </c>
    </row>
    <row r="167" spans="1:19" x14ac:dyDescent="0.3">
      <c r="A167" t="s">
        <v>16</v>
      </c>
      <c r="B167" t="s">
        <v>17</v>
      </c>
      <c r="C167" t="s">
        <v>345</v>
      </c>
      <c r="D167">
        <v>19</v>
      </c>
      <c r="E167" t="s">
        <v>345</v>
      </c>
      <c r="F167" t="s">
        <v>350</v>
      </c>
      <c r="H167" t="s">
        <v>33</v>
      </c>
      <c r="I167" t="s">
        <v>34</v>
      </c>
      <c r="J167">
        <v>3</v>
      </c>
      <c r="N167">
        <v>3</v>
      </c>
      <c r="O167">
        <v>0</v>
      </c>
      <c r="P167">
        <v>1</v>
      </c>
      <c r="Q167">
        <v>1</v>
      </c>
      <c r="R167">
        <v>1</v>
      </c>
      <c r="S167">
        <v>0</v>
      </c>
    </row>
    <row r="168" spans="1:19" x14ac:dyDescent="0.3">
      <c r="A168" t="s">
        <v>16</v>
      </c>
      <c r="B168" t="s">
        <v>17</v>
      </c>
      <c r="C168" t="s">
        <v>345</v>
      </c>
      <c r="D168">
        <v>20</v>
      </c>
      <c r="E168" t="s">
        <v>345</v>
      </c>
      <c r="F168" t="s">
        <v>351</v>
      </c>
      <c r="H168" t="s">
        <v>33</v>
      </c>
      <c r="I168" t="s">
        <v>34</v>
      </c>
      <c r="J168">
        <v>3</v>
      </c>
      <c r="N168">
        <v>3</v>
      </c>
      <c r="O168">
        <v>0</v>
      </c>
      <c r="P168">
        <v>1</v>
      </c>
      <c r="Q168">
        <v>1</v>
      </c>
      <c r="R168">
        <v>1</v>
      </c>
      <c r="S168">
        <v>0</v>
      </c>
    </row>
    <row r="169" spans="1:19" x14ac:dyDescent="0.3">
      <c r="A169" t="s">
        <v>16</v>
      </c>
      <c r="B169" t="s">
        <v>17</v>
      </c>
      <c r="C169" t="s">
        <v>345</v>
      </c>
      <c r="D169">
        <v>21</v>
      </c>
      <c r="E169" t="s">
        <v>345</v>
      </c>
      <c r="F169" t="s">
        <v>352</v>
      </c>
      <c r="H169" t="s">
        <v>33</v>
      </c>
      <c r="I169" t="s">
        <v>34</v>
      </c>
      <c r="J169">
        <v>3</v>
      </c>
      <c r="N169">
        <v>3</v>
      </c>
      <c r="O169">
        <v>0</v>
      </c>
      <c r="P169">
        <v>1</v>
      </c>
      <c r="Q169">
        <v>1</v>
      </c>
      <c r="R169">
        <v>1</v>
      </c>
      <c r="S169">
        <v>0</v>
      </c>
    </row>
    <row r="170" spans="1:19" x14ac:dyDescent="0.3">
      <c r="A170" t="s">
        <v>16</v>
      </c>
      <c r="B170" t="s">
        <v>17</v>
      </c>
      <c r="C170" t="s">
        <v>345</v>
      </c>
      <c r="D170">
        <v>22</v>
      </c>
      <c r="E170" t="s">
        <v>345</v>
      </c>
      <c r="F170" t="s">
        <v>353</v>
      </c>
      <c r="H170" t="s">
        <v>33</v>
      </c>
      <c r="I170" t="s">
        <v>34</v>
      </c>
      <c r="J170">
        <v>3</v>
      </c>
      <c r="N170">
        <v>3</v>
      </c>
      <c r="O170">
        <v>0</v>
      </c>
      <c r="P170">
        <v>1</v>
      </c>
      <c r="Q170">
        <v>1</v>
      </c>
      <c r="R170">
        <v>1</v>
      </c>
      <c r="S170">
        <v>0</v>
      </c>
    </row>
    <row r="171" spans="1:19" x14ac:dyDescent="0.3">
      <c r="A171" t="s">
        <v>16</v>
      </c>
      <c r="B171" t="s">
        <v>17</v>
      </c>
      <c r="C171" t="s">
        <v>354</v>
      </c>
      <c r="D171">
        <v>23</v>
      </c>
      <c r="E171" t="s">
        <v>354</v>
      </c>
      <c r="F171" t="s">
        <v>355</v>
      </c>
      <c r="H171" t="s">
        <v>96</v>
      </c>
      <c r="I171" t="s">
        <v>97</v>
      </c>
      <c r="J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 t="s">
        <v>16</v>
      </c>
      <c r="B172" t="s">
        <v>17</v>
      </c>
      <c r="C172" t="s">
        <v>356</v>
      </c>
      <c r="D172">
        <v>24</v>
      </c>
      <c r="E172" t="s">
        <v>356</v>
      </c>
      <c r="F172" t="s">
        <v>357</v>
      </c>
      <c r="H172" t="s">
        <v>358</v>
      </c>
      <c r="I172" t="s">
        <v>53</v>
      </c>
      <c r="J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 t="s">
        <v>16</v>
      </c>
      <c r="B173" t="s">
        <v>17</v>
      </c>
      <c r="C173" t="s">
        <v>359</v>
      </c>
      <c r="D173">
        <v>25</v>
      </c>
      <c r="E173" t="s">
        <v>359</v>
      </c>
      <c r="F173" t="s">
        <v>357</v>
      </c>
      <c r="H173" t="s">
        <v>360</v>
      </c>
      <c r="I173" t="s">
        <v>361</v>
      </c>
      <c r="J173">
        <v>10</v>
      </c>
      <c r="N173">
        <v>10</v>
      </c>
      <c r="O173">
        <v>10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 t="s">
        <v>16</v>
      </c>
      <c r="B174" t="s">
        <v>17</v>
      </c>
      <c r="C174" t="s">
        <v>362</v>
      </c>
      <c r="D174">
        <v>26</v>
      </c>
      <c r="E174" t="s">
        <v>362</v>
      </c>
      <c r="F174" t="s">
        <v>363</v>
      </c>
      <c r="H174" t="s">
        <v>364</v>
      </c>
      <c r="I174" t="s">
        <v>53</v>
      </c>
      <c r="J174">
        <v>6</v>
      </c>
      <c r="N174">
        <v>6</v>
      </c>
      <c r="O174">
        <v>1</v>
      </c>
      <c r="P174">
        <v>2</v>
      </c>
      <c r="Q174">
        <v>2</v>
      </c>
      <c r="R174">
        <v>1</v>
      </c>
      <c r="S174">
        <v>0</v>
      </c>
    </row>
    <row r="175" spans="1:19" x14ac:dyDescent="0.3">
      <c r="A175" t="s">
        <v>16</v>
      </c>
      <c r="B175" t="s">
        <v>17</v>
      </c>
      <c r="C175" t="s">
        <v>365</v>
      </c>
      <c r="D175">
        <v>27</v>
      </c>
      <c r="E175" t="s">
        <v>365</v>
      </c>
      <c r="F175" t="s">
        <v>366</v>
      </c>
      <c r="H175" t="s">
        <v>367</v>
      </c>
      <c r="I175" t="s">
        <v>97</v>
      </c>
      <c r="J175">
        <v>6</v>
      </c>
      <c r="N175">
        <v>6</v>
      </c>
      <c r="O175">
        <v>0</v>
      </c>
      <c r="P175">
        <v>2</v>
      </c>
      <c r="Q175">
        <v>2</v>
      </c>
      <c r="R175">
        <v>2</v>
      </c>
      <c r="S175">
        <v>0</v>
      </c>
    </row>
    <row r="176" spans="1:19" x14ac:dyDescent="0.3">
      <c r="A176" t="s">
        <v>16</v>
      </c>
      <c r="B176" t="s">
        <v>17</v>
      </c>
      <c r="C176" t="s">
        <v>368</v>
      </c>
      <c r="D176">
        <v>28</v>
      </c>
      <c r="E176" t="s">
        <v>368</v>
      </c>
      <c r="F176" t="s">
        <v>368</v>
      </c>
      <c r="H176" t="s">
        <v>369</v>
      </c>
      <c r="I176" t="s">
        <v>370</v>
      </c>
      <c r="J176">
        <v>64</v>
      </c>
      <c r="N176">
        <v>64</v>
      </c>
      <c r="O176">
        <v>0</v>
      </c>
      <c r="P176">
        <v>22</v>
      </c>
      <c r="Q176">
        <v>21</v>
      </c>
      <c r="R176">
        <v>21</v>
      </c>
      <c r="S176">
        <v>0</v>
      </c>
    </row>
    <row r="177" spans="1:19" x14ac:dyDescent="0.3">
      <c r="A177" t="s">
        <v>16</v>
      </c>
      <c r="B177" t="s">
        <v>17</v>
      </c>
      <c r="C177" t="s">
        <v>371</v>
      </c>
      <c r="D177">
        <v>29</v>
      </c>
      <c r="E177" t="s">
        <v>371</v>
      </c>
      <c r="F177" t="s">
        <v>355</v>
      </c>
      <c r="H177" t="s">
        <v>209</v>
      </c>
      <c r="I177" t="s">
        <v>210</v>
      </c>
      <c r="J177">
        <v>15</v>
      </c>
      <c r="N177">
        <v>15</v>
      </c>
      <c r="O177">
        <v>0</v>
      </c>
      <c r="P177">
        <v>5</v>
      </c>
      <c r="Q177">
        <v>5</v>
      </c>
      <c r="R177">
        <v>5</v>
      </c>
      <c r="S177">
        <v>0</v>
      </c>
    </row>
    <row r="178" spans="1:19" x14ac:dyDescent="0.3">
      <c r="A178" t="s">
        <v>16</v>
      </c>
      <c r="B178" t="s">
        <v>17</v>
      </c>
      <c r="C178" t="s">
        <v>372</v>
      </c>
      <c r="D178">
        <v>30</v>
      </c>
      <c r="E178" t="s">
        <v>372</v>
      </c>
      <c r="F178" t="s">
        <v>116</v>
      </c>
      <c r="H178" t="s">
        <v>373</v>
      </c>
      <c r="I178" t="s">
        <v>251</v>
      </c>
      <c r="J178">
        <v>60</v>
      </c>
      <c r="N178">
        <v>60</v>
      </c>
      <c r="O178">
        <v>0</v>
      </c>
      <c r="P178">
        <v>20</v>
      </c>
      <c r="Q178">
        <v>20</v>
      </c>
      <c r="R178">
        <v>20</v>
      </c>
      <c r="S178">
        <v>0</v>
      </c>
    </row>
    <row r="179" spans="1:19" x14ac:dyDescent="0.3">
      <c r="A179" t="s">
        <v>16</v>
      </c>
      <c r="B179" t="s">
        <v>17</v>
      </c>
      <c r="C179" t="s">
        <v>374</v>
      </c>
      <c r="D179">
        <v>31</v>
      </c>
      <c r="E179" t="s">
        <v>375</v>
      </c>
      <c r="F179" t="s">
        <v>376</v>
      </c>
      <c r="H179" t="s">
        <v>377</v>
      </c>
      <c r="I179" t="s">
        <v>378</v>
      </c>
      <c r="J179">
        <v>3</v>
      </c>
      <c r="N179">
        <v>6</v>
      </c>
      <c r="O179">
        <v>3</v>
      </c>
      <c r="P179">
        <v>1</v>
      </c>
      <c r="Q179">
        <v>1</v>
      </c>
      <c r="R179">
        <v>1</v>
      </c>
      <c r="S179">
        <v>0</v>
      </c>
    </row>
    <row r="180" spans="1:19" x14ac:dyDescent="0.3">
      <c r="A180" t="s">
        <v>16</v>
      </c>
      <c r="B180" t="s">
        <v>17</v>
      </c>
      <c r="C180" t="s">
        <v>379</v>
      </c>
      <c r="D180">
        <v>32</v>
      </c>
      <c r="E180" t="s">
        <v>380</v>
      </c>
      <c r="F180" t="s">
        <v>381</v>
      </c>
      <c r="H180" t="s">
        <v>382</v>
      </c>
      <c r="I180" t="s">
        <v>126</v>
      </c>
      <c r="J180">
        <v>18</v>
      </c>
      <c r="N180">
        <v>18</v>
      </c>
      <c r="O180">
        <v>0</v>
      </c>
      <c r="P180">
        <v>6</v>
      </c>
      <c r="Q180">
        <v>6</v>
      </c>
      <c r="R180">
        <v>6</v>
      </c>
      <c r="S180">
        <v>0</v>
      </c>
    </row>
    <row r="181" spans="1:19" x14ac:dyDescent="0.3">
      <c r="A181" t="s">
        <v>16</v>
      </c>
      <c r="B181" t="s">
        <v>17</v>
      </c>
      <c r="C181" t="s">
        <v>383</v>
      </c>
      <c r="D181">
        <v>33</v>
      </c>
      <c r="E181" t="s">
        <v>383</v>
      </c>
      <c r="F181" t="s">
        <v>383</v>
      </c>
      <c r="H181" t="s">
        <v>384</v>
      </c>
      <c r="I181" t="s">
        <v>385</v>
      </c>
      <c r="J181">
        <v>30</v>
      </c>
      <c r="N181">
        <v>30</v>
      </c>
      <c r="O181">
        <v>0</v>
      </c>
      <c r="P181">
        <v>10</v>
      </c>
      <c r="Q181">
        <v>10</v>
      </c>
      <c r="R181">
        <v>10</v>
      </c>
      <c r="S181">
        <v>0</v>
      </c>
    </row>
    <row r="182" spans="1:19" x14ac:dyDescent="0.3">
      <c r="A182" t="s">
        <v>16</v>
      </c>
      <c r="B182" t="s">
        <v>17</v>
      </c>
      <c r="C182" t="s">
        <v>386</v>
      </c>
      <c r="D182">
        <v>34</v>
      </c>
      <c r="E182" t="s">
        <v>386</v>
      </c>
      <c r="F182" t="s">
        <v>387</v>
      </c>
      <c r="H182" t="s">
        <v>388</v>
      </c>
      <c r="I182" t="s">
        <v>389</v>
      </c>
      <c r="J182">
        <v>42</v>
      </c>
      <c r="N182">
        <v>42</v>
      </c>
      <c r="O182">
        <v>0</v>
      </c>
      <c r="P182">
        <v>14</v>
      </c>
      <c r="Q182">
        <v>14</v>
      </c>
      <c r="R182">
        <v>14</v>
      </c>
      <c r="S182">
        <v>0</v>
      </c>
    </row>
    <row r="183" spans="1:19" x14ac:dyDescent="0.3">
      <c r="A183" t="s">
        <v>16</v>
      </c>
      <c r="B183" t="s">
        <v>17</v>
      </c>
      <c r="C183" t="s">
        <v>390</v>
      </c>
      <c r="D183">
        <v>35</v>
      </c>
      <c r="E183" t="s">
        <v>390</v>
      </c>
      <c r="F183" t="s">
        <v>391</v>
      </c>
      <c r="H183" t="s">
        <v>392</v>
      </c>
      <c r="I183" t="s">
        <v>97</v>
      </c>
      <c r="J183">
        <v>6</v>
      </c>
      <c r="N183">
        <v>6</v>
      </c>
      <c r="O183">
        <v>0</v>
      </c>
      <c r="P183">
        <v>2</v>
      </c>
      <c r="Q183">
        <v>2</v>
      </c>
      <c r="R183">
        <v>2</v>
      </c>
      <c r="S183">
        <v>0</v>
      </c>
    </row>
    <row r="184" spans="1:19" x14ac:dyDescent="0.3">
      <c r="A184" t="s">
        <v>16</v>
      </c>
      <c r="B184" t="s">
        <v>17</v>
      </c>
      <c r="C184" t="s">
        <v>393</v>
      </c>
      <c r="D184">
        <v>36</v>
      </c>
      <c r="E184" t="s">
        <v>393</v>
      </c>
      <c r="F184" t="s">
        <v>394</v>
      </c>
      <c r="H184" t="s">
        <v>395</v>
      </c>
      <c r="I184" t="s">
        <v>265</v>
      </c>
      <c r="J184">
        <v>90</v>
      </c>
      <c r="N184">
        <v>90</v>
      </c>
      <c r="O184">
        <v>0</v>
      </c>
      <c r="P184">
        <v>30</v>
      </c>
      <c r="Q184">
        <v>30</v>
      </c>
      <c r="R184">
        <v>30</v>
      </c>
      <c r="S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392B-E3EB-44B5-BFA6-8D94E7332AFC}">
  <dimension ref="A1:F12"/>
  <sheetViews>
    <sheetView workbookViewId="0">
      <selection activeCell="F6" sqref="F6"/>
    </sheetView>
  </sheetViews>
  <sheetFormatPr defaultRowHeight="14.4" x14ac:dyDescent="0.3"/>
  <cols>
    <col min="1" max="1" width="25.44140625" bestFit="1" customWidth="1"/>
    <col min="2" max="3" width="11.33203125" bestFit="1" customWidth="1"/>
    <col min="4" max="5" width="10.21875" bestFit="1" customWidth="1"/>
    <col min="6" max="6" width="6.33203125" bestFit="1" customWidth="1"/>
  </cols>
  <sheetData>
    <row r="1" spans="1:6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3">
      <c r="A2" t="s">
        <v>64</v>
      </c>
      <c r="B2">
        <v>51</v>
      </c>
      <c r="C2">
        <v>90</v>
      </c>
      <c r="D2">
        <v>36</v>
      </c>
      <c r="E2">
        <v>4</v>
      </c>
      <c r="F2">
        <f>SUM(B2:E2)</f>
        <v>181</v>
      </c>
    </row>
    <row r="3" spans="1:6" x14ac:dyDescent="0.3">
      <c r="A3" t="s">
        <v>65</v>
      </c>
      <c r="B3">
        <v>6</v>
      </c>
      <c r="C3">
        <v>6</v>
      </c>
      <c r="D3">
        <v>6</v>
      </c>
      <c r="E3">
        <v>4</v>
      </c>
    </row>
    <row r="4" spans="1:6" x14ac:dyDescent="0.3">
      <c r="B4" s="3">
        <f>B2/B3</f>
        <v>8.5</v>
      </c>
      <c r="C4" s="4">
        <f>C2/C3</f>
        <v>15</v>
      </c>
      <c r="D4" s="3">
        <f>D2/D3</f>
        <v>6</v>
      </c>
      <c r="E4" s="3">
        <f>E2/E3</f>
        <v>1</v>
      </c>
    </row>
    <row r="5" spans="1:6" x14ac:dyDescent="0.3">
      <c r="A5" t="s">
        <v>66</v>
      </c>
      <c r="B5" s="3">
        <f>ROUND(B4,0)</f>
        <v>9</v>
      </c>
      <c r="C5" s="3">
        <v>15</v>
      </c>
      <c r="D5" s="3">
        <f>D4</f>
        <v>6</v>
      </c>
      <c r="E5" s="3">
        <v>1</v>
      </c>
      <c r="F5" s="3"/>
    </row>
    <row r="6" spans="1:6" x14ac:dyDescent="0.3">
      <c r="A6" t="s">
        <v>67</v>
      </c>
      <c r="B6">
        <f>B5*3</f>
        <v>27</v>
      </c>
      <c r="C6">
        <f>C5*3</f>
        <v>45</v>
      </c>
      <c r="D6">
        <f>D5*3</f>
        <v>18</v>
      </c>
      <c r="E6">
        <f>E5*3</f>
        <v>3</v>
      </c>
      <c r="F6">
        <f>SUM(B6:E6)</f>
        <v>93</v>
      </c>
    </row>
    <row r="7" spans="1:6" x14ac:dyDescent="0.3">
      <c r="B7" s="3"/>
      <c r="C7" s="3"/>
      <c r="D7" s="3"/>
      <c r="E7" s="3"/>
    </row>
    <row r="8" spans="1:6" x14ac:dyDescent="0.3">
      <c r="A8" t="s">
        <v>68</v>
      </c>
      <c r="B8">
        <v>5</v>
      </c>
      <c r="C8">
        <v>5</v>
      </c>
      <c r="D8">
        <v>5</v>
      </c>
      <c r="E8">
        <v>5</v>
      </c>
      <c r="F8">
        <f>SUM(B8:E8)</f>
        <v>20</v>
      </c>
    </row>
    <row r="9" spans="1:6" x14ac:dyDescent="0.3">
      <c r="A9" t="s">
        <v>69</v>
      </c>
      <c r="B9">
        <f>ROUND((B5/B8),0.25)</f>
        <v>2</v>
      </c>
      <c r="C9">
        <f>ROUND((C5/C8),0)</f>
        <v>3</v>
      </c>
      <c r="D9">
        <f>ROUNDUP((D5/D8),0)</f>
        <v>2</v>
      </c>
      <c r="E9">
        <f>ROUNDUP((E5/E8),0.25)</f>
        <v>1</v>
      </c>
      <c r="F9">
        <f>SUM(B9:E9)</f>
        <v>8</v>
      </c>
    </row>
    <row r="10" spans="1:6" x14ac:dyDescent="0.3">
      <c r="A10" t="s">
        <v>70</v>
      </c>
      <c r="B10" s="3">
        <f>B9*3</f>
        <v>6</v>
      </c>
      <c r="C10" s="3">
        <f>C9*3</f>
        <v>9</v>
      </c>
      <c r="D10" s="3">
        <f t="shared" ref="D10:E10" si="0">D9*3</f>
        <v>6</v>
      </c>
      <c r="E10" s="3">
        <f t="shared" si="0"/>
        <v>3</v>
      </c>
      <c r="F10" s="3">
        <f>SUM(B10:E10)</f>
        <v>24</v>
      </c>
    </row>
    <row r="11" spans="1:6" x14ac:dyDescent="0.3">
      <c r="A11" t="s">
        <v>71</v>
      </c>
      <c r="B11">
        <f>ROUNDUP(B2/24,0)*3</f>
        <v>9</v>
      </c>
      <c r="C11">
        <f t="shared" ref="C11:E11" si="1">ROUNDUP(C2/24,0)*3</f>
        <v>12</v>
      </c>
      <c r="D11">
        <f t="shared" si="1"/>
        <v>6</v>
      </c>
      <c r="E11">
        <f t="shared" si="1"/>
        <v>3</v>
      </c>
      <c r="F11">
        <f>SUM(B11:E11)</f>
        <v>30</v>
      </c>
    </row>
    <row r="12" spans="1:6" x14ac:dyDescent="0.3">
      <c r="A12" t="s">
        <v>72</v>
      </c>
      <c r="B12">
        <f>ROUNDUP(B2/28,0)*3</f>
        <v>6</v>
      </c>
      <c r="C12">
        <f t="shared" ref="C12:E12" si="2">ROUNDUP(C2/28,0)*3</f>
        <v>12</v>
      </c>
      <c r="D12">
        <f>ROUNDUP(D2/28,0)*3</f>
        <v>6</v>
      </c>
      <c r="E12">
        <f t="shared" si="2"/>
        <v>3</v>
      </c>
      <c r="F12">
        <f>SUM(B12:E12)</f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36B8-00F5-498D-8B2C-7845CF779E4F}">
  <dimension ref="A1:J27"/>
  <sheetViews>
    <sheetView workbookViewId="0">
      <selection activeCell="B4" sqref="B4"/>
    </sheetView>
  </sheetViews>
  <sheetFormatPr defaultRowHeight="14.4" x14ac:dyDescent="0.3"/>
  <cols>
    <col min="1" max="1" width="62.6640625" bestFit="1" customWidth="1"/>
    <col min="2" max="2" width="18.77734375" bestFit="1" customWidth="1"/>
    <col min="3" max="3" width="23.33203125" bestFit="1" customWidth="1"/>
    <col min="4" max="4" width="26" bestFit="1" customWidth="1"/>
    <col min="5" max="5" width="18.88671875" bestFit="1" customWidth="1"/>
    <col min="6" max="6" width="12.33203125" bestFit="1" customWidth="1"/>
    <col min="7" max="7" width="7.109375" bestFit="1" customWidth="1"/>
    <col min="8" max="9" width="7" bestFit="1" customWidth="1"/>
    <col min="10" max="10" width="7.6640625" bestFit="1" customWidth="1"/>
  </cols>
  <sheetData>
    <row r="1" spans="1:10" ht="18" x14ac:dyDescent="0.35">
      <c r="A1" s="19" t="s">
        <v>163</v>
      </c>
      <c r="B1" s="20"/>
      <c r="C1" s="21"/>
      <c r="D1" s="20"/>
      <c r="E1" s="20"/>
      <c r="F1" s="21"/>
      <c r="G1" s="20"/>
      <c r="H1" s="20"/>
      <c r="I1" s="5"/>
      <c r="J1" s="6"/>
    </row>
    <row r="2" spans="1:10" x14ac:dyDescent="0.3">
      <c r="A2" s="6"/>
      <c r="B2" s="5"/>
      <c r="C2" s="6"/>
      <c r="D2" s="5"/>
      <c r="E2" s="5"/>
      <c r="F2" s="6"/>
      <c r="G2" s="5"/>
      <c r="H2" s="5"/>
      <c r="I2" s="5"/>
      <c r="J2" s="6"/>
    </row>
    <row r="3" spans="1:10" x14ac:dyDescent="0.3">
      <c r="A3" s="7" t="s">
        <v>164</v>
      </c>
      <c r="B3" s="8">
        <v>85</v>
      </c>
      <c r="C3" s="9"/>
      <c r="D3" s="10" t="s">
        <v>165</v>
      </c>
      <c r="E3" s="11"/>
      <c r="F3" s="9"/>
      <c r="G3" s="11"/>
      <c r="H3" s="11"/>
      <c r="I3" s="11"/>
      <c r="J3" s="9"/>
    </row>
    <row r="4" spans="1:10" x14ac:dyDescent="0.3">
      <c r="A4" s="7" t="s">
        <v>166</v>
      </c>
      <c r="B4" s="8">
        <v>7</v>
      </c>
      <c r="C4" s="9"/>
      <c r="D4" s="11"/>
      <c r="E4" s="11"/>
      <c r="F4" s="9"/>
      <c r="G4" s="11"/>
      <c r="H4" s="11"/>
      <c r="I4" s="11"/>
      <c r="J4" s="9"/>
    </row>
    <row r="5" spans="1:10" x14ac:dyDescent="0.3">
      <c r="A5" s="7" t="s">
        <v>167</v>
      </c>
      <c r="B5" s="8">
        <v>5</v>
      </c>
      <c r="C5" s="9"/>
      <c r="D5" s="11"/>
      <c r="E5" s="11"/>
      <c r="F5" s="9"/>
      <c r="G5" s="11"/>
      <c r="H5" s="11"/>
      <c r="I5" s="11"/>
      <c r="J5" s="9"/>
    </row>
    <row r="6" spans="1:10" x14ac:dyDescent="0.3">
      <c r="A6" s="7" t="s">
        <v>168</v>
      </c>
      <c r="B6" s="12">
        <f>ROUNDUP(B3/B4,0)</f>
        <v>13</v>
      </c>
      <c r="C6" s="9"/>
      <c r="D6" s="11"/>
      <c r="E6" s="11"/>
      <c r="F6" s="9"/>
      <c r="G6" s="11"/>
      <c r="H6" s="11"/>
      <c r="I6" s="11"/>
      <c r="J6" s="9"/>
    </row>
    <row r="7" spans="1:10" x14ac:dyDescent="0.3">
      <c r="A7" s="7" t="s">
        <v>169</v>
      </c>
      <c r="B7" s="12">
        <f>ROUNDDOWN(B6/3,0)</f>
        <v>4</v>
      </c>
      <c r="C7" s="9"/>
      <c r="D7" s="11"/>
      <c r="E7" s="11"/>
      <c r="F7" s="9"/>
      <c r="G7" s="11"/>
      <c r="H7" s="11"/>
      <c r="I7" s="11"/>
      <c r="J7" s="9"/>
    </row>
    <row r="8" spans="1:10" x14ac:dyDescent="0.3">
      <c r="A8" s="7" t="s">
        <v>170</v>
      </c>
      <c r="B8" s="12">
        <f>MOD(B6,3)</f>
        <v>1</v>
      </c>
      <c r="C8" s="9"/>
      <c r="D8" s="11"/>
      <c r="E8" s="11"/>
      <c r="F8" s="9"/>
      <c r="G8" s="11"/>
      <c r="H8" s="11"/>
      <c r="I8" s="11"/>
      <c r="J8" s="9"/>
    </row>
    <row r="9" spans="1:10" x14ac:dyDescent="0.3">
      <c r="A9" s="6"/>
      <c r="B9" s="11"/>
      <c r="C9" s="9"/>
      <c r="D9" s="11"/>
      <c r="E9" s="11"/>
      <c r="F9" s="9"/>
      <c r="G9" s="11"/>
      <c r="H9" s="11"/>
      <c r="I9" s="11"/>
      <c r="J9" s="9"/>
    </row>
    <row r="10" spans="1:10" x14ac:dyDescent="0.3">
      <c r="A10" s="13" t="s">
        <v>171</v>
      </c>
      <c r="B10" s="14" t="s">
        <v>172</v>
      </c>
      <c r="C10" s="14" t="s">
        <v>173</v>
      </c>
      <c r="D10" s="14" t="s">
        <v>174</v>
      </c>
      <c r="E10" s="11"/>
      <c r="F10" s="9"/>
      <c r="G10" s="11"/>
      <c r="H10" s="11"/>
      <c r="I10" s="11"/>
      <c r="J10" s="9"/>
    </row>
    <row r="11" spans="1:10" x14ac:dyDescent="0.3">
      <c r="A11" s="6" t="s">
        <v>175</v>
      </c>
      <c r="B11" s="11">
        <f>MIN($B$5,$B$7+IF(1&lt;=$B$8,1,0))</f>
        <v>5</v>
      </c>
      <c r="C11" s="9">
        <f>$B$4</f>
        <v>7</v>
      </c>
      <c r="D11" s="11">
        <f>B11*C11</f>
        <v>35</v>
      </c>
      <c r="E11" s="11"/>
      <c r="F11" s="9"/>
      <c r="G11" s="11"/>
      <c r="H11" s="11"/>
      <c r="I11" s="11"/>
      <c r="J11" s="9"/>
    </row>
    <row r="12" spans="1:10" x14ac:dyDescent="0.3">
      <c r="A12" s="6" t="s">
        <v>176</v>
      </c>
      <c r="B12" s="11">
        <f>MIN($B$5,$B$7+IF(2&lt;=$B$8,1,0))</f>
        <v>4</v>
      </c>
      <c r="C12" s="9">
        <f>$B$4</f>
        <v>7</v>
      </c>
      <c r="D12" s="11">
        <f>B12*C12</f>
        <v>28</v>
      </c>
      <c r="E12" s="11"/>
      <c r="F12" s="9"/>
      <c r="G12" s="11"/>
      <c r="H12" s="11"/>
      <c r="I12" s="11"/>
      <c r="J12" s="9"/>
    </row>
    <row r="13" spans="1:10" x14ac:dyDescent="0.3">
      <c r="A13" s="6" t="s">
        <v>177</v>
      </c>
      <c r="B13" s="11">
        <f>MIN($B$5,$B$7+IF(3&lt;=$B$8,1,0))</f>
        <v>4</v>
      </c>
      <c r="C13" s="9">
        <f>$B$4</f>
        <v>7</v>
      </c>
      <c r="D13" s="11">
        <f>B13*C13</f>
        <v>28</v>
      </c>
      <c r="E13" s="11"/>
      <c r="F13" s="9"/>
      <c r="G13" s="11"/>
      <c r="H13" s="11"/>
      <c r="I13" s="11"/>
      <c r="J13" s="9"/>
    </row>
    <row r="14" spans="1:10" x14ac:dyDescent="0.3">
      <c r="A14" s="15" t="s">
        <v>178</v>
      </c>
      <c r="B14" s="16">
        <f>SUM(B11:B13)</f>
        <v>13</v>
      </c>
      <c r="C14" s="17"/>
      <c r="D14" s="16">
        <f>SUM(D11:D13)</f>
        <v>91</v>
      </c>
      <c r="E14" s="16"/>
      <c r="F14" s="17"/>
      <c r="G14" s="16"/>
      <c r="H14" s="16"/>
      <c r="I14" s="11"/>
      <c r="J14" s="9"/>
    </row>
    <row r="15" spans="1:10" x14ac:dyDescent="0.3">
      <c r="A15" s="6"/>
      <c r="B15" s="11"/>
      <c r="C15" s="9"/>
      <c r="D15" s="11"/>
      <c r="E15" s="11"/>
      <c r="F15" s="9"/>
      <c r="G15" s="11"/>
      <c r="H15" s="11"/>
      <c r="I15" s="11"/>
      <c r="J15" s="9"/>
    </row>
    <row r="16" spans="1:10" x14ac:dyDescent="0.3">
      <c r="A16" s="6"/>
      <c r="B16" s="11"/>
      <c r="C16" s="9"/>
      <c r="D16" s="11"/>
      <c r="E16" s="11"/>
      <c r="F16" s="9"/>
      <c r="G16" s="11"/>
      <c r="H16" s="11"/>
      <c r="I16" s="11"/>
      <c r="J16" s="9"/>
    </row>
    <row r="17" spans="1:10" x14ac:dyDescent="0.3">
      <c r="A17" s="13" t="s">
        <v>4</v>
      </c>
      <c r="B17" s="14" t="s">
        <v>6</v>
      </c>
      <c r="C17" s="14" t="s">
        <v>179</v>
      </c>
      <c r="D17" s="14" t="s">
        <v>8</v>
      </c>
      <c r="E17" s="14" t="s">
        <v>9</v>
      </c>
      <c r="F17" s="14" t="s">
        <v>10</v>
      </c>
      <c r="G17" s="14" t="s">
        <v>11</v>
      </c>
      <c r="H17" s="14" t="s">
        <v>12</v>
      </c>
      <c r="I17" s="14" t="s">
        <v>13</v>
      </c>
      <c r="J17" s="14" t="s">
        <v>14</v>
      </c>
    </row>
    <row r="18" spans="1:10" x14ac:dyDescent="0.3">
      <c r="A18" s="6" t="s">
        <v>180</v>
      </c>
      <c r="B18" s="11" t="s">
        <v>29</v>
      </c>
      <c r="C18" s="9">
        <f>B11+B12+B13</f>
        <v>13</v>
      </c>
      <c r="D18" s="11" t="str">
        <f t="shared" ref="D18:E20" ca="1" si="0">D18</f>
        <v/>
      </c>
      <c r="E18" s="11" t="str">
        <f t="shared" ca="1" si="0"/>
        <v/>
      </c>
      <c r="F18" s="9">
        <v>0</v>
      </c>
      <c r="G18" s="11">
        <f>B11*1</f>
        <v>5</v>
      </c>
      <c r="H18" s="11">
        <f>B12*1</f>
        <v>4</v>
      </c>
      <c r="I18" s="11">
        <f>B13*1</f>
        <v>4</v>
      </c>
      <c r="J18" s="9">
        <v>0</v>
      </c>
    </row>
    <row r="19" spans="1:10" x14ac:dyDescent="0.3">
      <c r="A19" s="6" t="s">
        <v>181</v>
      </c>
      <c r="B19" s="11" t="s">
        <v>182</v>
      </c>
      <c r="C19" s="9">
        <f>(B11*2)+(B12*2)+(B13*2)</f>
        <v>26</v>
      </c>
      <c r="D19" s="11" t="str">
        <f t="shared" ca="1" si="0"/>
        <v/>
      </c>
      <c r="E19" s="11" t="str">
        <f t="shared" ca="1" si="0"/>
        <v/>
      </c>
      <c r="F19" s="9">
        <v>0</v>
      </c>
      <c r="G19" s="11">
        <f>B11*2</f>
        <v>10</v>
      </c>
      <c r="H19" s="11">
        <f>B12*2</f>
        <v>8</v>
      </c>
      <c r="I19" s="11">
        <f>B13*2</f>
        <v>8</v>
      </c>
      <c r="J19" s="9">
        <v>0</v>
      </c>
    </row>
    <row r="20" spans="1:10" x14ac:dyDescent="0.3">
      <c r="A20" s="6" t="s">
        <v>183</v>
      </c>
      <c r="B20" s="11" t="s">
        <v>29</v>
      </c>
      <c r="C20" s="9">
        <f>B11+B12+B13</f>
        <v>13</v>
      </c>
      <c r="D20" s="11" t="str">
        <f t="shared" ca="1" si="0"/>
        <v/>
      </c>
      <c r="E20" s="11" t="str">
        <f t="shared" ca="1" si="0"/>
        <v/>
      </c>
      <c r="F20" s="9">
        <v>0</v>
      </c>
      <c r="G20" s="11">
        <f>B11*1</f>
        <v>5</v>
      </c>
      <c r="H20" s="11">
        <f>B12*1</f>
        <v>4</v>
      </c>
      <c r="I20" s="11">
        <f>B13*1</f>
        <v>4</v>
      </c>
      <c r="J20" s="9">
        <v>0</v>
      </c>
    </row>
    <row r="21" spans="1:10" x14ac:dyDescent="0.3">
      <c r="A21" s="6"/>
      <c r="B21" s="5"/>
      <c r="C21" s="6"/>
      <c r="D21" s="5"/>
      <c r="E21" s="5"/>
      <c r="F21" s="6"/>
      <c r="G21" s="5"/>
      <c r="H21" s="5"/>
      <c r="I21" s="5"/>
      <c r="J21" s="6"/>
    </row>
    <row r="22" spans="1:10" x14ac:dyDescent="0.3">
      <c r="A22" s="6"/>
      <c r="B22" s="5"/>
      <c r="C22" s="6"/>
      <c r="D22" s="5"/>
      <c r="E22" s="5"/>
      <c r="F22" s="6"/>
      <c r="G22" s="5"/>
      <c r="H22" s="5"/>
      <c r="I22" s="5"/>
      <c r="J22" s="6"/>
    </row>
    <row r="23" spans="1:10" x14ac:dyDescent="0.3">
      <c r="A23" s="22" t="s">
        <v>184</v>
      </c>
      <c r="B23" s="20"/>
      <c r="C23" s="21"/>
      <c r="D23" s="20"/>
      <c r="E23" s="5"/>
      <c r="F23" s="6"/>
      <c r="G23" s="5"/>
      <c r="H23" s="5"/>
      <c r="I23" s="5"/>
      <c r="J23" s="6"/>
    </row>
    <row r="24" spans="1:10" x14ac:dyDescent="0.3">
      <c r="A24" s="6" t="s">
        <v>185</v>
      </c>
      <c r="B24" s="5"/>
      <c r="C24" s="6"/>
      <c r="D24" s="5"/>
      <c r="E24" s="5"/>
      <c r="F24" s="6"/>
      <c r="G24" s="5"/>
      <c r="H24" s="5"/>
      <c r="I24" s="5"/>
      <c r="J24" s="6"/>
    </row>
    <row r="25" spans="1:10" x14ac:dyDescent="0.3">
      <c r="A25" s="6" t="s">
        <v>186</v>
      </c>
      <c r="B25" s="5"/>
      <c r="C25" s="6"/>
      <c r="D25" s="5"/>
      <c r="E25" s="5"/>
      <c r="F25" s="6"/>
      <c r="G25" s="5"/>
      <c r="H25" s="5"/>
      <c r="I25" s="5"/>
      <c r="J25" s="6"/>
    </row>
    <row r="26" spans="1:10" x14ac:dyDescent="0.3">
      <c r="A26" s="6" t="s">
        <v>187</v>
      </c>
      <c r="B26" s="5"/>
      <c r="C26" s="6"/>
      <c r="D26" s="5"/>
      <c r="E26" s="5"/>
      <c r="F26" s="6"/>
      <c r="G26" s="5"/>
      <c r="H26" s="5"/>
      <c r="I26" s="5"/>
      <c r="J26" s="6"/>
    </row>
    <row r="27" spans="1:10" x14ac:dyDescent="0.3">
      <c r="A27" t="s">
        <v>188</v>
      </c>
    </row>
  </sheetData>
  <mergeCells count="2">
    <mergeCell ref="A1:H1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WTT</vt:lpstr>
      <vt:lpstr>Weaving Back-Up</vt:lpstr>
      <vt:lpstr>Stenter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Tadumudupula Nikhitha</dc:creator>
  <cp:lastModifiedBy>Tadumudupula Nikhitha</cp:lastModifiedBy>
  <dcterms:created xsi:type="dcterms:W3CDTF">2026-04-02T09:15:15Z</dcterms:created>
  <dcterms:modified xsi:type="dcterms:W3CDTF">2026-04-14T06:51:58Z</dcterms:modified>
</cp:coreProperties>
</file>