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Nikhitha\OneDrive\Desktop\Manning_AUM\rugs\"/>
    </mc:Choice>
  </mc:AlternateContent>
  <xr:revisionPtr revIDLastSave="0" documentId="13_ncr:1_{9D2E21CE-0059-40A2-A794-CEE1D13DB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gs" sheetId="4" r:id="rId1"/>
    <sheet name="packing&amp;tfo" sheetId="10" r:id="rId2"/>
    <sheet name="Dye_Mc" sheetId="8" r:id="rId3"/>
    <sheet name="Hydro " sheetId="9" r:id="rId4"/>
    <sheet name="Packing" sheetId="3" r:id="rId5"/>
    <sheet name="Capacity" sheetId="5" r:id="rId6"/>
    <sheet name="Coating" sheetId="6" r:id="rId7"/>
    <sheet name="CS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</externalReferences>
  <definedNames>
    <definedName name="\A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J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X">#REF!</definedName>
    <definedName name="\Z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prn01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prn01">#REF!</definedName>
    <definedName name="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PS2002">[1]Template!$G$71</definedName>
    <definedName name="_________DPS2003">[1]Template!$H$71</definedName>
    <definedName name="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prn01">#REF!</definedName>
    <definedName name="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a1">#REF!</definedName>
    <definedName name="________aug08">#REF!</definedName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[2]Prod!#REF!</definedName>
    <definedName name="________DAT5">#REF!</definedName>
    <definedName name="________DAT50">[2]Prod!#REF!</definedName>
    <definedName name="________DAT51">[2]Prod!#REF!</definedName>
    <definedName name="________DAT52">[2]Prod!#REF!</definedName>
    <definedName name="________DAT53">#REF!</definedName>
    <definedName name="________DAT54">'[3]pending indent'!#REF!</definedName>
    <definedName name="________DAT55">'[3]pending indent'!#REF!</definedName>
    <definedName name="________DAT56">'[3]pending indent'!#REF!</definedName>
    <definedName name="________DAT57">'[3]pending indent'!#REF!</definedName>
    <definedName name="________DAT58">'[3]pending indent'!#REF!</definedName>
    <definedName name="________DAT59">'[3]pending indent'!#REF!</definedName>
    <definedName name="________DAT6">#REF!</definedName>
    <definedName name="________DAT60">'[3]pending indent'!#REF!</definedName>
    <definedName name="________DAT61">'[3]pending indent'!#REF!</definedName>
    <definedName name="________DAT62">'[3]pending indent'!#REF!</definedName>
    <definedName name="________DAT63">'[3]pending indent'!#REF!</definedName>
    <definedName name="________DAT64">'[3]pending indent'!#REF!</definedName>
    <definedName name="________DAT65">'[3]pending indent'!#REF!</definedName>
    <definedName name="________DAT66">'[3]pending indent'!#REF!</definedName>
    <definedName name="________DAT67">'[3]pending indent'!#REF!</definedName>
    <definedName name="________DAT68">'[3]pending indent'!#REF!</definedName>
    <definedName name="________DAT69">'[3]pending indent'!#REF!</definedName>
    <definedName name="________DAT7">#REF!</definedName>
    <definedName name="________DAT70">'[3]pending indent'!#REF!</definedName>
    <definedName name="________DAT71">'[3]pending indent'!#REF!</definedName>
    <definedName name="________DAT72">'[3]pending indent'!#REF!</definedName>
    <definedName name="________DAT73">'[3]pending indent'!#REF!</definedName>
    <definedName name="________DAT74">'[3]pending indent'!#REF!</definedName>
    <definedName name="________DAT75">'[3]pending indent'!#REF!</definedName>
    <definedName name="________DAT76">'[3]pending indent'!#REF!</definedName>
    <definedName name="________DAT77">'[3]pending indent'!#REF!</definedName>
    <definedName name="________DAT78">'[3]pending indent'!#REF!</definedName>
    <definedName name="________DAT79">'[3]pending indent'!#REF!</definedName>
    <definedName name="________DAT8">#REF!</definedName>
    <definedName name="________DAT80">'[3]pending indent'!#REF!</definedName>
    <definedName name="________DAT81">'[3]pending indent'!#REF!</definedName>
    <definedName name="________DAT82">'[3]pending indent'!#REF!</definedName>
    <definedName name="________DAT83">#REF!</definedName>
    <definedName name="________DAT84">#REF!</definedName>
    <definedName name="________DAT85">#REF!</definedName>
    <definedName name="________DAT86">'[3]pending indent'!#REF!</definedName>
    <definedName name="________DAT87">'[3]pending indent'!#REF!</definedName>
    <definedName name="________DAT88">'[3]pending indent'!#REF!</definedName>
    <definedName name="________DAT89">'[3]pending indent'!#REF!</definedName>
    <definedName name="________DAT9">#REF!</definedName>
    <definedName name="________DAT90">'[3]pending indent'!#REF!</definedName>
    <definedName name="________DAT91">'[3]pending indent'!#REF!</definedName>
    <definedName name="________DAT92">'[3]pending indent'!#REF!</definedName>
    <definedName name="________DAT93">'[3]pending indent'!#REF!</definedName>
    <definedName name="________DAT94">'[3]pending indent'!#REF!</definedName>
    <definedName name="________DAT95">'[3]pending indent'!#REF!</definedName>
    <definedName name="________DAT96">'[3]pending indent'!#REF!</definedName>
    <definedName name="________DAT97">'[3]pending indent'!#REF!</definedName>
    <definedName name="________DAT98">'[3]pending indent'!#REF!</definedName>
    <definedName name="________DAT99">'[3]pending indent'!#REF!</definedName>
    <definedName name="________DPS2002">[1]Template!$G$71</definedName>
    <definedName name="________DPS2003">[1]Template!$H$71</definedName>
    <definedName name="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prn01">#REF!</definedName>
    <definedName name="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VML2">'[4]POP SALARY '!#REF!</definedName>
    <definedName name="________VML3">'[4]POP SALARY '!#REF!</definedName>
    <definedName name="________VML4">'[4]POP SALARY '!#REF!</definedName>
    <definedName name="_______a1">#REF!</definedName>
    <definedName name="_______aug08">#REF!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[2]Prod!#REF!</definedName>
    <definedName name="_______DAT5">#REF!</definedName>
    <definedName name="_______DAT50">[2]Prod!#REF!</definedName>
    <definedName name="_______DAT51">[2]Prod!#REF!</definedName>
    <definedName name="_______DAT52">[2]Prod!#REF!</definedName>
    <definedName name="_______DAT53">#REF!</definedName>
    <definedName name="_______DAT54">'[3]pending indent'!#REF!</definedName>
    <definedName name="_______DAT55">'[3]pending indent'!#REF!</definedName>
    <definedName name="_______DAT56">'[3]pending indent'!#REF!</definedName>
    <definedName name="_______DAT57">'[3]pending indent'!#REF!</definedName>
    <definedName name="_______DAT58">'[3]pending indent'!#REF!</definedName>
    <definedName name="_______DAT59">'[3]pending indent'!#REF!</definedName>
    <definedName name="_______DAT6">#REF!</definedName>
    <definedName name="_______DAT60">'[3]pending indent'!#REF!</definedName>
    <definedName name="_______DAT61">'[3]pending indent'!#REF!</definedName>
    <definedName name="_______DAT62">'[3]pending indent'!#REF!</definedName>
    <definedName name="_______DAT63">'[3]pending indent'!#REF!</definedName>
    <definedName name="_______DAT64">'[3]pending indent'!#REF!</definedName>
    <definedName name="_______DAT65">'[3]pending indent'!#REF!</definedName>
    <definedName name="_______DAT66">'[3]pending indent'!#REF!</definedName>
    <definedName name="_______DAT67">'[3]pending indent'!#REF!</definedName>
    <definedName name="_______DAT68">'[3]pending indent'!#REF!</definedName>
    <definedName name="_______DAT69">'[3]pending indent'!#REF!</definedName>
    <definedName name="_______DAT7">#REF!</definedName>
    <definedName name="_______DAT70">'[3]pending indent'!#REF!</definedName>
    <definedName name="_______DAT71">'[3]pending indent'!#REF!</definedName>
    <definedName name="_______DAT72">'[3]pending indent'!#REF!</definedName>
    <definedName name="_______DAT73">'[3]pending indent'!#REF!</definedName>
    <definedName name="_______DAT74">'[3]pending indent'!#REF!</definedName>
    <definedName name="_______DAT75">'[3]pending indent'!#REF!</definedName>
    <definedName name="_______DAT76">'[3]pending indent'!#REF!</definedName>
    <definedName name="_______DAT77">'[3]pending indent'!#REF!</definedName>
    <definedName name="_______DAT78">'[3]pending indent'!#REF!</definedName>
    <definedName name="_______DAT79">'[3]pending indent'!#REF!</definedName>
    <definedName name="_______DAT8">#REF!</definedName>
    <definedName name="_______DAT80">'[3]pending indent'!#REF!</definedName>
    <definedName name="_______DAT81">'[3]pending indent'!#REF!</definedName>
    <definedName name="_______DAT82">'[3]pending indent'!#REF!</definedName>
    <definedName name="_______DAT83">#REF!</definedName>
    <definedName name="_______DAT84">#REF!</definedName>
    <definedName name="_______DAT85">#REF!</definedName>
    <definedName name="_______DAT86">'[3]pending indent'!#REF!</definedName>
    <definedName name="_______DAT87">'[3]pending indent'!#REF!</definedName>
    <definedName name="_______DAT88">'[3]pending indent'!#REF!</definedName>
    <definedName name="_______DAT89">'[3]pending indent'!#REF!</definedName>
    <definedName name="_______DAT9">#REF!</definedName>
    <definedName name="_______DAT90">'[3]pending indent'!#REF!</definedName>
    <definedName name="_______DAT91">'[3]pending indent'!#REF!</definedName>
    <definedName name="_______DAT92">'[3]pending indent'!#REF!</definedName>
    <definedName name="_______DAT93">'[3]pending indent'!#REF!</definedName>
    <definedName name="_______DAT94">'[3]pending indent'!#REF!</definedName>
    <definedName name="_______DAT95">'[3]pending indent'!#REF!</definedName>
    <definedName name="_______DAT96">'[3]pending indent'!#REF!</definedName>
    <definedName name="_______DAT97">'[3]pending indent'!#REF!</definedName>
    <definedName name="_______DAT98">'[3]pending indent'!#REF!</definedName>
    <definedName name="_______DAT99">'[3]pending indent'!#REF!</definedName>
    <definedName name="_______DPS2002">[1]Template!$G$71</definedName>
    <definedName name="_______DPS2003">[1]Template!$H$71</definedName>
    <definedName name="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prn01">#REF!</definedName>
    <definedName name="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VML1">'[4]POP SALARY '!#REF!</definedName>
    <definedName name="_______VML2">'[4]POP SALARY '!#REF!</definedName>
    <definedName name="_______VML3">'[4]POP SALARY '!#REF!</definedName>
    <definedName name="_______VML4">'[4]POP SALARY '!#REF!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DAT1">#REF!</definedName>
    <definedName name="______DAT10">[5]Input_B_V!$J$2:$J$1028</definedName>
    <definedName name="______DAT11">[6]Working!#REF!</definedName>
    <definedName name="______DAT12">[6]Working!#REF!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'[7]Excise on RM'!#REF!</definedName>
    <definedName name="______DAT22">#REF!</definedName>
    <definedName name="______DAT23">'[7]Excise on RM'!#REF!</definedName>
    <definedName name="______DAT24">'[7]Excise on RM'!#REF!</definedName>
    <definedName name="______DAT25">#REF!</definedName>
    <definedName name="______DAT26">[6]Working!#REF!</definedName>
    <definedName name="______DAT27">[6]Working!#REF!</definedName>
    <definedName name="______DAT28">'[7]Excise on RM'!#REF!</definedName>
    <definedName name="______DAT29">#REF!</definedName>
    <definedName name="______DAT3">#REF!</definedName>
    <definedName name="______DAT30">'[7]Excise on RM'!#REF!</definedName>
    <definedName name="______DAT31">[6]Working!#REF!</definedName>
    <definedName name="______DAT32">'[7]Excise on RM'!#REF!</definedName>
    <definedName name="______DAT33">'[7]Excise on RM'!#REF!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[2]Prod!#REF!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[2]Prod!#REF!</definedName>
    <definedName name="______DAT5">#REF!</definedName>
    <definedName name="______DAT51">[2]Prod!#REF!</definedName>
    <definedName name="______DAT52">[2]Prod!#REF!</definedName>
    <definedName name="______DAT53">#REF!</definedName>
    <definedName name="______DAT6">#REF!</definedName>
    <definedName name="______DAT7">#REF!</definedName>
    <definedName name="______DAT8">#REF!</definedName>
    <definedName name="______DAT9">#REF!</definedName>
    <definedName name="______DPS2002">[1]Template!$G$71</definedName>
    <definedName name="______DPS2003">[1]Template!$H$71</definedName>
    <definedName name="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prn01">#REF!</definedName>
    <definedName name="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VML1">'[4]POP SALARY '!#REF!</definedName>
    <definedName name="_____a1">#REF!</definedName>
    <definedName name="_____aug08">#REF!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DAT1">#REF!</definedName>
    <definedName name="_____DAT10">[5]Input_B_V!$J$2:$J$1028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[6]Working!#REF!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[6]Working!#REF!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'[8]Feb''10'!#REF!</definedName>
    <definedName name="_____DAT21">'[7]Excise on RM'!#REF!</definedName>
    <definedName name="_____DAT22">'[9]Stitiching  JW As per gl '!#REF!</definedName>
    <definedName name="_____DAT23">'[7]Excise on RM'!#REF!</definedName>
    <definedName name="_____DAT24">'[7]Excise on RM'!#REF!</definedName>
    <definedName name="_____DAT25">[10]Sheet1!#REF!</definedName>
    <definedName name="_____DAT26">[6]Working!#REF!</definedName>
    <definedName name="_____DAT27">[6]Working!#REF!</definedName>
    <definedName name="_____DAT28">'[7]Excise on RM'!#REF!</definedName>
    <definedName name="_____DAT29">#REF!</definedName>
    <definedName name="_____DAT3">#REF!</definedName>
    <definedName name="_____DAT30">'[7]Excise on RM'!#REF!</definedName>
    <definedName name="_____DAT31">[6]Working!#REF!</definedName>
    <definedName name="_____DAT32">'[7]Excise on RM'!#REF!</definedName>
    <definedName name="_____DAT33">'[7]Excise on RM'!#REF!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[11]Prod!#REF!</definedName>
    <definedName name="_____DAT4">#REF!</definedName>
    <definedName name="_____DAT40">[2]Prod!#REF!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[11]Prod!#REF!</definedName>
    <definedName name="_____DAT5">#REF!</definedName>
    <definedName name="_____DAT50">[2]Prod!#REF!</definedName>
    <definedName name="_____DAT51">[11]Prod!#REF!</definedName>
    <definedName name="_____DAT52">[11]Prod!#REF!</definedName>
    <definedName name="_____DAT53">#REF!</definedName>
    <definedName name="_____DAT54">'[3]pending indent'!#REF!</definedName>
    <definedName name="_____DAT55">'[3]pending indent'!#REF!</definedName>
    <definedName name="_____DAT56">'[3]pending indent'!#REF!</definedName>
    <definedName name="_____DAT57">'[3]pending indent'!#REF!</definedName>
    <definedName name="_____DAT58">'[3]pending indent'!#REF!</definedName>
    <definedName name="_____DAT59">'[3]pending indent'!#REF!</definedName>
    <definedName name="_____DAT6">#REF!</definedName>
    <definedName name="_____DAT60">'[3]pending indent'!#REF!</definedName>
    <definedName name="_____DAT61">'[3]pending indent'!#REF!</definedName>
    <definedName name="_____DAT62">'[3]pending indent'!#REF!</definedName>
    <definedName name="_____DAT63">'[3]pending indent'!#REF!</definedName>
    <definedName name="_____DAT64">'[3]pending indent'!#REF!</definedName>
    <definedName name="_____DAT65">'[3]pending indent'!#REF!</definedName>
    <definedName name="_____DAT66">'[3]pending indent'!#REF!</definedName>
    <definedName name="_____DAT67">'[3]pending indent'!#REF!</definedName>
    <definedName name="_____DAT68">'[3]pending indent'!#REF!</definedName>
    <definedName name="_____DAT69">'[3]pending indent'!#REF!</definedName>
    <definedName name="_____DAT7">#REF!</definedName>
    <definedName name="_____DAT70">'[3]pending indent'!#REF!</definedName>
    <definedName name="_____DAT71">'[3]pending indent'!#REF!</definedName>
    <definedName name="_____DAT72">'[3]pending indent'!#REF!</definedName>
    <definedName name="_____DAT73">'[3]pending indent'!#REF!</definedName>
    <definedName name="_____DAT74">'[3]pending indent'!#REF!</definedName>
    <definedName name="_____DAT75">'[3]pending indent'!#REF!</definedName>
    <definedName name="_____DAT76">'[3]pending indent'!#REF!</definedName>
    <definedName name="_____DAT77">'[3]pending indent'!#REF!</definedName>
    <definedName name="_____DAT78">'[3]pending indent'!#REF!</definedName>
    <definedName name="_____DAT79">'[3]pending indent'!#REF!</definedName>
    <definedName name="_____DAT8">#REF!</definedName>
    <definedName name="_____DAT80">'[3]pending indent'!#REF!</definedName>
    <definedName name="_____DAT81">'[3]pending indent'!#REF!</definedName>
    <definedName name="_____DAT82">'[3]pending indent'!#REF!</definedName>
    <definedName name="_____DAT83">#REF!</definedName>
    <definedName name="_____DAT84">#REF!</definedName>
    <definedName name="_____DAT85">#REF!</definedName>
    <definedName name="_____DAT86">'[3]pending indent'!#REF!</definedName>
    <definedName name="_____DAT87">'[3]pending indent'!#REF!</definedName>
    <definedName name="_____DAT88">'[3]pending indent'!#REF!</definedName>
    <definedName name="_____DAT89">'[3]pending indent'!#REF!</definedName>
    <definedName name="_____DAT9">#REF!</definedName>
    <definedName name="_____DAT90">'[3]pending indent'!#REF!</definedName>
    <definedName name="_____DAT91">'[3]pending indent'!#REF!</definedName>
    <definedName name="_____DAT92">'[3]pending indent'!#REF!</definedName>
    <definedName name="_____DAT93">'[3]pending indent'!#REF!</definedName>
    <definedName name="_____DAT94">'[3]pending indent'!#REF!</definedName>
    <definedName name="_____DAT95">'[3]pending indent'!#REF!</definedName>
    <definedName name="_____DAT96">'[3]pending indent'!#REF!</definedName>
    <definedName name="_____DAT97">'[3]pending indent'!#REF!</definedName>
    <definedName name="_____DAT98">'[3]pending indent'!#REF!</definedName>
    <definedName name="_____DAT99">'[3]pending indent'!#REF!</definedName>
    <definedName name="_____DPS2002">[1]Template!$G$71</definedName>
    <definedName name="_____DPS2003">[1]Template!$H$71</definedName>
    <definedName name="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prn01">#REF!</definedName>
    <definedName name="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VML1">'[4]POP SALARY '!#REF!</definedName>
    <definedName name="_____VML2">'[4]POP SALARY '!#REF!</definedName>
    <definedName name="_____VML3">'[4]POP SALARY '!#REF!</definedName>
    <definedName name="_____VML4">'[4]POP SALARY '!#REF!</definedName>
    <definedName name="____a1">#REF!</definedName>
    <definedName name="____aug08">#REF!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>#REF!</definedName>
    <definedName name="____DAT15">#REF!</definedName>
    <definedName name="____DAT16">'[7]Excise on RM'!#REF!</definedName>
    <definedName name="____DAT17">'[7]Excise on RM'!#REF!</definedName>
    <definedName name="____DAT18">'[7]Excise on RM'!#REF!</definedName>
    <definedName name="____DAT19">#REF!</definedName>
    <definedName name="____DAT2">#REF!</definedName>
    <definedName name="____DAT20">'[12]Feb''10'!#REF!</definedName>
    <definedName name="____DAT21">'[7]Excise on RM'!#REF!</definedName>
    <definedName name="____DAT22">'[13]Stitiching  JW As per gl '!#REF!</definedName>
    <definedName name="____DAT23">'[7]Excise on RM'!#REF!</definedName>
    <definedName name="____DAT24">'[7]Excise on RM'!#REF!</definedName>
    <definedName name="____DAT25">[10]Sheet1!#REF!</definedName>
    <definedName name="____DAT26">[6]Working!#REF!</definedName>
    <definedName name="____DAT27">'[7]Excise on RM'!#REF!</definedName>
    <definedName name="____DAT28">'[7]Excise on RM'!#REF!</definedName>
    <definedName name="____DAT29">#REF!</definedName>
    <definedName name="____DAT3">#REF!</definedName>
    <definedName name="____DAT30">'[7]Excise on RM'!#REF!</definedName>
    <definedName name="____DAT31">'[7]Excise on RM'!#REF!</definedName>
    <definedName name="____DAT32">'[7]Excise on RM'!#REF!</definedName>
    <definedName name="____DAT33">'[7]Excise on RM'!#REF!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[11]Prod!#REF!</definedName>
    <definedName name="____DAT4">#REF!</definedName>
    <definedName name="____DAT40">[11]Prod!#REF!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[11]Prod!#REF!</definedName>
    <definedName name="____DAT5">#REF!</definedName>
    <definedName name="____DAT50">[11]Prod!#REF!</definedName>
    <definedName name="____DAT51">[11]Prod!#REF!</definedName>
    <definedName name="____DAT52">[11]Prod!#REF!</definedName>
    <definedName name="____DAT53">#REF!</definedName>
    <definedName name="____DAT54">'[3]pending indent'!#REF!</definedName>
    <definedName name="____DAT55">'[3]pending indent'!#REF!</definedName>
    <definedName name="____DAT56">'[3]pending indent'!#REF!</definedName>
    <definedName name="____DAT57">'[3]pending indent'!#REF!</definedName>
    <definedName name="____DAT58">'[3]pending indent'!#REF!</definedName>
    <definedName name="____DAT59">'[3]pending indent'!#REF!</definedName>
    <definedName name="____DAT6">#REF!</definedName>
    <definedName name="____DAT60">'[3]pending indent'!#REF!</definedName>
    <definedName name="____DAT61">'[3]pending indent'!#REF!</definedName>
    <definedName name="____DAT62">'[3]pending indent'!#REF!</definedName>
    <definedName name="____DAT63">'[3]pending indent'!#REF!</definedName>
    <definedName name="____DAT64">'[3]pending indent'!#REF!</definedName>
    <definedName name="____DAT65">'[3]pending indent'!#REF!</definedName>
    <definedName name="____DAT66">'[3]pending indent'!#REF!</definedName>
    <definedName name="____DAT67">'[3]pending indent'!#REF!</definedName>
    <definedName name="____DAT68">'[3]pending indent'!#REF!</definedName>
    <definedName name="____DAT69">'[3]pending indent'!#REF!</definedName>
    <definedName name="____DAT7">#REF!</definedName>
    <definedName name="____DAT70">'[3]pending indent'!#REF!</definedName>
    <definedName name="____DAT71">'[3]pending indent'!#REF!</definedName>
    <definedName name="____DAT72">'[3]pending indent'!#REF!</definedName>
    <definedName name="____DAT73">'[3]pending indent'!#REF!</definedName>
    <definedName name="____DAT74">'[3]pending indent'!#REF!</definedName>
    <definedName name="____DAT75">'[3]pending indent'!#REF!</definedName>
    <definedName name="____DAT76">'[3]pending indent'!#REF!</definedName>
    <definedName name="____DAT77">'[3]pending indent'!#REF!</definedName>
    <definedName name="____DAT78">'[3]pending indent'!#REF!</definedName>
    <definedName name="____DAT79">'[3]pending indent'!#REF!</definedName>
    <definedName name="____DAT8">#REF!</definedName>
    <definedName name="____DAT80">'[3]pending indent'!#REF!</definedName>
    <definedName name="____DAT81">'[3]pending indent'!#REF!</definedName>
    <definedName name="____DAT82">'[3]pending indent'!#REF!</definedName>
    <definedName name="____DAT83">#REF!</definedName>
    <definedName name="____DAT84">#REF!</definedName>
    <definedName name="____DAT85">#REF!</definedName>
    <definedName name="____DAT86">'[3]pending indent'!#REF!</definedName>
    <definedName name="____DAT87">'[3]pending indent'!#REF!</definedName>
    <definedName name="____DAT88">'[3]pending indent'!#REF!</definedName>
    <definedName name="____DAT89">'[3]pending indent'!#REF!</definedName>
    <definedName name="____DAT9">#REF!</definedName>
    <definedName name="____DAT90">'[3]pending indent'!#REF!</definedName>
    <definedName name="____DAT91">'[3]pending indent'!#REF!</definedName>
    <definedName name="____DAT92">'[3]pending indent'!#REF!</definedName>
    <definedName name="____DAT93">'[3]pending indent'!#REF!</definedName>
    <definedName name="____DAT94">'[3]pending indent'!#REF!</definedName>
    <definedName name="____DAT95">'[3]pending indent'!#REF!</definedName>
    <definedName name="____DAT96">'[3]pending indent'!#REF!</definedName>
    <definedName name="____DAT97">'[3]pending indent'!#REF!</definedName>
    <definedName name="____DAT98">'[3]pending indent'!#REF!</definedName>
    <definedName name="____DAT99">'[3]pending indent'!#REF!</definedName>
    <definedName name="____DPS2000">[14]Template!$E$71</definedName>
    <definedName name="____DPS2001">[14]Template!$F$71</definedName>
    <definedName name="____DPS2002">[1]Template!$G$71</definedName>
    <definedName name="____DPS2003">[1]Template!$H$71</definedName>
    <definedName name="____MAY04">'[15]CC MAY04'!$C$4:$AJ$112</definedName>
    <definedName name="____MAY15">'[16]TB  Rupees  $'!$B$1:$E$461</definedName>
    <definedName name="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prn01">#REF!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VML1">'[4]POP SALARY '!#REF!</definedName>
    <definedName name="____VML2">'[4]POP SALARY '!#REF!</definedName>
    <definedName name="____VML3">'[4]POP SALARY '!#REF!</definedName>
    <definedName name="____VML4">'[4]POP SALARY '!#REF!</definedName>
    <definedName name="___a1">#REF!</definedName>
    <definedName name="___aug08">#REF!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>#REF!</definedName>
    <definedName name="___DAT15">#REF!</definedName>
    <definedName name="___DAT16">'[7]Excise on RM'!#REF!</definedName>
    <definedName name="___DAT17">'[7]Excise on RM'!#REF!</definedName>
    <definedName name="___DAT18">'[7]Excise on RM'!#REF!</definedName>
    <definedName name="___DAT19">#REF!</definedName>
    <definedName name="___DAT2">#REF!</definedName>
    <definedName name="___DAT20">#REF!</definedName>
    <definedName name="___DAT21">'[7]Excise on RM'!#REF!</definedName>
    <definedName name="___DAT22">#REF!</definedName>
    <definedName name="___DAT23">'[7]Excise on RM'!#REF!</definedName>
    <definedName name="___DAT24">'[7]Excise on RM'!#REF!</definedName>
    <definedName name="___DAT25">#REF!</definedName>
    <definedName name="___DAT26">#REF!</definedName>
    <definedName name="___DAT27">'[7]Excise on RM'!#REF!</definedName>
    <definedName name="___DAT28">'[7]Excise on RM'!#REF!</definedName>
    <definedName name="___DAT29">#REF!</definedName>
    <definedName name="___DAT3">#REF!</definedName>
    <definedName name="___DAT30">'[7]Excise on RM'!#REF!</definedName>
    <definedName name="___DAT31">'[7]Excise on RM'!#REF!</definedName>
    <definedName name="___DAT32">'[7]Excise on RM'!#REF!</definedName>
    <definedName name="___DAT33">'[7]Excise on RM'!#REF!</definedName>
    <definedName name="___DAT34">#REF!</definedName>
    <definedName name="___DAT35">#REF!</definedName>
    <definedName name="___DAT36">'[17]PACKING GL MAY-07'!#REF!</definedName>
    <definedName name="___DAT37">'[17]PACKING GL MAY-07'!#REF!</definedName>
    <definedName name="___DAT38">'[17]PACKING GL MAY-07'!#REF!</definedName>
    <definedName name="___DAT39">'[17]PACKING GL MAY-07'!#REF!</definedName>
    <definedName name="___DAT4">#REF!</definedName>
    <definedName name="___DAT40">'[17]PACKING GL MAY-07'!#REF!</definedName>
    <definedName name="___DAT41">'[18]MASTER-01st qtr-packinggl'!#REF!</definedName>
    <definedName name="___DAT42">'[17]PACKING GL MAY-07'!#REF!</definedName>
    <definedName name="___DAT43">'[17]PACKING GL MAY-07'!#REF!</definedName>
    <definedName name="___DAT44">'[17]PACKING GL MAY-07'!#REF!</definedName>
    <definedName name="___DAT45">'[17]PACKING GL MAY-07'!#REF!</definedName>
    <definedName name="___DAT46">'[17]PACKING GL MAY-07'!#REF!</definedName>
    <definedName name="___DAT47">'[17]PACKING GL MAY-07'!#REF!</definedName>
    <definedName name="___DAT48">'[17]PACKING GL MAY-07'!#REF!</definedName>
    <definedName name="___DAT49">'[17]PACKING GL MAY-07'!#REF!</definedName>
    <definedName name="___DAT5">#REF!</definedName>
    <definedName name="___DAT50">'[17]PACKING GL MAY-07'!#REF!</definedName>
    <definedName name="___DAT51">'[17]PACKING GL MAY-07'!#REF!</definedName>
    <definedName name="___DAT52">'[17]PACKING GL MAY-07'!#REF!</definedName>
    <definedName name="___DAT53">'[17]PACKING GL MAY-07'!#REF!</definedName>
    <definedName name="___DAT54">'[3]pending indent'!#REF!</definedName>
    <definedName name="___DAT55">'[3]pending indent'!#REF!</definedName>
    <definedName name="___DAT56">'[3]pending indent'!#REF!</definedName>
    <definedName name="___DAT57">'[3]pending indent'!#REF!</definedName>
    <definedName name="___DAT58">'[3]pending indent'!#REF!</definedName>
    <definedName name="___DAT59">'[3]pending indent'!#REF!</definedName>
    <definedName name="___DAT6">#REF!</definedName>
    <definedName name="___DAT60">'[3]pending indent'!#REF!</definedName>
    <definedName name="___DAT61">'[3]pending indent'!#REF!</definedName>
    <definedName name="___DAT62">'[3]pending indent'!#REF!</definedName>
    <definedName name="___DAT63">'[3]pending indent'!#REF!</definedName>
    <definedName name="___DAT64">'[3]pending indent'!#REF!</definedName>
    <definedName name="___DAT65">'[3]pending indent'!#REF!</definedName>
    <definedName name="___DAT66">'[3]pending indent'!#REF!</definedName>
    <definedName name="___DAT67">'[3]pending indent'!#REF!</definedName>
    <definedName name="___DAT68">'[3]pending indent'!#REF!</definedName>
    <definedName name="___DAT69">'[3]pending indent'!#REF!</definedName>
    <definedName name="___DAT7">#REF!</definedName>
    <definedName name="___DAT70">'[3]pending indent'!#REF!</definedName>
    <definedName name="___DAT71">'[3]pending indent'!#REF!</definedName>
    <definedName name="___DAT72">'[3]pending indent'!#REF!</definedName>
    <definedName name="___DAT73">'[3]pending indent'!#REF!</definedName>
    <definedName name="___DAT74">'[3]pending indent'!#REF!</definedName>
    <definedName name="___DAT75">'[3]pending indent'!#REF!</definedName>
    <definedName name="___DAT76">'[3]pending indent'!#REF!</definedName>
    <definedName name="___DAT77">'[3]pending indent'!#REF!</definedName>
    <definedName name="___DAT78">'[3]pending indent'!#REF!</definedName>
    <definedName name="___DAT79">'[3]pending indent'!#REF!</definedName>
    <definedName name="___DAT8">#REF!</definedName>
    <definedName name="___DAT80">'[3]pending indent'!#REF!</definedName>
    <definedName name="___DAT81">'[3]pending indent'!#REF!</definedName>
    <definedName name="___DAT82">'[3]pending indent'!#REF!</definedName>
    <definedName name="___DAT83">#REF!</definedName>
    <definedName name="___DAT84">#REF!</definedName>
    <definedName name="___DAT85">#REF!</definedName>
    <definedName name="___DAT86">'[3]pending indent'!#REF!</definedName>
    <definedName name="___DAT87">'[3]pending indent'!#REF!</definedName>
    <definedName name="___DAT88">'[3]pending indent'!#REF!</definedName>
    <definedName name="___DAT89">'[3]pending indent'!#REF!</definedName>
    <definedName name="___DAT9">#REF!</definedName>
    <definedName name="___DAT90">'[3]pending indent'!#REF!</definedName>
    <definedName name="___DAT91">'[3]pending indent'!#REF!</definedName>
    <definedName name="___DAT92">'[3]pending indent'!#REF!</definedName>
    <definedName name="___DAT93">'[3]pending indent'!#REF!</definedName>
    <definedName name="___DAT94">'[3]pending indent'!#REF!</definedName>
    <definedName name="___DAT95">'[3]pending indent'!#REF!</definedName>
    <definedName name="___DAT96">'[3]pending indent'!#REF!</definedName>
    <definedName name="___DAT97">'[3]pending indent'!#REF!</definedName>
    <definedName name="___DAT98">'[3]pending indent'!#REF!</definedName>
    <definedName name="___DAT99">'[3]pending indent'!#REF!</definedName>
    <definedName name="___DPS2002">[1]Template!$G$71</definedName>
    <definedName name="___DPS2003">[1]Template!$H$71</definedName>
    <definedName name="___MAY04">'[15]CC MAY04'!$C$4:$AJ$112</definedName>
    <definedName name="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prn01">#REF!</definedName>
    <definedName name="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VML1">'[4]POP SALARY '!#REF!</definedName>
    <definedName name="___VML2">'[4]POP SALARY '!#REF!</definedName>
    <definedName name="___VML3">'[4]POP SALARY '!#REF!</definedName>
    <definedName name="___VML4">'[4]POP SALARY '!#REF!</definedName>
    <definedName name="__123Graph_A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ROFI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[19]CAUSTIC!#REF!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[20]Ratio!#REF!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ROFIT" hidden="1">#REF!</definedName>
    <definedName name="__a1">#REF!</definedName>
    <definedName name="__aug08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'[21]Ann-26'!#REF!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5">#REF!</definedName>
    <definedName name="__DAT16">'[21]Ann-28'!#REF!</definedName>
    <definedName name="__DAT17">#REF!</definedName>
    <definedName name="__DAT18">'[21]Ann-28'!#REF!</definedName>
    <definedName name="__DAT19">'[21]Ann-26'!#REF!</definedName>
    <definedName name="__DAT2">#REF!</definedName>
    <definedName name="__DAT20">#REF!</definedName>
    <definedName name="__DAT21">'[21]Ann-28'!#REF!</definedName>
    <definedName name="__DAT22">'[21]Ann-28'!#REF!</definedName>
    <definedName name="__DAT23">'[21]Ann-26'!#REF!</definedName>
    <definedName name="__DAT24">'[22]Excise on RM'!#REF!</definedName>
    <definedName name="__DAT25">[10]Sheet1!#REF!</definedName>
    <definedName name="__DAT26">[6]Working!#REF!</definedName>
    <definedName name="__DAT27">[6]Working!#REF!</definedName>
    <definedName name="__DAT28">'[22]Excise on RM'!#REF!</definedName>
    <definedName name="__DAT29">#REF!</definedName>
    <definedName name="__DAT3">#REF!</definedName>
    <definedName name="__DAT30">'[22]Excise on RM'!#REF!</definedName>
    <definedName name="__DAT31">[6]Working!#REF!</definedName>
    <definedName name="__DAT32">'[22]Excise on RM'!#REF!</definedName>
    <definedName name="__DAT33">'[22]Excise on RM'!#REF!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[23]Prod!#REF!</definedName>
    <definedName name="__DAT4">#REF!</definedName>
    <definedName name="__DAT40">[23]Prod!#REF!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[23]Prod!#REF!</definedName>
    <definedName name="__DAT5">#REF!</definedName>
    <definedName name="__DAT50">[23]Prod!#REF!</definedName>
    <definedName name="__DAT51">[23]Prod!#REF!</definedName>
    <definedName name="__DAT52">[23]Prod!#REF!</definedName>
    <definedName name="__DAT53">#REF!</definedName>
    <definedName name="__DAT54">'[17]PACKING GL MAY-07'!#REF!</definedName>
    <definedName name="__DAT55">#REF!</definedName>
    <definedName name="__DAT56">#REF!</definedName>
    <definedName name="__DAT57">#REF!</definedName>
    <definedName name="__DAT58">#REF!</definedName>
    <definedName name="__DAT59">'[17]PACKING GL MAY-07'!#REF!</definedName>
    <definedName name="__DAT6">#REF!</definedName>
    <definedName name="__DAT60">[24]MASTER!#REF!</definedName>
    <definedName name="__DAT61">[24]MASTER!#REF!</definedName>
    <definedName name="__DAT62">'[17]PACKING GL MAY-07'!#REF!</definedName>
    <definedName name="__DAT63">[24]MASTER!#REF!</definedName>
    <definedName name="__DAT64">'[18]MASTER-01st qtr-packinggl'!#REF!</definedName>
    <definedName name="__DAT65">'[17]PACKING GL MAY-07'!#REF!</definedName>
    <definedName name="__DAT66">'[17]PACKING GL MAY-07'!#REF!</definedName>
    <definedName name="__DAT67">'[17]PACKING GL MAY-07'!#REF!</definedName>
    <definedName name="__DAT68">'[18]MASTER-01st qtr-packinggl'!#REF!</definedName>
    <definedName name="__DAT69">'[17]PACKING GL MAY-07'!#REF!</definedName>
    <definedName name="__DAT7">#REF!</definedName>
    <definedName name="__DAT70">'[17]PACKING GL MAY-07'!#REF!</definedName>
    <definedName name="__DAT71">'[17]PACKING GL MAY-07'!#REF!</definedName>
    <definedName name="__DAT72">'[17]PACKING GL MAY-07'!#REF!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PS2002">[1]Template!$G$71</definedName>
    <definedName name="__DPS2003">[1]Template!$H$71</definedName>
    <definedName name="__f334">[25]TBLINKAGE!$C$60</definedName>
    <definedName name="__FDS_HYPERLINK_TOGGLE_STATE__" hidden="1">"ON"</definedName>
    <definedName name="__MAY04">'[15]CC MAY04'!$C$4:$AJ$112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rn01">#REF!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VML1">'[26]POP SALARY '!#REF!</definedName>
    <definedName name="__VML2">'[26]POP SALARY '!#REF!</definedName>
    <definedName name="__VML3">'[26]POP SALARY '!#REF!</definedName>
    <definedName name="__VML4">'[26]POP SALARY '!#REF!</definedName>
    <definedName name="_1_C_1">'[27]Power&amp;Fuel'!#REF!</definedName>
    <definedName name="_10__123Graph_AChart_4" hidden="1">[28]Model!$B$469:$B$475</definedName>
    <definedName name="_10_S_1">'[27]Power&amp;Fuel'!#REF!</definedName>
    <definedName name="_109PAGE14">#REF!</definedName>
    <definedName name="_109PAGE15">#REF!</definedName>
    <definedName name="_109PAGE16">#REF!</definedName>
    <definedName name="_109PAGE17">#REF!</definedName>
    <definedName name="_109PAGE18">#REF!</definedName>
    <definedName name="_109PAGE19">#REF!</definedName>
    <definedName name="_11__123Graph_BChart_3" hidden="1">[28]Model!$C$483:$C$489</definedName>
    <definedName name="_12__123Graph_BChart_4" hidden="1">[28]Model!$C$469:$C$475</definedName>
    <definedName name="_13__123Graph_XChart_2" hidden="1">[28]Model!$A$453:$A$462</definedName>
    <definedName name="_14">#N/A</definedName>
    <definedName name="_14__123Graph_AChart_2" hidden="1">[28]Model!$B$453:$B$462</definedName>
    <definedName name="_14__123Graph_XChart_3" hidden="1">[28]Model!$A$483:$A$489</definedName>
    <definedName name="_15__123Graph_AChart_2" hidden="1">[28]Model!$B$453:$B$462</definedName>
    <definedName name="_15__123Graph_AChart_3" hidden="1">[28]Model!$B$483:$B$489</definedName>
    <definedName name="_15__123Graph_XChart_4" hidden="1">[28]Model!$A$469:$A$475</definedName>
    <definedName name="_16__123Graph_AChart_3" hidden="1">[28]Model!$B$483:$B$489</definedName>
    <definedName name="_16__123Graph_AChart_4" hidden="1">[28]Model!$B$469:$B$475</definedName>
    <definedName name="_17">#N/A</definedName>
    <definedName name="_17__123Graph_AChart_4" hidden="1">[28]Model!$B$469:$B$475</definedName>
    <definedName name="_17__123Graph_BChart_3" hidden="1">[28]Model!$C$483:$C$489</definedName>
    <definedName name="_18">#N/A</definedName>
    <definedName name="_18__123Graph_BChart_3" hidden="1">[28]Model!$C$483:$C$489</definedName>
    <definedName name="_18__123Graph_BChart_4" hidden="1">[28]Model!$C$469:$C$475</definedName>
    <definedName name="_19">#N/A</definedName>
    <definedName name="_19__123Graph_BChart_4" hidden="1">[28]Model!$C$469:$C$475</definedName>
    <definedName name="_19__123Graph_XChart_2" hidden="1">[28]Model!$A$453:$A$462</definedName>
    <definedName name="_2_S_1">'[27]Power&amp;Fuel'!#REF!</definedName>
    <definedName name="_20__123Graph_XChart_2" hidden="1">[28]Model!$A$453:$A$462</definedName>
    <definedName name="_20__123Graph_XChart_3" hidden="1">[28]Model!$A$483:$A$489</definedName>
    <definedName name="_21__123Graph_XChart_3" hidden="1">[28]Model!$A$483:$A$489</definedName>
    <definedName name="_21__123Graph_XChart_4" hidden="1">[28]Model!$A$469:$A$475</definedName>
    <definedName name="_22__123Graph_XChart_4" hidden="1">[28]Model!$A$469:$A$475</definedName>
    <definedName name="_3_C_1">'[27]Power&amp;Fuel'!#REF!</definedName>
    <definedName name="_31__123Graph_BChart_3" hidden="1">[28]Model!$C$483:$C$489</definedName>
    <definedName name="_33__123Graph_XChart_2" hidden="1">[28]Model!$A$453:$A$462</definedName>
    <definedName name="_39">#N/A</definedName>
    <definedName name="_43B">#REF!</definedName>
    <definedName name="_48__123Graph_AChart_2" hidden="1">[28]Model!$B$453:$B$462</definedName>
    <definedName name="_49__123Graph_AChart_3" hidden="1">[28]Model!$B$483:$B$489</definedName>
    <definedName name="_5_C_1">'[27]Power&amp;Fuel'!#REF!</definedName>
    <definedName name="_50__123Graph_AChart_4" hidden="1">[28]Model!$B$469:$B$475</definedName>
    <definedName name="_52__123Graph_BChart_4" hidden="1">[28]Model!$C$469:$C$475</definedName>
    <definedName name="_53__123Graph_XChart_2" hidden="1">[28]Model!$A$453:$A$462</definedName>
    <definedName name="_54__123Graph_XChart_3" hidden="1">[28]Model!$A$483:$A$489</definedName>
    <definedName name="_6_S_1">'[27]Power&amp;Fuel'!#REF!</definedName>
    <definedName name="_8__123Graph_AChart_2" hidden="1">[28]Model!$B$453:$B$462</definedName>
    <definedName name="_9__123Graph_AChart_3" hidden="1">[28]Model!$B$483:$B$489</definedName>
    <definedName name="_A">#REF!</definedName>
    <definedName name="_a1">#REF!</definedName>
    <definedName name="_APP272">#REF!</definedName>
    <definedName name="_app435">#REF!</definedName>
    <definedName name="_APR04">'[15]CC APR04'!$C$4:$AJ$110</definedName>
    <definedName name="_Arp755">#REF!</definedName>
    <definedName name="_aug08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C">'[27]Power&amp;Fuel'!#REF!</definedName>
    <definedName name="_cil27">#REF!</definedName>
    <definedName name="_D">#REF!</definedName>
    <definedName name="_DAT1">#REF!</definedName>
    <definedName name="_DAT10">[5]Input_B_V!$J$2:$J$1028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[6]Working!#REF!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[6]Working!#REF!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'[12]Feb''10'!#REF!</definedName>
    <definedName name="_DAT21">'[7]Excise on RM'!#REF!</definedName>
    <definedName name="_DAT22">'[13]Stitiching  JW As per gl '!#REF!</definedName>
    <definedName name="_DAT23">'[7]Excise on RM'!#REF!</definedName>
    <definedName name="_DAT24">'[7]Excise on RM'!#REF!</definedName>
    <definedName name="_DAT25">[10]Sheet1!#REF!</definedName>
    <definedName name="_DAT26">#REF!</definedName>
    <definedName name="_DAT27">[6]Working!#REF!</definedName>
    <definedName name="_DAT28">'[7]Excise on RM'!#REF!</definedName>
    <definedName name="_DAT29">#REF!</definedName>
    <definedName name="_DAT3">#REF!</definedName>
    <definedName name="_DAT30">'[7]Excise on RM'!#REF!</definedName>
    <definedName name="_DAT31">[6]Working!#REF!</definedName>
    <definedName name="_DAT32">'[7]Excise on RM'!#REF!</definedName>
    <definedName name="_DAT33">'[7]Excise on RM'!#REF!</definedName>
    <definedName name="_DAT34">#REF!</definedName>
    <definedName name="_DAT35">#REF!</definedName>
    <definedName name="_DAT36">'[17]PACKING GL MAY-07'!#REF!</definedName>
    <definedName name="_DAT37">'[17]PACKING GL MAY-07'!#REF!</definedName>
    <definedName name="_DAT38">'[17]PACKING GL MAY-07'!#REF!</definedName>
    <definedName name="_DAT39">'[17]PACKING GL MAY-07'!#REF!</definedName>
    <definedName name="_DAT4">#REF!</definedName>
    <definedName name="_DAT40">[11]Prod!#REF!</definedName>
    <definedName name="_DAT41">'[18]MASTER-01st qtr-packinggl'!#REF!</definedName>
    <definedName name="_DAT42">'[17]PACKING GL MAY-07'!#REF!</definedName>
    <definedName name="_DAT43">'[17]PACKING GL MAY-07'!#REF!</definedName>
    <definedName name="_DAT44">'[17]PACKING GL MAY-07'!#REF!</definedName>
    <definedName name="_DAT45">'[17]PACKING GL MAY-07'!#REF!</definedName>
    <definedName name="_DAT46">'[17]PACKING GL MAY-07'!#REF!</definedName>
    <definedName name="_DAT47">'[17]PACKING GL MAY-07'!#REF!</definedName>
    <definedName name="_DAT48">'[17]PACKING GL MAY-07'!#REF!</definedName>
    <definedName name="_DAT49">'[17]PACKING GL MAY-07'!#REF!</definedName>
    <definedName name="_DAT5">#REF!</definedName>
    <definedName name="_DAT50">[11]Prod!#REF!</definedName>
    <definedName name="_DAT51">'[17]PACKING GL MAY-07'!#REF!</definedName>
    <definedName name="_DAT52">'[17]PACKING GL MAY-07'!#REF!</definedName>
    <definedName name="_DAT53">'[17]PACKING GL MAY-07'!#REF!</definedName>
    <definedName name="_DAT54">'[17]PACKING GL MAY-07'!#REF!</definedName>
    <definedName name="_DAT55">#REF!</definedName>
    <definedName name="_DAT56">#REF!</definedName>
    <definedName name="_DAT57">#REF!</definedName>
    <definedName name="_DAT58">#REF!</definedName>
    <definedName name="_DAT59">'[17]PACKING GL MAY-07'!#REF!</definedName>
    <definedName name="_DAT6">#REF!</definedName>
    <definedName name="_DAT60">'[3]pending indent'!#REF!</definedName>
    <definedName name="_DAT61">[24]MASTER!#REF!</definedName>
    <definedName name="_DAT62">'[17]PACKING GL MAY-07'!#REF!</definedName>
    <definedName name="_DAT63">[24]MASTER!#REF!</definedName>
    <definedName name="_DAT64">'[18]MASTER-01st qtr-packinggl'!#REF!</definedName>
    <definedName name="_DAT65">'[17]PACKING GL MAY-07'!#REF!</definedName>
    <definedName name="_DAT66">'[17]PACKING GL MAY-07'!#REF!</definedName>
    <definedName name="_DAT67">'[17]PACKING GL MAY-07'!#REF!</definedName>
    <definedName name="_DAT68">'[18]MASTER-01st qtr-packinggl'!#REF!</definedName>
    <definedName name="_DAT69">'[17]PACKING GL MAY-07'!#REF!</definedName>
    <definedName name="_DAT7">#REF!</definedName>
    <definedName name="_DAT70">'[3]pending indent'!#REF!</definedName>
    <definedName name="_DAT71">'[17]PACKING GL MAY-07'!#REF!</definedName>
    <definedName name="_DAT72">'[17]PACKING GL MAY-07'!#REF!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'[3]pending indent'!#REF!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'[3]pending indent'!#REF!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PS2001">[29]Template!$F$71</definedName>
    <definedName name="_DPS2002">[29]Template!$G$71</definedName>
    <definedName name="_DPS2003">[29]Template!$H$71</definedName>
    <definedName name="_E">#REF!</definedName>
    <definedName name="_F">#REF!</definedName>
    <definedName name="_f334">[30]TBLINKAGE!$C$60</definedName>
    <definedName name="_FEB1">#REF!</definedName>
    <definedName name="_FEB2">#REF!</definedName>
    <definedName name="_Fill" hidden="1">#REF!</definedName>
    <definedName name="_xlnm._FilterDatabase" localSheetId="7" hidden="1">CS!$A$1:$D$110</definedName>
    <definedName name="_xlnm._FilterDatabase" localSheetId="1" hidden="1">'packing&amp;tfo'!$A$1:$U$74</definedName>
    <definedName name="_xlnm._FilterDatabase" localSheetId="0" hidden="1">Rugs!$A$1:$U$81</definedName>
    <definedName name="_xlnm._FilterDatabase" hidden="1">#REF!</definedName>
    <definedName name="_G">#REF!</definedName>
    <definedName name="_ggg5565">'[31]ISD-MG'!$C$11:$N$58</definedName>
    <definedName name="_H">#REF!</definedName>
    <definedName name="_iam209">#REF!</definedName>
    <definedName name="_J">#REF!</definedName>
    <definedName name="_JE1">#REF!</definedName>
    <definedName name="_JE2">#REF!</definedName>
    <definedName name="_Key1" hidden="1">[32]WGSRL!#REF!</definedName>
    <definedName name="_key2" hidden="1">[33]WGSRL!#REF!</definedName>
    <definedName name="_LED21">#REF!</definedName>
    <definedName name="_M">#REF!</definedName>
    <definedName name="_mar01">#REF!</definedName>
    <definedName name="_mar02">#REF!</definedName>
    <definedName name="_MAR1">#REF!</definedName>
    <definedName name="_MAR16">#REF!</definedName>
    <definedName name="_MAR27">#REF!</definedName>
    <definedName name="_MAT112">#REF!</definedName>
    <definedName name="_MAT21">#REF!</definedName>
    <definedName name="_MAY04">'[15]CC MAY04'!$C$4:$AJ$112</definedName>
    <definedName name="_may1115">#REF!</definedName>
    <definedName name="_MAY115">#REF!</definedName>
    <definedName name="_MAY15">'[16]TB  Rupees  $'!$B$1:$E$461</definedName>
    <definedName name="_may21">#REF!</definedName>
    <definedName name="_may22">#REF!</definedName>
    <definedName name="_MAY221">#REF!</definedName>
    <definedName name="_MAY24">#REF!</definedName>
    <definedName name="_MAY25">#REF!</definedName>
    <definedName name="_may26">#REF!</definedName>
    <definedName name="_MAY6">#REF!</definedName>
    <definedName name="_N">#REF!</definedName>
    <definedName name="_NI98">#REF!</definedName>
    <definedName name="_Order1" hidden="1">255</definedName>
    <definedName name="_Order2" hidden="1">255</definedName>
    <definedName name="_P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I011202">#REF!</definedName>
    <definedName name="_prn01">#REF!</definedName>
    <definedName name="_PT98">#REF!</definedName>
    <definedName name="_Q">#REF!</definedName>
    <definedName name="_R">#REF!</definedName>
    <definedName name="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gression_Int" hidden="1">1</definedName>
    <definedName name="_Regression_X" hidden="1">#REF!</definedName>
    <definedName name="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V1">#REF!</definedName>
    <definedName name="_rev2">#REF!</definedName>
    <definedName name="_rev4">#REF!</definedName>
    <definedName name="_REV5">#REF!</definedName>
    <definedName name="_S">'[27]Power&amp;Fuel'!#REF!</definedName>
    <definedName name="_S_10">#REF!</definedName>
    <definedName name="_S_11">#REF!</definedName>
    <definedName name="_S_4">#REF!</definedName>
    <definedName name="_S_5">#REF!</definedName>
    <definedName name="_S_6">#REF!</definedName>
    <definedName name="_S_7">#REF!</definedName>
    <definedName name="_S_8">#REF!</definedName>
    <definedName name="_S_9">#REF!</definedName>
    <definedName name="_Sort" hidden="1">[32]WGSRL!#REF!</definedName>
    <definedName name="_T">#REF!</definedName>
    <definedName name="_Table1_In1" hidden="1">[34]Consolidated!#REF!</definedName>
    <definedName name="_Table1_Out" hidden="1">[34]Consolidated!#REF!</definedName>
    <definedName name="_Table2_In1" hidden="1">[34]Consolidated!#REF!</definedName>
    <definedName name="_Table2_In2" hidden="1">#REF!</definedName>
    <definedName name="_Table2_Out" hidden="1">[34]Consolidated!#REF!</definedName>
    <definedName name="_tad10">#REF!</definedName>
    <definedName name="_tad11">#REF!</definedName>
    <definedName name="_tad12">#REF!</definedName>
    <definedName name="_TQ1">#REF!</definedName>
    <definedName name="_TQ2">#REF!</definedName>
    <definedName name="_TQ3">#REF!</definedName>
    <definedName name="_TQ4">#REF!</definedName>
    <definedName name="_V">#REF!</definedName>
    <definedName name="_VAL2">[35]returns!#REF!</definedName>
    <definedName name="_VAL3">[35]returns!#REF!</definedName>
    <definedName name="_VAL4">[35]returns!#REF!</definedName>
    <definedName name="_validate">[36]systems!#REF!</definedName>
    <definedName name="_VML1">'[26]POP SALARY '!#REF!</definedName>
    <definedName name="_VML2">'[26]POP SALARY '!#REF!</definedName>
    <definedName name="_VML3">'[26]POP SALARY '!#REF!</definedName>
    <definedName name="_VML4">'[26]POP SALARY '!#REF!</definedName>
    <definedName name="_X">#REF!</definedName>
    <definedName name="_Z">#REF!</definedName>
    <definedName name="A">#REF!</definedName>
    <definedName name="A.Celli_Nonwovens_s.p.a">#REF!</definedName>
    <definedName name="aa">'[37]jan feb'!#REF!</definedName>
    <definedName name="aaa">'[38]debt schedule'!#REF!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aaaa">#REF!</definedName>
    <definedName name="AAB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D">#REF!</definedName>
    <definedName name="AAE">#REF!</definedName>
    <definedName name="ab">'[39]P&amp;LSC'!#REF!</definedName>
    <definedName name="AB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C">#REF!</definedName>
    <definedName name="Acc_Rec_growth_fore">[40]DCF_VDF!$H$147:$K$147</definedName>
    <definedName name="Accruing_Mortgage_PIK">[41]Financials!#REF!</definedName>
    <definedName name="acct">[42]Inputs!$T$6</definedName>
    <definedName name="Accum_Cap_Expenses_growth_fore">[40]DCF_VDF!$H$164:$K$164</definedName>
    <definedName name="Accum_Goodwill_Amort_growth_fore">[40]DCF_VDF!$H$163:$K$163</definedName>
    <definedName name="AcdSW_Growth_2003">[43]Assumptions!#REF!</definedName>
    <definedName name="AcdSW_Growth_2004">[43]Assumptions!#REF!</definedName>
    <definedName name="ACDTPACK">#REF!</definedName>
    <definedName name="ACDTQL">#REF!</definedName>
    <definedName name="ACDTW">#REF!</definedName>
    <definedName name="ACFDYPACK">#REF!</definedName>
    <definedName name="ACFDYQL">#REF!</definedName>
    <definedName name="ACFDYW">#REF!</definedName>
    <definedName name="ACPACKCE">#REF!</definedName>
    <definedName name="ACPOYPACK">#REF!</definedName>
    <definedName name="ACPOYQL">#REF!</definedName>
    <definedName name="ACPOYTRPACK">#REF!</definedName>
    <definedName name="ACPOYW">#REF!</definedName>
    <definedName name="acquiror">[42]Inputs!$F$11</definedName>
    <definedName name="ACSPIN">#REF!</definedName>
    <definedName name="ACTEXPL">#REF!</definedName>
    <definedName name="ACTEXQL">#REF!</definedName>
    <definedName name="ACTEXW">#REF!</definedName>
    <definedName name="ACTION_SERVICE___DISTRIBUTIE_B.V.">#REF!</definedName>
    <definedName name="ACTIVITY">#REF!</definedName>
    <definedName name="ACYARN">#REF!</definedName>
    <definedName name="ad">[2]Prod!#REF!</definedName>
    <definedName name="ADA">#REF!</definedName>
    <definedName name="ADAA">#REF!</definedName>
    <definedName name="ADAB">#REF!</definedName>
    <definedName name="ADAC">#REF!</definedName>
    <definedName name="ADAE">#REF!</definedName>
    <definedName name="ADAF">#REF!</definedName>
    <definedName name="ADAG">#REF!</definedName>
    <definedName name="ADAH">#REF!</definedName>
    <definedName name="ADAI">#REF!</definedName>
    <definedName name="ADAK">#REF!</definedName>
    <definedName name="ADAL">#REF!</definedName>
    <definedName name="ADAM">#REF!</definedName>
    <definedName name="ADAN">#REF!</definedName>
    <definedName name="ADAO">#REF!</definedName>
    <definedName name="ADAP">#REF!</definedName>
    <definedName name="ADAQ">#REF!</definedName>
    <definedName name="ADAR">#REF!</definedName>
    <definedName name="ADAS">#REF!</definedName>
    <definedName name="ADAT">#REF!</definedName>
    <definedName name="ADAU">#REF!</definedName>
    <definedName name="ADAV">#REF!</definedName>
    <definedName name="ADAW">#REF!</definedName>
    <definedName name="ADB">#REF!</definedName>
    <definedName name="ADC">#REF!</definedName>
    <definedName name="ADE">#REF!</definedName>
    <definedName name="ADF">#REF!</definedName>
    <definedName name="ADG">#REF!</definedName>
    <definedName name="ADH">#REF!</definedName>
    <definedName name="ADI">#REF!</definedName>
    <definedName name="ADJ">#REF!</definedName>
    <definedName name="Adjusted_EPS">'[44]P&amp;L (F- Cons)'!#REF!</definedName>
    <definedName name="Adjusted_Net_Operating_Profit">[40]DCF_VDF!$C$26:$AU$26</definedName>
    <definedName name="ADK">#REF!</definedName>
    <definedName name="ADL">#REF!</definedName>
    <definedName name="ADM">#REF!</definedName>
    <definedName name="adminrent">#REF!</definedName>
    <definedName name="ADN">#REF!</definedName>
    <definedName name="ADO">#REF!</definedName>
    <definedName name="ADP">#REF!</definedName>
    <definedName name="ADQ">#REF!</definedName>
    <definedName name="ADR">#REF!</definedName>
    <definedName name="ADS">#REF!</definedName>
    <definedName name="ADT">#REF!</definedName>
    <definedName name="ADU">#REF!</definedName>
    <definedName name="ADV">#REF!</definedName>
    <definedName name="ADW">#REF!</definedName>
    <definedName name="ADX">#REF!</definedName>
    <definedName name="ADY">#REF!</definedName>
    <definedName name="ADZ">#REF!</definedName>
    <definedName name="AE">#REF!</definedName>
    <definedName name="af">[2]Prod!#REF!</definedName>
    <definedName name="AG">#REF!</definedName>
    <definedName name="AH">#REF!</definedName>
    <definedName name="AI">#REF!</definedName>
    <definedName name="Airfare_97">[45]Sheet3!$C$12</definedName>
    <definedName name="AJ">#REF!</definedName>
    <definedName name="AK">#REF!</definedName>
    <definedName name="al">#REF!</definedName>
    <definedName name="AL_SAFEER_GROUP_OF_COMPANIES">#REF!</definedName>
    <definedName name="ALDI_INC">#REF!</definedName>
    <definedName name="ALDI_Stores_Ltd">#REF!</definedName>
    <definedName name="ALL">#N/A</definedName>
    <definedName name="All_00_PS">[40]DCF_VDF!$AJ$225</definedName>
    <definedName name="All_00_Rev">[40]DCF_VDF!$AG$225</definedName>
    <definedName name="All_97_PS">[40]DCF_VDF!#REF!</definedName>
    <definedName name="All_97_Rev">[40]DCF_VDF!$AD$225</definedName>
    <definedName name="All_98_PS">[40]DCF_VDF!$AH$225</definedName>
    <definedName name="All_98_Rev">[40]DCF_VDF!$AE$225</definedName>
    <definedName name="All_99_PS">[40]DCF_VDF!$AI$225</definedName>
    <definedName name="All_99_Rev">[40]DCF_VDF!$AF$225</definedName>
    <definedName name="All_EPS_00">[40]DCF_VDF!$AC$225</definedName>
    <definedName name="All_EPS_98">[40]DCF_VDF!$AA$225</definedName>
    <definedName name="All_EPS_99">[40]DCF_VDF!$AB$225</definedName>
    <definedName name="All_Mkt_Cap">[40]DCF_VDF!$T$225</definedName>
    <definedName name="All_Off_High">[40]DCF_VDF!$N$225</definedName>
    <definedName name="All_Stocks">[40]DCF_VDF!$C$225</definedName>
    <definedName name="ALLIANCE">#N/A</definedName>
    <definedName name="alsakdhnfg">#REF!</definedName>
    <definedName name="ALSALEM">#REF!</definedName>
    <definedName name="AM">#REF!</definedName>
    <definedName name="AMAZON.COM_SERVICES__INC">#REF!</definedName>
    <definedName name="Amazon.com_Services__Inc.">#REF!</definedName>
    <definedName name="Amazon.com_Services_INC">#REF!</definedName>
    <definedName name="Amazon_EU_S.a.r.L">#REF!</definedName>
    <definedName name="Amazon_EU_SARL__Niederlassung_Deuts">#REF!</definedName>
    <definedName name="Amazon_EU_SARL__succursale_français">#REF!</definedName>
    <definedName name="Amazon_EU_SARL__Succursale_Italiana">#REF!</definedName>
    <definedName name="Amazon_EU_SARL__sucursal_en_España">#REF!</definedName>
    <definedName name="Amazon_EU_SARL__UK_Branch">#REF!</definedName>
    <definedName name="AMAZON_EU_SARL_UK_Branch">#REF!</definedName>
    <definedName name="Amazon_Smart_Home_Services_Products">#REF!</definedName>
    <definedName name="AmericanHygiene">#REF!</definedName>
    <definedName name="Amtex">#REF!</definedName>
    <definedName name="AN">#REF!</definedName>
    <definedName name="ANALYSIS">#REF!</definedName>
    <definedName name="anand">#REF!</definedName>
    <definedName name="andy">'[38]debt schedule'!#REF!</definedName>
    <definedName name="anscount" hidden="1">2</definedName>
    <definedName name="AO">#REF!</definedName>
    <definedName name="AP">#REF!</definedName>
    <definedName name="ap_billwise_age">#REF!</definedName>
    <definedName name="ap_tb">#REF!</definedName>
    <definedName name="APP272sep2002">#REF!</definedName>
    <definedName name="appa">[40]DCF_VDF!$AA$94:$AA$94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04">'[46]CC APR04'!$C$4:$AJ$110</definedName>
    <definedName name="APRIL04">'[47]CC APR04'!$C$4:$AJ$110</definedName>
    <definedName name="AQ">'[48]Perf Target'!$D$91</definedName>
    <definedName name="AR">#REF!</definedName>
    <definedName name="ar_billwise">#REF!</definedName>
    <definedName name="ar_billwise_age">#REF!</definedName>
    <definedName name="ar_customer_aging">#REF!</definedName>
    <definedName name="ar_customerwise_age">#REF!</definedName>
    <definedName name="ar_customerwise_agfe">#REF!</definedName>
    <definedName name="Argaman_Technologies">#REF!</definedName>
    <definedName name="Argentina">[49]Drivers!$I$14</definedName>
    <definedName name="ARGOS_LIMITED">#REF!</definedName>
    <definedName name="ARROW_MATTING_SYSTEMS_LTD">#REF!</definedName>
    <definedName name="as">#REF!</definedName>
    <definedName name="AS2DocOpenMode" hidden="1">"AS2DocumentEdit"</definedName>
    <definedName name="asaaaaaaaaaaa">#REF!</definedName>
    <definedName name="asasd">#REF!</definedName>
    <definedName name="asd">#REF!</definedName>
    <definedName name="ASDA_STORES_LTD">#REF!</definedName>
    <definedName name="asddddddfgfg">#REF!</definedName>
    <definedName name="asdddddf">#REF!</definedName>
    <definedName name="asddfc">#REF!</definedName>
    <definedName name="asddsdsds">#REF!</definedName>
    <definedName name="asdf">#REF!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nhjklll">'[7]Excise on RM'!#REF!</definedName>
    <definedName name="asdhhgwqujp">'[7]Excise on RM'!#REF!</definedName>
    <definedName name="asdsada">#REF!</definedName>
    <definedName name="asdw">#REF!</definedName>
    <definedName name="asj">'[27]Power&amp;Fuel'!#REF!</definedName>
    <definedName name="ASMARA_INTERNATIONAL_LIMITED">#REF!</definedName>
    <definedName name="assaddj">#REF!</definedName>
    <definedName name="ASSOCIATED_TEXTILE_SERVICE_LTD.">#REF!</definedName>
    <definedName name="asssss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z">#REF!</definedName>
    <definedName name="aszqqq">#REF!</definedName>
    <definedName name="aszx">#REF!</definedName>
    <definedName name="at">[50]e0604008!$D$2:$D$129</definedName>
    <definedName name="At_Home">#REF!</definedName>
    <definedName name="ATD">[51]Sheet2!$A$9:$C$248</definedName>
    <definedName name="ATEND">#REF!</definedName>
    <definedName name="ATTEND">#REF!</definedName>
    <definedName name="atul">[50]e0604008!$E$1:$G$1</definedName>
    <definedName name="AU">#REF!</definedName>
    <definedName name="AUCHAN">#REF!</definedName>
    <definedName name="augcivil">'[52]pending indent'!#REF!</definedName>
    <definedName name="AV">#REF!</definedName>
    <definedName name="Avendra">#REF!</definedName>
    <definedName name="Average_invested_capital_DCF">[40]DCF_VDF!$C$78:$AZ$78</definedName>
    <definedName name="avg_wt">#REF!</definedName>
    <definedName name="AW">'[48]Perf Target'!$D$83</definedName>
    <definedName name="AX">#REF!</definedName>
    <definedName name="AxesFormat">#N/A</definedName>
    <definedName name="AXX">#REF!</definedName>
    <definedName name="AY">#REF!</definedName>
    <definedName name="AZ">#REF!</definedName>
    <definedName name="azxcds">'[7]Excise on RM'!#REF!</definedName>
    <definedName name="b">'[37]jan feb'!#REF!</definedName>
    <definedName name="B_C">#REF!</definedName>
    <definedName name="B_M">#REF!</definedName>
    <definedName name="B_T">#REF!</definedName>
    <definedName name="baan">#REF!</definedName>
    <definedName name="baan1">#REF!</definedName>
    <definedName name="bal">#REF!</definedName>
    <definedName name="BAL_SHEET">#REF!</definedName>
    <definedName name="BALANCE_SHEET">#REF!</definedName>
    <definedName name="Bandidos_Retail_LLC">#REF!</definedName>
    <definedName name="BANSAL_TRADING_CONCERN">#REF!</definedName>
    <definedName name="bb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EACON_HOTEL">#REF!</definedName>
    <definedName name="BEANTOWN_BEDDING">#REF!</definedName>
    <definedName name="BED_BATH___BEYOND">#REF!</definedName>
    <definedName name="Bed_Hog_Inc.">#REF!</definedName>
    <definedName name="BEIJING_HUALIAN_STOCK_LIMITED_COMPA">#REF!</definedName>
    <definedName name="BELK_INTERNATIONAL_INC.">#REF!</definedName>
    <definedName name="Bettenwelt_GmBH__Co.KG">#REF!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g_lot_Stores__Inc.">#REF!</definedName>
    <definedName name="BJ_S_WHOLESALE_CLUB__INC.">#REF!</definedName>
    <definedName name="bkdepr">[53]Financials!#REF!</definedName>
    <definedName name="BLPH1" hidden="1">#REF!</definedName>
    <definedName name="BLPH10" hidden="1">[54]Historical!#REF!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3" hidden="1">#REF!</definedName>
    <definedName name="BLPH4" hidden="1">#REF!</definedName>
    <definedName name="BLPH5" hidden="1">#REF!</definedName>
    <definedName name="BLPH58" hidden="1">[55]Indian_Second_hist!#REF!</definedName>
    <definedName name="BLPH59" hidden="1">[55]Indian_Second_hist!#REF!</definedName>
    <definedName name="BLPH6" hidden="1">[54]Historical!#REF!</definedName>
    <definedName name="BLPH60" hidden="1">[55]Indian_Second_hist!#REF!</definedName>
    <definedName name="BLPH62" hidden="1">[55]Indian_Second_hist!#REF!</definedName>
    <definedName name="BLPH63" hidden="1">[55]Indian_Second_hist!#REF!</definedName>
    <definedName name="BLPH64" hidden="1">[55]Indian_Second_hist!#REF!</definedName>
    <definedName name="BLPH65" hidden="1">[55]Indian_Second_hist!#REF!</definedName>
    <definedName name="BLPH67" hidden="1">[55]Indian_Second_hist!#REF!</definedName>
    <definedName name="BLPH7" hidden="1">[54]Historical!#REF!</definedName>
    <definedName name="BLPH8" hidden="1">[54]Historical!#REF!</definedName>
    <definedName name="BLPH9" hidden="1">[54]Historical!#REF!</definedName>
    <definedName name="BLTable">'[56]BL-Bud'!$A$11:$Y$133</definedName>
    <definedName name="Blue_Salon">#REF!</definedName>
    <definedName name="BLUE_STEM">#REF!</definedName>
    <definedName name="BMA_INTERNATIOAL">#REF!</definedName>
    <definedName name="BNET_hist_d">[57]BNET!#REF!</definedName>
    <definedName name="BNET_hst_a">[57]BNET!#REF!</definedName>
    <definedName name="BNET_hst_cogs">[57]BNET!#REF!</definedName>
    <definedName name="BNET_hst_ebit">[57]BNET!#REF!</definedName>
    <definedName name="BNET_hst_ebt">[57]BNET!#REF!</definedName>
    <definedName name="BNET_hst_eps">[57]BNET!#REF!</definedName>
    <definedName name="BNET_hst_r_d">[57]BNET!#REF!</definedName>
    <definedName name="BNET_hst_sg_a">[57]BNET!#REF!</definedName>
    <definedName name="Bonton_Store">#REF!</definedName>
    <definedName name="bookdepr">#REF!</definedName>
    <definedName name="BOSTON_TEXTILE_CO">#REF!</definedName>
    <definedName name="Boston_Textiles">#REF!</definedName>
    <definedName name="BR">[58]Assumption!$C$73</definedName>
    <definedName name="Br_sales">#REF!</definedName>
    <definedName name="BRanch__Sales___Aug">#REF!</definedName>
    <definedName name="BRANDIX_APPAREL_LTD">#REF!</definedName>
    <definedName name="Brazil">[49]Drivers!$I$12</definedName>
    <definedName name="BRC">[59]DETAILS!#REF!</definedName>
    <definedName name="BRISCOES__N.Z.__LIMITED">#REF!</definedName>
    <definedName name="Bristol_Associates_LTD.">#REF!</definedName>
    <definedName name="BRTCHIPS">#REF!</definedName>
    <definedName name="bs">#REF!</definedName>
    <definedName name="BSG">[60]Sheet1!#REF!</definedName>
    <definedName name="BSHEET">#REF!</definedName>
    <definedName name="BSTable">'[56]BS-Bud'!$A$11:$Y$133</definedName>
    <definedName name="bt">[40]DCF_VDF!$T$11</definedName>
    <definedName name="btp_PL">'[61]P&amp;L '!#REF!</definedName>
    <definedName name="Buddemeyer_S.A">#REF!</definedName>
    <definedName name="budget">#REF!</definedName>
    <definedName name="BUDGETCURRENCYCODE1">[62]CRITERIA1!$B$16</definedName>
    <definedName name="BUDGETNAME1">[62]CRITERIA1!$B$13</definedName>
    <definedName name="BUDGETORG1">[62]CRITERIA1!$B$14</definedName>
    <definedName name="BURLINGTON_COAT_FACTORY">#REF!</definedName>
    <definedName name="BW_DBL_LOGISTICA_S.L.U">#REF!</definedName>
    <definedName name="BYCOP_S.A.L__.SIN_EL_WATI._BEIRUT">#REF!</definedName>
    <definedName name="C_">#N/A</definedName>
    <definedName name="C_C">#REF!</definedName>
    <definedName name="C_M">#REF!</definedName>
    <definedName name="C_Month">[63]parametros!$R$21</definedName>
    <definedName name="C_T">#REF!</definedName>
    <definedName name="ca">[40]DCF_VDF!$E$1:$E$65536</definedName>
    <definedName name="CA_CASH">[64]EquityTemplate!$A$56:$IV$56</definedName>
    <definedName name="CA_RECS">[64]EquityTemplate!$A$58:$IV$58</definedName>
    <definedName name="CA_STK">[64]EquityTemplate!$A$57:$IV$57</definedName>
    <definedName name="CABLE">[40]DCF_VDF!#REF!</definedName>
    <definedName name="CAFive">[65]IS_BS_CN!$B$242:$Y$300</definedName>
    <definedName name="CAFour">[65]IS_BS_CN!$B$179:$Y$240</definedName>
    <definedName name="cal_ni96">'[40]Model - US GAAP'!#REF!</definedName>
    <definedName name="cal_ni97">'[40]Model - US GAAP'!#REF!</definedName>
    <definedName name="cal_ni98">'[40]Model - US GAAP'!#REF!</definedName>
    <definedName name="cal_op96">'[40]Model - US GAAP'!#REF!</definedName>
    <definedName name="cal_op97">'[40]Model - US GAAP'!#REF!</definedName>
    <definedName name="cal_op98">'[40]Model - US GAAP'!#REF!</definedName>
    <definedName name="cal_shrs96">'[40]Model - US GAAP'!#REF!</definedName>
    <definedName name="cal_shrs97">'[40]Model - US GAAP'!#REF!</definedName>
    <definedName name="cal_shrs98">'[40]Model - US GAAP'!#REF!</definedName>
    <definedName name="cal94_rev">'[40]Model - US GAAP'!#REF!</definedName>
    <definedName name="calendar">'[40]Model - US GAAP'!#REF!</definedName>
    <definedName name="CANADA">#N/A</definedName>
    <definedName name="CANADIAN_MANUFACTURING">#REF!</definedName>
    <definedName name="CANADIAN_TIRE">#REF!</definedName>
    <definedName name="Cancer_Research">#REF!</definedName>
    <definedName name="CANOPY_HOME__M__SDN_BHD">#REF!</definedName>
    <definedName name="CAOne">[65]IS_BS_CN!$B$4:$Y$81</definedName>
    <definedName name="cap">[40]DCF_VDF!#REF!</definedName>
    <definedName name="cap.">'[3]pending indent'!#REF!</definedName>
    <definedName name="CAPRICE_NZ">#REF!</definedName>
    <definedName name="CARBOTEX">#REF!</definedName>
    <definedName name="CARREFOUR_COMERCIO_E_INDUSTRIA_LTDA">#REF!</definedName>
    <definedName name="CARREFOUR_GLOBAL_SOURCING_ASIA_LTD">#REF!</definedName>
    <definedName name="CARREFOUR_IMPORT_SAS">#REF!</definedName>
    <definedName name="CARREFOUR_NEW_CALEDONIA">#REF!</definedName>
    <definedName name="CARREFOUR_ROMANIA_S.A.">#REF!</definedName>
    <definedName name="case2">'[66]Returns (2)'!$G$5</definedName>
    <definedName name="case3">'[66]Returns (2)'!$G$6</definedName>
    <definedName name="CaseNo">[67]IS!$B$45</definedName>
    <definedName name="caserun">[68]TransInputs!$T$21</definedName>
    <definedName name="Cash_DCF">[40]DCF_VDF!$C$33:$AZ$33</definedName>
    <definedName name="Cash_growth_fore">[40]DCF_VDF!$E$55:$W$55</definedName>
    <definedName name="Cash_Operating_Taxes">[40]DCF_VDF!$C$39:$AU$39</definedName>
    <definedName name="Cash_operating_taxes_fore">[40]DCF_VDF!$E$28:$G$28</definedName>
    <definedName name="CASHFLOW">#REF!</definedName>
    <definedName name="CASix">[65]IS_BS_CN!$B$302:$Y$409</definedName>
    <definedName name="CAThree">[65]IS_BS_CN!$B$122:$Y$178</definedName>
    <definedName name="CATwo">[65]IS_BS_CN!$B$83:$Y$120</definedName>
    <definedName name="CB">[58]Assumption!$C$75</definedName>
    <definedName name="CBC">[59]DETAILS!#REF!</definedName>
    <definedName name="CC">[51]Sheet2!$A$9:$G$247</definedName>
    <definedName name="CD">#N/A</definedName>
    <definedName name="CDS__SUPERSTORES_INTERNATIONAL__LIM">#REF!</definedName>
    <definedName name="CE">[64]EquityTemplate!$A$97:$IV$97</definedName>
    <definedName name="CEL">#REF!</definedName>
    <definedName name="CELCIUS_SOLUTIONS__PVT__LTD">#REF!</definedName>
    <definedName name="CELEBIT">[51]Sheet2!$A$9:$I$247</definedName>
    <definedName name="cf">#REF!</definedName>
    <definedName name="CF_CTP">[64]EquityTemplate!$A$87:$IV$87</definedName>
    <definedName name="CF_DEPR">[64]EquityTemplate!$A$84:$IV$84</definedName>
    <definedName name="CF_GAIN_LOSS">[64]EquityTemplate!$A$93:$IV$93</definedName>
    <definedName name="cf_movements">'[69]Consolidation Q1'!$W$102:$AE$173</definedName>
    <definedName name="CF_PBT">[64]EquityTemplate!$A$83:$IV$83</definedName>
    <definedName name="CF_WC">[64]EquityTemplate!$A$86:$IV$86</definedName>
    <definedName name="CFormats">[40]DCF_VDF!$AO$2:$AO$17</definedName>
    <definedName name="CFPS">[64]EquityTemplate!$A$99:$IV$99</definedName>
    <definedName name="chg">[40]DCF_VDF!$AA$12:$AK$12</definedName>
    <definedName name="Chile">[70]Opex!$B$34:$V$43</definedName>
    <definedName name="China_map">[40]DCF_VDF!$U$17:$V$20</definedName>
    <definedName name="Choices_Wrapper">#N/A</definedName>
    <definedName name="Christy_England_1850">#REF!</definedName>
    <definedName name="Christy_USA_LLC">#REF!</definedName>
    <definedName name="CIPL">#REF!</definedName>
    <definedName name="cipl27">#REF!</definedName>
    <definedName name="CIPLL">#REF!</definedName>
    <definedName name="Civil1">#REF!</definedName>
    <definedName name="civil2">'[3]pending indent'!#REF!</definedName>
    <definedName name="civil2007">'[3]pending indent'!#REF!</definedName>
    <definedName name="cl_debt">'[38]debt schedule'!#REF!</definedName>
    <definedName name="class_price">'[71]Support - US'!#REF!</definedName>
    <definedName name="CLINOTEST_GMBH_LTD">#REF!</definedName>
    <definedName name="CLUBS">#REF!</definedName>
    <definedName name="clwcc">#REF!</definedName>
    <definedName name="coa">#REF!</definedName>
    <definedName name="CODELK_Path">[40]DCF_VDF!$AD$4</definedName>
    <definedName name="Col_M">[72]parametros!$R$24</definedName>
    <definedName name="Column_C">[49]Drivers!$I$6</definedName>
    <definedName name="Column_L">[49]Drivers!$I$7</definedName>
    <definedName name="Column_LL">[49]Drivers!$I$8</definedName>
    <definedName name="combined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ERCIALIZADORA_MEXICO">#REF!</definedName>
    <definedName name="commSW_Growth">[43]Assumptions!#REF!</definedName>
    <definedName name="commSW_Growth_2004">[43]Assumptions!#REF!</definedName>
    <definedName name="COMP">[40]DCF_VDF!#REF!</definedName>
    <definedName name="company">[73]Snapshot!$B$1</definedName>
    <definedName name="Company_reported_exceptionals">'[44]P&amp;L (F- Cons)'!#REF!</definedName>
    <definedName name="Company_tax_97">[45]Sheet3!$C$15</definedName>
    <definedName name="Company_tax_98">[45]Sheet3!$B$15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uters">#REF!</definedName>
    <definedName name="COMS_hist_cogs">[57]COMS!#REF!</definedName>
    <definedName name="COMS_hist_d">[57]COMS!#REF!</definedName>
    <definedName name="COMS_hst_a">[57]COMS!#REF!</definedName>
    <definedName name="COMS_hst_cogs">[57]COMS!#REF!</definedName>
    <definedName name="COMS_hst_ebit">[57]COMS!#REF!</definedName>
    <definedName name="COMS_hst_ebt">[57]COMS!#REF!</definedName>
    <definedName name="COMS_hst_eps">[57]COMS!#REF!</definedName>
    <definedName name="COMS_hst_r_d">[57]COMS!#REF!</definedName>
    <definedName name="COMS_hst_sg_a">[57]COMS!#REF!</definedName>
    <definedName name="COMS_sg_a">[57]COMS!#REF!</definedName>
    <definedName name="CONFIG">#N/A</definedName>
    <definedName name="CONS">#N/A</definedName>
    <definedName name="CONSTR">#REF!</definedName>
    <definedName name="consumablespm">'[74]p&amp;l'!#REF!</definedName>
    <definedName name="copy_br_sales">#REF!</definedName>
    <definedName name="CORPORATE">[5]Input_B_V!$A$5</definedName>
    <definedName name="Corporate_Logistics_Employee_Count_Logistics_Systems_Manager">[41]Financials!#REF!</definedName>
    <definedName name="Corporate_Logistics_Employee_Count_Secretary">[41]Financials!#REF!</definedName>
    <definedName name="Corporate_Mgt_and_Admin_Employee_Count_Admin_Assistant">[41]Financials!#REF!</definedName>
    <definedName name="Corporate_Mgt_and_Admin_Employee_Count_COO">[41]Financials!#REF!</definedName>
    <definedName name="Corporate_Mgt_and_Admin_Employee_Count_HR_Director">[41]Financials!#REF!</definedName>
    <definedName name="Corporate_Mgt_and_Admin_Employee_Count_Secretary">[41]Financials!#REF!</definedName>
    <definedName name="Corporate_Mgt_and_Admin_Employee_Count_VP_of_Customer_Service">[41]Financials!#REF!</definedName>
    <definedName name="Corporate_Mgt_and_Admin_Employee_Count_VP_of_Purchasing">[41]Financials!#REF!</definedName>
    <definedName name="Corporate_Real_Estate_Employee_Count_Assistant">[41]Financials!#REF!</definedName>
    <definedName name="Corporate_Real_Estate_Employee_Count_Secretary">[41]Financials!#REF!</definedName>
    <definedName name="Corporate_Real_Estate_Employee_Count_Sight_Selection_Agent">[41]Financials!#REF!</definedName>
    <definedName name="Corporate_Real_Estate_Employee_Count_Warehouse_Construction_Manager">[41]Financials!#REF!</definedName>
    <definedName name="Corporate_SandM_Employee_Count_Secretary">[41]Financials!#REF!</definedName>
    <definedName name="Cos_input_table">[75]sortpart!$K$4:$CV$148</definedName>
    <definedName name="Cost_table">[75]CostDetails!$K$4:$CV$139</definedName>
    <definedName name="COSTCO">#REF!</definedName>
    <definedName name="COSTCO__CHINA__INVESTMENT_CO.__LTD.">#REF!</definedName>
    <definedName name="COSTCO__CHINA__INVESTMENT_CO._LTD.">#REF!</definedName>
    <definedName name="COSTCO_DE_MEXICO_S.A._DE_C.V">#REF!</definedName>
    <definedName name="COSTCO_PRESIDENT_TAIWAN__INC.">#REF!</definedName>
    <definedName name="Costco_UK">#REF!</definedName>
    <definedName name="Costco_Wholesale">#REF!</definedName>
    <definedName name="Costco_Wholesale_Australia_Pty_Ltd">#REF!</definedName>
    <definedName name="Costco_Wholesale_Canada">#REF!</definedName>
    <definedName name="Costco_Wholesale_Japan__Ltd.">#REF!</definedName>
    <definedName name="COSTCO_WHOLESALE_JAPAN_LTD.">#REF!</definedName>
    <definedName name="COSTCO_WHOLESALE_KOREA__LTD">#REF!</definedName>
    <definedName name="Costco_Wholesale_Spain">#REF!</definedName>
    <definedName name="COSTCO_WHOLESALE_TAIWAN__INC.">#REF!</definedName>
    <definedName name="COSTCO_WHOLESALE_TAIWAN_INC.DEPOT_B">#REF!</definedName>
    <definedName name="cosum">#REF!</definedName>
    <definedName name="COSUMF1">#REF!</definedName>
    <definedName name="cotton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OTTON_CLUB_LTD.">#REF!</definedName>
    <definedName name="CottonCounts">#REF!</definedName>
    <definedName name="Cov_00_Rev">[40]DCF_VDF!$AG$226</definedName>
    <definedName name="Cov_97_PS">[40]DCF_VDF!#REF!</definedName>
    <definedName name="Cov_97_Rev">[40]DCF_VDF!$AD$226</definedName>
    <definedName name="Cov_98_PS">[40]DCF_VDF!$AH$229</definedName>
    <definedName name="Cov_98_Rev">[40]DCF_VDF!$AE$226</definedName>
    <definedName name="Cov_99_PS">[40]DCF_VDF!$AI$229</definedName>
    <definedName name="Cov_99_Rev">[40]DCF_VDF!$AF$226</definedName>
    <definedName name="Cov_EPS_00">[40]DCF_VDF!$AC$229</definedName>
    <definedName name="Cov_EPS_98">[40]DCF_VDF!$AA$229</definedName>
    <definedName name="Cov_EPS_99">[40]DCF_VDF!$AB$229</definedName>
    <definedName name="Cov_Mkt_Cap">[40]DCF_VDF!$T$226</definedName>
    <definedName name="Cov_Off_High">[40]DCF_VDF!$N$225</definedName>
    <definedName name="Cov_Perf_97">[40]DCF_VDF!$O$229</definedName>
    <definedName name="Cov_Perf_98">[40]DCF_VDF!$P$229</definedName>
    <definedName name="Cov_Perf_99">[40]DCF_VDF!$Q$229</definedName>
    <definedName name="cov_perf_99b">[40]DCF_VDF!$Q$162</definedName>
    <definedName name="Cov_Univ_Avg">[40]DCF_VDF!$C$229</definedName>
    <definedName name="Cov_Univ_Total">[40]DCF_VDF!$C$226</definedName>
    <definedName name="COZY_HOME">#REF!</definedName>
    <definedName name="cratios">'[40]Model - US GAAP'!#REF!</definedName>
    <definedName name="CROSSANT_CO_LIMITED">#REF!</definedName>
    <definedName name="Crown_Plaza">#REF!</definedName>
    <definedName name="CSC">[59]DETAILS!#REF!</definedName>
    <definedName name="csDesignMode">1</definedName>
    <definedName name="cumclbal">#REF!</definedName>
    <definedName name="cumclmb">#REF!</definedName>
    <definedName name="cur">[72]parametros!$P$2</definedName>
    <definedName name="CurrencyOfferor">'[76]Analyst data'!$P$57</definedName>
    <definedName name="CurrencyOutput">'[76]Analyst data'!$P$64</definedName>
    <definedName name="Current">[48]Assumption!$B$4</definedName>
    <definedName name="CUSTNAME">#REF!</definedName>
    <definedName name="Customer_Name">#REF!</definedName>
    <definedName name="cut">[77]CUTTING!#REF!</definedName>
    <definedName name="CVS_HEALTH">#REF!</definedName>
    <definedName name="cy_name">[78]parametros!$P$1</definedName>
    <definedName name="D">#REF!</definedName>
    <definedName name="d_1">'[79]Black-Scholes'!$B$7</definedName>
    <definedName name="d_2">'[80]Black-Scholes'!#REF!</definedName>
    <definedName name="Danube_Building_Materials_FZCO">#REF!</definedName>
    <definedName name="DAT">#REF!</definedName>
    <definedName name="DAT1_10">#REF!</definedName>
    <definedName name="DAT1_11">#REF!</definedName>
    <definedName name="DAT1_30">#REF!</definedName>
    <definedName name="DAT1_4">#REF!</definedName>
    <definedName name="DAT1_46">#REF!</definedName>
    <definedName name="DAT1_5">#REF!</definedName>
    <definedName name="DAT1_6">#REF!</definedName>
    <definedName name="DAT1_7">#REF!</definedName>
    <definedName name="DAT1_8">#REF!</definedName>
    <definedName name="DAT1_9">#REF!</definedName>
    <definedName name="DAT10_10">#REF!</definedName>
    <definedName name="DAT10_11">#REF!</definedName>
    <definedName name="DAT10_30">#REF!</definedName>
    <definedName name="DAT10_4">#REF!</definedName>
    <definedName name="DAT10_46">#REF!</definedName>
    <definedName name="DAT10_5">#REF!</definedName>
    <definedName name="DAT10_6">#REF!</definedName>
    <definedName name="DAT10_7">#REF!</definedName>
    <definedName name="DAT10_8">#REF!</definedName>
    <definedName name="DAT10_9">#REF!</definedName>
    <definedName name="DAT11_10">#REF!</definedName>
    <definedName name="DAT11_11">#REF!</definedName>
    <definedName name="DAT11_30">#REF!</definedName>
    <definedName name="DAT11_4">#REF!</definedName>
    <definedName name="DAT11_46">#REF!</definedName>
    <definedName name="DAT11_5">#REF!</definedName>
    <definedName name="DAT11_6">#REF!</definedName>
    <definedName name="DAT11_7">#REF!</definedName>
    <definedName name="DAT11_8">#REF!</definedName>
    <definedName name="DAT11_9">#REF!</definedName>
    <definedName name="DAT12_10">#REF!</definedName>
    <definedName name="DAT12_11">#REF!</definedName>
    <definedName name="DAT12_4">#REF!</definedName>
    <definedName name="DAT12_46">#REF!</definedName>
    <definedName name="DAT12_5">#REF!</definedName>
    <definedName name="DAT12_6">#REF!</definedName>
    <definedName name="DAT12_7">#REF!</definedName>
    <definedName name="DAT12_8">#REF!</definedName>
    <definedName name="DAT12_9">#REF!</definedName>
    <definedName name="DAT13_10">#REF!</definedName>
    <definedName name="DAT13_11">#REF!</definedName>
    <definedName name="DAT13_4">#REF!</definedName>
    <definedName name="DAT13_46">#REF!</definedName>
    <definedName name="DAT13_5">#REF!</definedName>
    <definedName name="DAT13_6">#REF!</definedName>
    <definedName name="DAT13_7">#REF!</definedName>
    <definedName name="DAT13_8">#REF!</definedName>
    <definedName name="DAT13_9">#REF!</definedName>
    <definedName name="DAT14_10">#REF!</definedName>
    <definedName name="DAT14_11">#REF!</definedName>
    <definedName name="DAT14_4">#REF!</definedName>
    <definedName name="DAT14_46">#REF!</definedName>
    <definedName name="DAT14_5">#REF!</definedName>
    <definedName name="DAT14_6">#REF!</definedName>
    <definedName name="DAT14_7">#REF!</definedName>
    <definedName name="DAT14_8">#REF!</definedName>
    <definedName name="DAT14_9">#REF!</definedName>
    <definedName name="DAT15_10">#REF!</definedName>
    <definedName name="DAT15_11">#REF!</definedName>
    <definedName name="DAT15_4">#REF!</definedName>
    <definedName name="DAT15_46">#REF!</definedName>
    <definedName name="DAT15_5">#REF!</definedName>
    <definedName name="DAT15_6">#REF!</definedName>
    <definedName name="DAT15_7">#REF!</definedName>
    <definedName name="DAT15_8">#REF!</definedName>
    <definedName name="DAT15_9">#REF!</definedName>
    <definedName name="DAT16_10">#REF!</definedName>
    <definedName name="DAT16_11">#REF!</definedName>
    <definedName name="DAT16_4">#REF!</definedName>
    <definedName name="DAT16_46">[81]WEFT!#REF!</definedName>
    <definedName name="DAT16_5">#REF!</definedName>
    <definedName name="DAT16_6">#REF!</definedName>
    <definedName name="DAT16_7">#REF!</definedName>
    <definedName name="DAT16_8">#REF!</definedName>
    <definedName name="DAT16_9">#REF!</definedName>
    <definedName name="DAT17_10">#REF!</definedName>
    <definedName name="DAT17_11">#REF!</definedName>
    <definedName name="DAT17_4">#REF!</definedName>
    <definedName name="DAT17_46">#REF!</definedName>
    <definedName name="DAT17_5">#REF!</definedName>
    <definedName name="DAT17_6">#REF!</definedName>
    <definedName name="DAT17_7">#REF!</definedName>
    <definedName name="DAT17_8">#REF!</definedName>
    <definedName name="DAT17_9">#REF!</definedName>
    <definedName name="DAT18_10">#REF!</definedName>
    <definedName name="DAT18_11">#REF!</definedName>
    <definedName name="DAT18_4">#REF!</definedName>
    <definedName name="DAT18_46">#REF!</definedName>
    <definedName name="DAT18_5">#REF!</definedName>
    <definedName name="DAT18_6">#REF!</definedName>
    <definedName name="DAT18_7">#REF!</definedName>
    <definedName name="DAT18_8">#REF!</definedName>
    <definedName name="DAT18_9">#REF!</definedName>
    <definedName name="DAT19_10">#REF!</definedName>
    <definedName name="DAT19_11">#REF!</definedName>
    <definedName name="DAT19_4">#REF!</definedName>
    <definedName name="DAT19_46">#REF!</definedName>
    <definedName name="DAT19_5">#REF!</definedName>
    <definedName name="DAT19_6">#REF!</definedName>
    <definedName name="DAT19_7">#REF!</definedName>
    <definedName name="DAT19_8">#REF!</definedName>
    <definedName name="DAT19_9">#REF!</definedName>
    <definedName name="DAT2_10">#REF!</definedName>
    <definedName name="DAT2_11">#REF!</definedName>
    <definedName name="DAT2_30">#REF!</definedName>
    <definedName name="DAT2_4">#REF!</definedName>
    <definedName name="DAT2_46">#REF!</definedName>
    <definedName name="DAT2_5">#REF!</definedName>
    <definedName name="DAT2_6">#REF!</definedName>
    <definedName name="DAT2_7">#REF!</definedName>
    <definedName name="DAT2_8">#REF!</definedName>
    <definedName name="DAT2_9">#REF!</definedName>
    <definedName name="DAT20_10">#REF!</definedName>
    <definedName name="DAT20_11">#REF!</definedName>
    <definedName name="DAT20_4">#REF!</definedName>
    <definedName name="DAT20_5">#REF!</definedName>
    <definedName name="DAT20_6">#REF!</definedName>
    <definedName name="DAT20_7">#REF!</definedName>
    <definedName name="DAT20_8">#REF!</definedName>
    <definedName name="DAT20_9">#REF!</definedName>
    <definedName name="DAT21_10">#REF!</definedName>
    <definedName name="DAT21_11">#REF!</definedName>
    <definedName name="DAT21_4">#REF!</definedName>
    <definedName name="DAT21_5">#REF!</definedName>
    <definedName name="DAT21_6">#REF!</definedName>
    <definedName name="DAT21_7">#REF!</definedName>
    <definedName name="DAT21_8">#REF!</definedName>
    <definedName name="DAT21_9">#REF!</definedName>
    <definedName name="DAT22_10">#REF!</definedName>
    <definedName name="DAT22_11">#REF!</definedName>
    <definedName name="DAT22_4">#REF!</definedName>
    <definedName name="DAT22_5">#REF!</definedName>
    <definedName name="DAT22_6">#REF!</definedName>
    <definedName name="DAT22_7">#REF!</definedName>
    <definedName name="DAT22_8">#REF!</definedName>
    <definedName name="DAT22_9">#REF!</definedName>
    <definedName name="DAT23_10">#REF!</definedName>
    <definedName name="DAT23_11">#REF!</definedName>
    <definedName name="DAT23_4">#REF!</definedName>
    <definedName name="DAT23_5">#REF!</definedName>
    <definedName name="DAT23_6">#REF!</definedName>
    <definedName name="DAT23_7">#REF!</definedName>
    <definedName name="DAT23_8">#REF!</definedName>
    <definedName name="DAT23_9">#REF!</definedName>
    <definedName name="DAT24_10">#REF!</definedName>
    <definedName name="DAT24_11">#REF!</definedName>
    <definedName name="DAT24_4">#REF!</definedName>
    <definedName name="DAT24_5">#REF!</definedName>
    <definedName name="DAT24_6">#REF!</definedName>
    <definedName name="DAT24_7">#REF!</definedName>
    <definedName name="DAT24_8">#REF!</definedName>
    <definedName name="DAT24_9">#REF!</definedName>
    <definedName name="DAT25_10">#REF!</definedName>
    <definedName name="DAT25_11">#REF!</definedName>
    <definedName name="DAT25_4">#REF!</definedName>
    <definedName name="DAT25_5">#REF!</definedName>
    <definedName name="DAT25_6">#REF!</definedName>
    <definedName name="DAT25_7">#REF!</definedName>
    <definedName name="DAT25_8">#REF!</definedName>
    <definedName name="DAT25_9">#REF!</definedName>
    <definedName name="DAT26_10">#REF!</definedName>
    <definedName name="DAT26_11">#REF!</definedName>
    <definedName name="DAT26_4">#REF!</definedName>
    <definedName name="DAT26_5">#REF!</definedName>
    <definedName name="DAT26_6">#REF!</definedName>
    <definedName name="DAT26_7">#REF!</definedName>
    <definedName name="DAT26_8">#REF!</definedName>
    <definedName name="DAT26_9">#REF!</definedName>
    <definedName name="DAT3_10">#REF!</definedName>
    <definedName name="DAT3_11">#REF!</definedName>
    <definedName name="DAT3_30">#REF!</definedName>
    <definedName name="DAT3_4">#REF!</definedName>
    <definedName name="DAT3_46">#REF!</definedName>
    <definedName name="DAT3_5">#REF!</definedName>
    <definedName name="DAT3_6">#REF!</definedName>
    <definedName name="DAT3_7">#REF!</definedName>
    <definedName name="DAT3_8">#REF!</definedName>
    <definedName name="DAT3_9">#REF!</definedName>
    <definedName name="DAT4_10">#REF!</definedName>
    <definedName name="DAT4_11">#REF!</definedName>
    <definedName name="DAT4_30">#REF!</definedName>
    <definedName name="DAT4_4">#REF!</definedName>
    <definedName name="DAT4_46">#REF!</definedName>
    <definedName name="DAT4_5">#REF!</definedName>
    <definedName name="DAT4_6">#REF!</definedName>
    <definedName name="DAT4_7">#REF!</definedName>
    <definedName name="DAT4_8">#REF!</definedName>
    <definedName name="DAT4_9">#REF!</definedName>
    <definedName name="DAT5_10">#REF!</definedName>
    <definedName name="DAT5_11">#REF!</definedName>
    <definedName name="DAT5_30">#REF!</definedName>
    <definedName name="DAT5_4">#REF!</definedName>
    <definedName name="DAT5_46">#REF!</definedName>
    <definedName name="DAT5_5">#REF!</definedName>
    <definedName name="DAT5_6">#REF!</definedName>
    <definedName name="DAT5_7">#REF!</definedName>
    <definedName name="DAT5_8">#REF!</definedName>
    <definedName name="DAT5_9">#REF!</definedName>
    <definedName name="DAT6_10">#REF!</definedName>
    <definedName name="DAT6_11">#REF!</definedName>
    <definedName name="DAT6_30">#REF!</definedName>
    <definedName name="DAT6_4">#REF!</definedName>
    <definedName name="DAT6_46">#REF!</definedName>
    <definedName name="DAT6_5">#REF!</definedName>
    <definedName name="DAT6_6">#REF!</definedName>
    <definedName name="DAT6_7">#REF!</definedName>
    <definedName name="DAT6_8">#REF!</definedName>
    <definedName name="DAT6_9">#REF!</definedName>
    <definedName name="DAT7_10">#REF!</definedName>
    <definedName name="DAT7_11">#REF!</definedName>
    <definedName name="DAT7_30">#REF!</definedName>
    <definedName name="DAT7_4">#REF!</definedName>
    <definedName name="DAT7_46">#REF!</definedName>
    <definedName name="DAT7_5">#REF!</definedName>
    <definedName name="DAT7_6">#REF!</definedName>
    <definedName name="DAT7_7">#REF!</definedName>
    <definedName name="DAT7_8">#REF!</definedName>
    <definedName name="DAT7_9">#REF!</definedName>
    <definedName name="DAT8_10">'[82]Dyed Yarn jw'!#REF!</definedName>
    <definedName name="DAT8_11">'[82]Dyed Yarn jw'!#REF!</definedName>
    <definedName name="DAT8_30">#REF!</definedName>
    <definedName name="DAT8_4">'[82]Dyed Yarn jw'!#REF!</definedName>
    <definedName name="DAT8_46">#REF!</definedName>
    <definedName name="DAT8_5">'[82]Dyed Yarn jw'!#REF!</definedName>
    <definedName name="DAT8_6">'[82]Dyed Yarn jw'!#REF!</definedName>
    <definedName name="DAT8_7">'[82]Dyed Yarn jw'!#REF!</definedName>
    <definedName name="DAT8_8">'[82]Dyed Yarn jw'!#REF!</definedName>
    <definedName name="DAT8_9">'[82]Dyed Yarn jw'!#REF!</definedName>
    <definedName name="DAT9_10">#REF!</definedName>
    <definedName name="DAT9_11">#REF!</definedName>
    <definedName name="DAT9_30">#REF!</definedName>
    <definedName name="DAT9_4">#REF!</definedName>
    <definedName name="DAT9_46">#REF!</definedName>
    <definedName name="DAT9_5">#REF!</definedName>
    <definedName name="DAT9_6">#REF!</definedName>
    <definedName name="DAT9_7">#REF!</definedName>
    <definedName name="DAT9_8">#REF!</definedName>
    <definedName name="DAT9_9">#REF!</definedName>
    <definedName name="data">#REF!</definedName>
    <definedName name="DATA_1">#N/A</definedName>
    <definedName name="DATA_2">#N/A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'[83]2805-06'!#REF!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'[83]2805-06'!#REF!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'[84]Sheet1 (2)'!#REF!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'[84]Sheet1 (2)'!#REF!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'[85]Waste Sales'!$S$2:$S$145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'[84]Sheet1 (2)'!#REF!</definedName>
    <definedName name="DATA233">[86]Sheet1!$W$2:$W$4</definedName>
    <definedName name="DATA24">'[84]Sheet1 (2)'!#REF!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PAYMENTS">#REF!</definedName>
    <definedName name="days">[87]Note!$H$2</definedName>
    <definedName name="Days_Per_Month">[45]Sheet3!$B$2</definedName>
    <definedName name="Days_Per_Month_India">[45]Sheet3!$B$3</definedName>
    <definedName name="Days_Per_Month_US">[45]Sheet3!$B$2</definedName>
    <definedName name="DB">"WIREUK"</definedName>
    <definedName name="DBNAME1">[62]CRITERIA1!$B$39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_EY10">[40]DCF_VDF!$M$1:$M$65536</definedName>
    <definedName name="DCF_EY14">[40]DCF_VDF!$Q$1:$Q$65536</definedName>
    <definedName name="DCF_EY15">[40]DCF_VDF!$R$1:$R$65536</definedName>
    <definedName name="DCF_EY2">[40]DCF_VDF!$E$1:$E$65536</definedName>
    <definedName name="DCF_EY24">[40]DCF_VDF!$AA$1:$AA$65536</definedName>
    <definedName name="DCF_EY25">[40]DCF_VDF!$AB$1:$AB$65536</definedName>
    <definedName name="DCF_EY3">[40]DCF_VDF!$F$1:$F$65536</definedName>
    <definedName name="DCF_EY4">[40]DCF_VDF!$G$1:$G$65536</definedName>
    <definedName name="DCF_EY5">[40]DCF_VDF!$H$1:$H$65536</definedName>
    <definedName name="DCF_EY9">[40]DCF_VDF!$L$1:$L$65536</definedName>
    <definedName name="DCF_P">[40]DCF_VDF!$C$1:$C$65536</definedName>
    <definedName name="dcs">#REF!</definedName>
    <definedName name="DD_Curr">[88]Currency!$C$3</definedName>
    <definedName name="DDDD">#REF!</definedName>
    <definedName name="deas">#REF!</definedName>
    <definedName name="DEBENHAMS">#REF!</definedName>
    <definedName name="DEBT_EBITDA">[64]EquityTemplate!$A$44:$IV$44</definedName>
    <definedName name="Debt_growth">[40]DCF_VDF!$M$153:$Q$153</definedName>
    <definedName name="debt_repay">'[38]debt schedule'!#REF!</definedName>
    <definedName name="debtorswcc">#REF!</definedName>
    <definedName name="debtrepay">#REF!</definedName>
    <definedName name="debtsch">#REF!</definedName>
    <definedName name="dec">#REF!</definedName>
    <definedName name="Deferred_tax_liability_growth_fore">[40]DCF_VDF!$H$167:$K$167</definedName>
    <definedName name="Delos">#REF!</definedName>
    <definedName name="DEP">'[89]debt  - Copany'!#REF!</definedName>
    <definedName name="Dep_and_Amort">[40]DCF_VDF!$C$100:$AU$100</definedName>
    <definedName name="Dep_Chem">[90]Financials!#REF!</definedName>
    <definedName name="Dep_margin_fore">[40]DCF_VDF!#REF!</definedName>
    <definedName name="deppm">'[74]p&amp;l'!#REF!</definedName>
    <definedName name="depr">[91]Financials!#REF!</definedName>
    <definedName name="Depreciation_fore">[40]DCF_VDF!$E$14:$G$14</definedName>
    <definedName name="DESC">#REF!</definedName>
    <definedName name="DESC1">[92]Income!$B$122:$N$362</definedName>
    <definedName name="df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fg">[31]data!$B$2:$O$40</definedName>
    <definedName name="dfgas">#REF!</definedName>
    <definedName name="dfsaq">#REF!</definedName>
    <definedName name="dgh">[31]graph!$A$105:$O$159</definedName>
    <definedName name="dip">[77]SEWING!#REF!</definedName>
    <definedName name="Direct_Mail_Percent_Targeted">[41]Financials!#REF!</definedName>
    <definedName name="DnA_fore">[40]DCF_VDF!$E$16:$N$16</definedName>
    <definedName name="DnA_growth_fore">[40]DCF_VDF!$H$145:$K$145</definedName>
    <definedName name="DOL">#REF!</definedName>
    <definedName name="DomCRM">'[93]C&amp;P - CRM'!$A$1:$AZ$65536</definedName>
    <definedName name="DOMLD">[40]DCF_VDF!#REF!</definedName>
    <definedName name="DomPM">'[93]C&amp;P - PM'!$A$1:$AZ$65536</definedName>
    <definedName name="DomSales">'[93]C&amp;P - Sales'!$A$1:$AZ$65536</definedName>
    <definedName name="DPS">[64]EquityTemplate!$A$42:$IV$42</definedName>
    <definedName name="DQ">'[48]Perf Target'!$D$89</definedName>
    <definedName name="DS">[94]RM!$E$13</definedName>
    <definedName name="dsa">[6]Working!#REF!</definedName>
    <definedName name="DSD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ta">'[7]Excise on RM'!#REF!</definedName>
    <definedName name="dtaqqqqqqqqq">#REF!</definedName>
    <definedName name="DTTOTAL">#REF!</definedName>
    <definedName name="Dunelm__Soft_Furnishings__Ltd">#REF!</definedName>
    <definedName name="DW">'[48]Perf Target'!$D$81</definedName>
    <definedName name="DWD_Poort_10">#REF!</definedName>
    <definedName name="DYCKHOFF_GMBH">#REF!</definedName>
    <definedName name="Dyes_Chem_Cost">'[75]D&amp;C_Pkg'!$L$4:$U$106</definedName>
    <definedName name="dyr">[31]data!$B$82:$O$118</definedName>
    <definedName name="E">#N/A</definedName>
    <definedName name="EBIT_margin">[40]DCF_VDF!$C$111:$AU$111</definedName>
    <definedName name="EBIT_margin_fore">[40]DCF_VDF!#REF!</definedName>
    <definedName name="EBITA">[40]DCF_VDF!$C$101:$AZ$101</definedName>
    <definedName name="EBITA_fore">[40]DCF_VDF!$E$19:$X$19</definedName>
    <definedName name="EBITDA">[40]DCF_VDF!$C$102:$AE$102</definedName>
    <definedName name="ebitda_cal96">'[40]Model - US GAAP'!#REF!</definedName>
    <definedName name="ebitda_cal97">'[40]Model - US GAAP'!#REF!</definedName>
    <definedName name="ebitda_cal98">'[40]Model - US GAAP'!#REF!</definedName>
    <definedName name="EBITDA_fore">[40]DCF_VDF!$E$17:$AW$17</definedName>
    <definedName name="ebitda_fy96">'[40]Model - US GAAP'!#REF!</definedName>
    <definedName name="ebitda_fy97">'[40]Model - US GAAP'!#REF!</definedName>
    <definedName name="ebitda_fy98">'[40]Model - US GAAP'!#REF!</definedName>
    <definedName name="EBITDA_INT">[64]EquityTemplate!$A$45:$IV$45</definedName>
    <definedName name="EBITDA_MAR">[64]EquityTemplate!$A$37:$IV$37</definedName>
    <definedName name="EBITDA_margin">[40]DCF_VDF!$C$109:$AZ$109</definedName>
    <definedName name="EBITDA_margin_fore">[40]DCF_VDF!$H$62:$K$62</definedName>
    <definedName name="EBITDA_Share">[40]DCF_VDF!#REF!</definedName>
    <definedName name="Ecotex">#REF!</definedName>
    <definedName name="ED">[58]Assumption!$C$79</definedName>
    <definedName name="EDIPriceList">'[95]Price List'!$D$74:$E$90</definedName>
    <definedName name="EDIT__END__LEFT__DEL___DOWN">#REF!</definedName>
    <definedName name="Education">[43]Assumptions!#REF!</definedName>
    <definedName name="EG_DPS">'[44]P&amp;L (F- Cons)'!#REF!</definedName>
    <definedName name="EG_Net_Profit">'[44]P&amp;L (F- Cons)'!#REF!</definedName>
    <definedName name="EGIDA_LTD">#REF!</definedName>
    <definedName name="eight">[65]IS_BS_US!$Q$120:$Y$177</definedName>
    <definedName name="Ellman">'[96]3YrReturns'!$O$10</definedName>
    <definedName name="EMMEBIESSE_S.P.A.">#REF!</definedName>
    <definedName name="employeecostpermonth">'[74]p&amp;l'!#REF!</definedName>
    <definedName name="ENCHANTE_ACCESSORIES_INC.">#REF!</definedName>
    <definedName name="EPS_growth_avg">[40]DCF_VDF!#REF!</definedName>
    <definedName name="Equipment_Cost_97">[45]Sheet3!$C$8</definedName>
    <definedName name="EQUITY">[64]EquityTemplate!$A$66:$IV$66</definedName>
    <definedName name="Equity_Issuance">[41]Financials!#REF!</definedName>
    <definedName name="equitycap">'[97]Projected Balance Sheet'!#REF!</definedName>
    <definedName name="er">#REF!</definedName>
    <definedName name="ere4t">[31]graph!$A$159:$O$212</definedName>
    <definedName name="ESTEEM_HOME_TEXTILES_CO_LTD">#REF!</definedName>
    <definedName name="EUPECCLAIMS" hidden="1">#REF!</definedName>
    <definedName name="EUPEWEL" hidden="1">#REF!</definedName>
    <definedName name="EVA">[64]EquityTemplate!$A$80:$IV$80</definedName>
    <definedName name="EVA_TOTCAP">[64]EquityTemplate!$A$81:$IV$81</definedName>
    <definedName name="Even_Hotels">#REF!</definedName>
    <definedName name="Events_Marketing">[41]Financials!#REF!</definedName>
    <definedName name="EVERBRENT_GMBH">#REF!</definedName>
    <definedName name="EX_EBITDA_INT">[64]EquityTemplate!$A$46:$IV$46</definedName>
    <definedName name="example1">[98]webout!#REF!</definedName>
    <definedName name="example2">[98]webout!#REF!</definedName>
    <definedName name="example3">[98]webout!#REF!</definedName>
    <definedName name="EXAT">'[99]CONTR-TEX LOCAL'!$F$128</definedName>
    <definedName name="EXAT1">'[99]CONTR-TEX LOCAL'!$F$157</definedName>
    <definedName name="Excel_BuiltIn__FilterDatabase_52">#REF!</definedName>
    <definedName name="Excel_BuiltIn_Print_Area">#REF!</definedName>
    <definedName name="EXCEP_ITEMS">[64]EquityTemplate!$A$26:$IV$26</definedName>
    <definedName name="Excess_cash">[40]DCF_VDF!$C$5:$AE$5</definedName>
    <definedName name="excf">#REF!</definedName>
    <definedName name="excfancy">#REF!</definedName>
    <definedName name="Exchange_Rate">[45]Sheet3!$C$16</definedName>
    <definedName name="Exchange_Rate_98">[45]Sheet3!$B$16</definedName>
    <definedName name="excmono">#REF!</definedName>
    <definedName name="excp">#REF!</definedName>
    <definedName name="excpoly">#REF!</definedName>
    <definedName name="excsplit">#REF!</definedName>
    <definedName name="exct">#REF!</definedName>
    <definedName name="EXDT">'[99]CONTR-TEX LOCAL'!$F$129</definedName>
    <definedName name="EXDT1">'[99]CONTR-TEX LOCAL'!$F$155</definedName>
    <definedName name="EXFY">'[99]CONTR-POY'!$G$44</definedName>
    <definedName name="EXP">#REF!</definedName>
    <definedName name="EXP_HEAD">[100]Sheet1!$B$3:$F$177</definedName>
    <definedName name="EXPHD">[100]Sheet1!$B$3:$F$177</definedName>
    <definedName name="Expl_forecast_2nd_yr">[40]DCF_VDF!$F$1:$F$65536</definedName>
    <definedName name="Expl_forecast_3rd_yr">[40]DCF_VDF!$G$1:$G$65536</definedName>
    <definedName name="EXPO_GLOBAL_DISTRIBUTION_CENTRE__PT">#REF!</definedName>
    <definedName name="EXPORT">#N/A</definedName>
    <definedName name="ExportKohlsBig_One_SolidUSABath">'[101]Sales inputs '!#REF!</definedName>
    <definedName name="exportswccc">#REF!</definedName>
    <definedName name="EXPY">'[99]CONTR-POY'!$G$102</definedName>
    <definedName name="EXSM">'[99]CONTR-TEX LOCAL'!$F$130</definedName>
    <definedName name="EXSM1">'[99]CONTR-TEX LOCAL'!$F$156</definedName>
    <definedName name="ExtFiles">[40]DCF_VDF!$AG$2:$AG$10</definedName>
    <definedName name="EXTRA_ITEMS">[64]EquityTemplate!$A$34:$IV$34</definedName>
    <definedName name="EXTRA_RETAIL_GROUP_LTD">#REF!</definedName>
    <definedName name="EXTX">'[99]CONTR-TEX LOCAL'!$F$127</definedName>
    <definedName name="EXTX1">'[99]CONTR-TEX LOCAL'!$F$154</definedName>
    <definedName name="eyoec" hidden="1">[102]WGSRL!$G$49:$G$53</definedName>
    <definedName name="f" hidden="1">#REF!</definedName>
    <definedName name="F_AFLCFM2">[40]DCF_VDF!#REF!</definedName>
    <definedName name="F_AFLPEM3">[40]DCF_VDF!#REF!</definedName>
    <definedName name="F_AFLPEM4">[40]DCF_VDF!#REF!</definedName>
    <definedName name="F_AFLPEMb">[40]DCF_VDF!#REF!</definedName>
    <definedName name="F_AFLSD1">[40]DCF_VDF!#REF!</definedName>
    <definedName name="F_AFLSD2">[40]DCF_VDF!#REF!</definedName>
    <definedName name="F_Book_value_per_share">[40]DCF_VDF!#REF!</definedName>
    <definedName name="Fa">[64]EquityTemplate!$A$52:$IV$52</definedName>
    <definedName name="FA_ASSOC">[64]EquityTemplate!$A$53:$IV$53</definedName>
    <definedName name="FA_INV">[64]EquityTemplate!$A$54:$IV$54</definedName>
    <definedName name="Facility">[103]DISTN!#REF!</definedName>
    <definedName name="Facility_drawn">[103]DISTN!#REF!</definedName>
    <definedName name="FAMERangeDJ_BALAL28">[40]DCF_VDF!#REF!</definedName>
    <definedName name="FAMERangeDJ_BALAM28">[40]DCF_VDF!#REF!</definedName>
    <definedName name="FAMERangeDJ_BALAN28">[40]DCF_VDF!#REF!</definedName>
    <definedName name="FAMERangeGCI_BALD62">[40]DCF_VDF!#REF!</definedName>
    <definedName name="FAMERangeGCI_BALD63">[40]DCF_VDF!#REF!</definedName>
    <definedName name="FAMERangeKRI_BALAM99">[40]DCF_VDF!$V$93:$V$93</definedName>
    <definedName name="FAMERangeKRI_BALAN99">[40]DCF_VDF!$W$93:$W$93</definedName>
    <definedName name="Family_Dollar_Stores__Inc">#REF!</definedName>
    <definedName name="Fax_Cover">#REF!</definedName>
    <definedName name="FAZZINI_SRL">#REF!</definedName>
    <definedName name="FD" hidden="1">#REF!</definedName>
    <definedName name="FD_EPS">[64]EquityTemplate!$A$40:$IV$40</definedName>
    <definedName name="FDAV_acquiror">[104]Inputs!$L$54</definedName>
    <definedName name="FDAV_target">[104]Inputs!$J$54</definedName>
    <definedName name="FDC">[59]DETAILS!#REF!</definedName>
    <definedName name="FDEV_acquiror">[104]Inputs!$L$53</definedName>
    <definedName name="FDEV_target">[104]Inputs!$J$53</definedName>
    <definedName name="FDFD">#REF!</definedName>
    <definedName name="fdfdf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S_target">[42]Inputs!$J$45</definedName>
    <definedName name="FDSHARES">[64]EquityTemplate!$A$15:$IV$15</definedName>
    <definedName name="FDYSALE">#REF!</definedName>
    <definedName name="FDYTOTAL">#REF!</definedName>
    <definedName name="FDYTR">[105]ASSUMPTION!$B$82</definedName>
    <definedName name="FE">'[106]Perf Target'!$D$16</definedName>
    <definedName name="feb">#REF!</definedName>
    <definedName name="febbi">'[107]TB RS $  feb'!#REF!</definedName>
    <definedName name="ff">#REF!</definedName>
    <definedName name="FFD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fff">#REF!</definedName>
    <definedName name="fg">#REF!</definedName>
    <definedName name="fgf">[40]DCF_VDF!#REF!</definedName>
    <definedName name="fgwcc">#REF!</definedName>
    <definedName name="FHDJFHD">#REF!</definedName>
    <definedName name="File_Name">OFFSET([108]!START,0,0,1,1)</definedName>
    <definedName name="Finance">'[93]Corp - Finance'!$A$1:$BZ$65536</definedName>
    <definedName name="Finrestructure">#REF!</definedName>
    <definedName name="First">[65]IS_BS_US!$I$4:$P$299</definedName>
    <definedName name="five">[65]IS_BS_US!$C$241:$Y$299</definedName>
    <definedName name="Fixed_asset_turns_fore">[40]DCF_VDF!$B$78:$K$78</definedName>
    <definedName name="Fixed_line">[40]DCF_VDF!$A$1:$I$74</definedName>
    <definedName name="Fixed_Plant_Administrative_Expenses">[41]Financials!#REF!</definedName>
    <definedName name="FixedCost_Table">'[109]Fixed Cost'!$B$3:$H$17</definedName>
    <definedName name="FLAIR_RUGS">#REF!</definedName>
    <definedName name="Floordirekt_GmBH___Co._KG">#REF!</definedName>
    <definedName name="FLORIDA_SUPPLY">#REF!</definedName>
    <definedName name="Format">#REF!</definedName>
    <definedName name="four">[65]IS_BS_US!$C$178:$Y$239</definedName>
    <definedName name="FOX_WIZEL_LTD">#REF!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E">'[48]Perf Target'!$D$14</definedName>
    <definedName name="FPQ">'[48]Perf Target'!$D$28</definedName>
    <definedName name="FPW">'[48]Perf Target'!$D$21</definedName>
    <definedName name="fratios">'[40]Model - US GAAP'!#REF!</definedName>
    <definedName name="Fred_Meyer__Inc._dba_Kroger">#REF!</definedName>
    <definedName name="free">[40]DCF_VDF!#REF!</definedName>
    <definedName name="FREEFLOAT">[64]EquityTemplate!$A$17:$IV$17</definedName>
    <definedName name="FRT">'[110]Vlookup-Frt'!$F$1:$J$65536</definedName>
    <definedName name="fuelcst">[111]Assumption!$D$29</definedName>
    <definedName name="fuelpm">'[74]p&amp;l'!#REF!</definedName>
    <definedName name="FULFIL">#N/A</definedName>
    <definedName name="FULLCOMPANY">[5]Input_B_V!$A$63</definedName>
    <definedName name="FUNCITY">#REF!</definedName>
    <definedName name="Furnitures">#REF!</definedName>
    <definedName name="fxusq1">[112]INPUTS!$Q$27</definedName>
    <definedName name="FY_87">'[40]Model - US GAAP'!#REF!</definedName>
    <definedName name="FY_88">'[40]Model - US GAAP'!#REF!</definedName>
    <definedName name="FY_89">'[40]Model - US GAAP'!#REF!</definedName>
    <definedName name="FY_90">'[40]Model - US GAAP'!#REF!</definedName>
    <definedName name="FY_91">'[40]Model - US GAAP'!#REF!</definedName>
    <definedName name="FY_92">'[40]Model - US GAAP'!#REF!</definedName>
    <definedName name="FY_93">'[40]Model - US GAAP'!#REF!</definedName>
    <definedName name="FY_94">'[40]Model - US GAAP'!#REF!</definedName>
    <definedName name="FY_95">'[40]Model - US GAAP'!#REF!</definedName>
    <definedName name="FY_96">'[40]Model - US GAAP'!#REF!</definedName>
    <definedName name="FY_97">'[40]Model - US GAAP'!#REF!</definedName>
    <definedName name="FY_98">'[40]Model - US GAAP'!#REF!</definedName>
    <definedName name="G" hidden="1">#REF!</definedName>
    <definedName name="GALERIA_KARSTADT_KAUFHOF_GMBH">#REF!</definedName>
    <definedName name="GALERIA_Kaufhof_GmbH">#REF!</definedName>
    <definedName name="gbasnx">'[7]Excise on RM'!#REF!</definedName>
    <definedName name="GDF" hidden="1">{#N/A,#N/A,FALSE,"COMP"}</definedName>
    <definedName name="GDR_EXRATE">[64]EquityTemplate!$A$107:$IV$107</definedName>
    <definedName name="GEOG">[40]DCF_VDF!#REF!</definedName>
    <definedName name="Germany">[70]Opex!$B$84:$V$93</definedName>
    <definedName name="gf">#REF!</definedName>
    <definedName name="ghjghjh">[53]Anupam!#REF!</definedName>
    <definedName name="GIATH_SOUHIL_AL_NIZAMI_EST">#REF!</definedName>
    <definedName name="GLACIER_PARADISE_IMPORTING_INC.">#REF!</definedName>
    <definedName name="GLOBAL_WEAVERS_CORP">#REF!</definedName>
    <definedName name="Goodwill_Life">[42]Inputs!$R$25</definedName>
    <definedName name="GP">'[113]P13-R'!#REF!</definedName>
    <definedName name="gr_25598_vp" hidden="1">{#N/A,#N/A,FALSE,"profile ";#N/A,#N/A,FALSE,"rank";#N/A,#N/A,FALSE,"overbase";#N/A,#N/A,FALSE,"overcash";#N/A,#N/A,FALSE,"overtfp";#N/A,#N/A,FALSE,"overtcc"}</definedName>
    <definedName name="gr_25598_vp_1" hidden="1">{#N/A,#N/A,FALSE,"profile ";#N/A,#N/A,FALSE,"rank";#N/A,#N/A,FALSE,"overbase";#N/A,#N/A,FALSE,"overcash";#N/A,#N/A,FALSE,"overtfp";#N/A,#N/A,FALSE,"overtcc"}</definedName>
    <definedName name="Grand_store_LLC">#REF!</definedName>
    <definedName name="Grand_Total">#REF!</definedName>
    <definedName name="GRANDE_GLORIA_PRODUCTION_SA">#REF!</definedName>
    <definedName name="graph" hidden="1">'[114]S &amp; A'!$A$4:$A$8</definedName>
    <definedName name="GRAPHPAGE1">'[115]graph '!$B$4:$U$47</definedName>
    <definedName name="graphs">'[115]graph '!$A$1:$U$44</definedName>
    <definedName name="GRAPKPAGE2">'[115]graph '!$B$47:$T$90</definedName>
    <definedName name="GreyProdn_Q1">'[116]Grey Prodn'!$AB$4:$AC$120</definedName>
    <definedName name="GreyProdn_Q2">'[116]Grey Prodn'!$AB$121:$AC$236</definedName>
    <definedName name="GreyProdn_Q3">'[116]Grey Prodn'!$AB$237:$AC$353</definedName>
    <definedName name="GreyProdn_Q4">'[116]Grey Prodn'!$AB$354:$AC$470</definedName>
    <definedName name="Gross_income">[40]DCF_VDF!$C$10:$AE$10</definedName>
    <definedName name="Gross_income_fore">[40]DCF_VDF!$E$9:$G$9</definedName>
    <definedName name="Gross_income_growth_avg">[40]DCF_VDF!$B$140</definedName>
    <definedName name="Gross_margin_fore">[40]DCF_VDF!#REF!</definedName>
    <definedName name="grossblock">'[97]Projected Balance Sheet'!#REF!</definedName>
    <definedName name="grosssales_MT">#REF!</definedName>
    <definedName name="Growth">[40]DCF_VDF!$C$227</definedName>
    <definedName name="Growth_97">[40]DCF_VDF!$AD$227</definedName>
    <definedName name="Growth_98">[40]DCF_VDF!$AE$227</definedName>
    <definedName name="Growth_99">[40]DCF_VDF!$AF$227</definedName>
    <definedName name="GUESS_EUROPE_SAGL">#REF!</definedName>
    <definedName name="GWTable">'[56]GW-Bud'!$A$11:$Y$133</definedName>
    <definedName name="H_O_FASHION_CHAINS__2003__LTD.">#REF!</definedName>
    <definedName name="Habitat_Retail_Ltd">#REF!</definedName>
    <definedName name="Hangzhou_Netease_Yanxuan_Trading_Co">#REF!</definedName>
    <definedName name="HAYASHI_CO._LTD">#REF!</definedName>
    <definedName name="Header">#REF!</definedName>
    <definedName name="HeadOfficeTable">'[56]Head Office-Bud'!$A$11:$Y$133</definedName>
    <definedName name="HEMA_B.V.___HEMA_Far_East_Ltd.">#REF!</definedName>
    <definedName name="HFM_general_Trading_LLC">#REF!</definedName>
    <definedName name="hhhhhhh">#REF!</definedName>
    <definedName name="High_Life">#REF!</definedName>
    <definedName name="hjnabsd">'[7]Excise on RM'!#REF!</definedName>
    <definedName name="Hollywood_Magic_LLC">#REF!</definedName>
    <definedName name="HOME_DEPOT_PRODUCT_AUTHORITY_LLC">#REF!</definedName>
    <definedName name="HOME_DEPOT_USA_INC">#REF!</definedName>
    <definedName name="HOME_DYNAMIX">#REF!</definedName>
    <definedName name="HOME_GOODS">#REF!</definedName>
    <definedName name="Home_goods_Distribution_Centre___88">#REF!</definedName>
    <definedName name="Home_R_Us_Trading_LLC">#REF!</definedName>
    <definedName name="HOMEPLUS_CO._LTD">#REF!</definedName>
    <definedName name="HOS_PRIVATE_LIMITED">#REF!</definedName>
    <definedName name="Hotel_Yak___Yeti">#REF!</definedName>
    <definedName name="House_Of_Fraser">#REF!</definedName>
    <definedName name="ht">[40]DCF_VDF!$AC$94:$AC$94</definedName>
    <definedName name="hthh">'[117]P&amp;LSC'!#REF!</definedName>
    <definedName name="HTML_CodePage" hidden="1">1252</definedName>
    <definedName name="HTML_Control" hidden="1">{"'VALUATION'!$A$3:$R$266"}</definedName>
    <definedName name="HTML_Control_1" hidden="1">{"'VALUATION'!$A$3:$R$266"}</definedName>
    <definedName name="HTML_Description" hidden="1">"From 01-07-2000 To 31-07-2000"</definedName>
    <definedName name="HTML_Email" hidden="1">""</definedName>
    <definedName name="HTML_Header" hidden="1">"Terry Towels W I P Statement"</definedName>
    <definedName name="HTML_LastUpdate" hidden="1">"08/08/2000"</definedName>
    <definedName name="HTML_LineAfter" hidden="1">FALSE</definedName>
    <definedName name="HTML_LineBefore" hidden="1">FALSE</definedName>
    <definedName name="HTML_Name" hidden="1">"Naresh Pandya"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"C:\user\cost\HTM Files\wttwip07.htm"</definedName>
    <definedName name="HTML_PathTemplate" hidden="1">"C:\infac\pricewth\Aug99\Page06e.htm"</definedName>
    <definedName name="HTML_Title" hidden="1">"Welspun Terry Towels"</definedName>
    <definedName name="HUDSON_S_BAY_COMPANY">#REF!</definedName>
    <definedName name="HW_Q_Growth_2004">[43]Assumptions!#REF!</definedName>
    <definedName name="HYATT">#REF!</definedName>
    <definedName name="I">'[5]Ann-1'!#REF!</definedName>
    <definedName name="iam209gl">#REF!</definedName>
    <definedName name="IB_DIFF">#REF!</definedName>
    <definedName name="IC_2">[40]DCF_VDF!$O$1:$O$65536</definedName>
    <definedName name="IC_P1">[40]DCF_VDF!$R$1:$R$65536</definedName>
    <definedName name="IC_P2">[40]DCF_VDF!$S$1:$S$65536</definedName>
    <definedName name="IC_P3">[40]DCF_VDF!$T$1:$T$65536</definedName>
    <definedName name="ICICI">#REF!</definedName>
    <definedName name="IDdesign_A_S">#REF!</definedName>
    <definedName name="IFCI">#REF!</definedName>
    <definedName name="IHG">#REF!</definedName>
    <definedName name="IKEA_INDIA_PVT_LTD">#REF!</definedName>
    <definedName name="IKEA_Supply_AG">#REF!</definedName>
    <definedName name="Imla">[49]Drivers!$I$16</definedName>
    <definedName name="IMPORTADORA_BBMEX_S_DE_RL_DE_CV">#REF!</definedName>
    <definedName name="Importadora_Primex__S.A._de_C.V.">#REF!</definedName>
    <definedName name="income">[118]Income!#REF!</definedName>
    <definedName name="Income_equivalents">[40]DCF_VDF!$C$30:$AZ$30</definedName>
    <definedName name="Income_equivalents_fore">[40]DCF_VDF!$E$26:$X$26</definedName>
    <definedName name="Income_form_uncons_subs_fore">[40]DCF_VDF!$E$32:$G$32</definedName>
    <definedName name="Income_from_Unconsolidated_Subs">[40]DCF_VDF!$C$48:$AZ$48</definedName>
    <definedName name="Income_tax_fore">[40]DCF_VDF!$E$39:$M$39</definedName>
    <definedName name="Income_tax_growth_fore">[40]DCF_VDF!$H$143:$K$143</definedName>
    <definedName name="Income_taxes_payable_growth_fore">[40]DCF_VDF!$H$154:$K$154</definedName>
    <definedName name="income1">#REF!</definedName>
    <definedName name="incoome">[107]Income!#REF!</definedName>
    <definedName name="Increase_cap_RnD_fore">[40]DCF_VDF!$E$21:$Z$21</definedName>
    <definedName name="Increase_Capitalized_R_D_net">[40]DCF_VDF!$C$22:$AZ$22</definedName>
    <definedName name="Increase_in_other_liabilities">[40]DCF_VDF!#REF!</definedName>
    <definedName name="INCREMENT">[119]Returns!#REF!</definedName>
    <definedName name="INCREMENTAL">[119]Returns!#REF!</definedName>
    <definedName name="Incremental_Annual_Oracle">[45]Sheet3!$B$18</definedName>
    <definedName name="Incremental_Oracle_Salary">[45]Sheet3!$B$18</definedName>
    <definedName name="Incremental_SAP_Salary">[45]Sheet3!$B$18</definedName>
    <definedName name="india">#REF!</definedName>
    <definedName name="Ini_Scenario">[120]INI!$C$18</definedName>
    <definedName name="Ini_Year0">[120]INI!$C$19</definedName>
    <definedName name="Ini_Year0Col">[120]INI!$C$20</definedName>
    <definedName name="Initial_Package">[45]Sheet3!$B$14</definedName>
    <definedName name="Initial_Package_97">[45]Sheet3!$C$14</definedName>
    <definedName name="INPUT">#REF!</definedName>
    <definedName name="input_CableWireless">[36]CW!$B$3:$B$4,[36]CW!$D$7:$H$20,[36]CW!$D$27:$D$29,[36]CW!$D$31,[36]CW!$D$34:$F$37,[36]CW!$O$4:$P$4,[36]CW!$O$6:$P$6,[36]CW!$O$8:$P$8,[36]CW!$O$10:$P$10,[36]CW!$O$12:$P$12,[36]CW!$O$16:$P$16,[36]CW!$O$18:$P$18,[36]CW!$O$20:$P$20,[36]CW!$O$22:$P$22,[36]CW!$O$24:$P$24</definedName>
    <definedName name="input_CRK">[36]CRK!$B$3:$B$4,[36]CRK!$D$7:$H$20,[36]CRK!$D$27:$D$29,[36]CRK!$D$31,[36]CRK!$D$34:$F$37,[36]CRK!$O$4:$P$4,[36]CRK!$O$6:$P$6,[36]CRK!$O$8:$P$8,[36]CRK!$O$10:$P$10,[36]CRK!$O$12:$P$12,[36]CRK!$O$16:$P$16,[36]CRK!$O$18:$P$18,[36]CRK!$O$18,[36]CRK!$P$18,[36]CRK!$O$20,[36]CRK!$P$20,[36]CRK!$O$22,[36]CRK!$P$22</definedName>
    <definedName name="input_CWComms">[36]CWC!$B$3:$B$4,[36]CWC!$D$7:$H$20,[36]CWC!$D$27:$D$29,[36]CWC!$D$31,[36]CWC!$D$34:$F$37,[36]CWC!$O$4:$P$4,[36]CWC!$O$6:$P$6,[36]CWC!$O$8:$P$8,[36]CWC!$O$10:$P$10,[36]CWC!$O$12:$P$12,[36]CWC!$O$16:$P$16,[36]CWC!$O$18:$P$18,[36]CWC!$O$20:$P$20,[36]CWC!$O$22:$P$22,[36]CWC!$O$24:$P$24</definedName>
    <definedName name="input_DeutscheTelekom">[36]DT!$B$3:$B$4,[36]DT!$D$7:$H$20,[36]DT!$D$27:$D$29,[36]DT!$D$31,[36]DT!$D$34:$F$37,[36]DT!$O$4:$P$4,[36]DT!$O$6:$P$6,[36]DT!$O$8:$P$8,[36]DT!$O$10:$P$10,[36]DT!$O$12:$P$12,[36]DT!$O$16:$P$16,[36]DT!$O$18:$P$18,[36]DT!$O$20:$P$20,[36]DT!$O$22:$P$22,[36]DT!$O$24:$P$24</definedName>
    <definedName name="input_Energis">[36]EGS!$B$3:$B$4,[36]EGS!$D$7:$H$20,[36]EGS!$D$27:$D$29,[36]EGS!$D$31,[36]EGS!$D$34:$F$37,[36]EGS!$O$4:$P$4,[36]EGS!$O$6:$P$6,[36]EGS!$O$8:$P$8,[36]EGS!$O$10:$P$10,[36]EGS!$O$12:$P$12,[36]EGS!$O$16:$P$16,[36]EGS!$O$18:$P$18,[36]EGS!$O$20:$P$20,[36]EGS!$O$22:$P$22,[36]EGS!$O$24:$P$24</definedName>
    <definedName name="input_EQUANT">[36]EQU!$B$3:$B$4,[36]EQU!$D$7:$H$20,[36]EQU!$D$27:$D$29,[36]EQU!$D$31,[36]EQU!$D$34:$F$37,[36]EQU!$O$4:$P$4,[36]EQU!$O$6:$P$6,[36]EQU!$O$8:$P$8,[36]EQU!$O$10:$P$10,[36]EQU!$O$12:$P$12,[36]EQU!$O$16:$P$16,[36]EQU!$O$18:$P$18,[36]EQU!$O$20:$P$20,[36]EQU!$O$22:$P$22,[36]EQU!$O$24:$P$24</definedName>
    <definedName name="input_FranceTelecom">[36]FT!$B$3:$B$4,[36]FT!$D$7:$H$20,[36]FT!$D$27:$D$29,[36]FT!$D$31,[36]FT!$D$34:$F$37,[36]FT!$O$4:$P$4,[36]FT!$O$6:$P$6,[36]FT!$O$8:$P$8,[36]FT!$O$10:$P$10,[36]FT!$O$12:$P$12,[36]FT!$O$16:$P$16,[36]FT!$O$18:$P$18,[36]FT!$O$20:$P$20,[36]FT!$O$22:$P$22,[36]FT!$O$24:$P$24</definedName>
    <definedName name="input_GlobalTeleSystems">[36]GTS!$B$3:$B$4,[36]GTS!$D$7:$H$20,[36]GTS!$D$27:$D$29,[36]GTS!$D$31,[36]GTS!$D$34:$F$37,[36]GTS!$O$4:$P$4,[36]GTS!$O$6:$P$6,[36]GTS!$O$8:$P$8,[36]GTS!$O$10:$P$10,[36]GTS!$O$12:$P$12,[36]GTS!$O$16:$P$16,[36]GTS!$O$18:$P$18,[36]GTS!$O$20:$P$20,[36]GTS!$O$22:$P$22,[36]GTS!$O$24:$P$24</definedName>
    <definedName name="input_KPNUSGAAP">[36]KPN!$B$3:$B$4,[36]KPN!$D$7:$H$20,[36]KPN!$D$27:$D$29,[36]KPN!$D$31,[36]KPN!$D$34:$F$37,[36]KPN!$O$4:$P$4,[36]KPN!$O$6:$P$6,[36]KPN!$O$8:$P$8,[36]KPN!$O$10:$P$10,[36]KPN!$O$12:$P$12,[36]KPN!$O$16:$P$16,[36]KPN!$O$18:$P$18,[36]KPN!$O$20:$P$20,[36]KPN!$O$22:$P$22,[36]KPN!$O$24:$P$24</definedName>
    <definedName name="input_Mannesmann">[36]MNN!$B$3:$B$4,[36]MNN!$D$7:$H$20,[36]MNN!$D$27:$D$29,[36]MNN!$D$31,[36]MNN!$D$34:$F$37,[36]MNN!$O$4:$P$4,[36]MNN!$O$6:$P$6,[36]MNN!$O$8:$P$8,[36]MNN!$O$10:$P$10,[36]MNN!$O$12:$P$12,[36]MNN!$O$16:$P$16,[36]MNN!$O$18:$P$18,[36]MNN!$O$20:$P$20,[36]MNN!$O$22:$P$22,[36]MNN!$O$24:$P$24</definedName>
    <definedName name="input_MATAVUSD">[36]MTA!$B$3:$B$4,[36]MTA!$D$7:$H$20,[36]MTA!$D$27:$D$29,[36]MTA!$D$31,[36]MTA!$D$34:$F$37,[36]MTA!$O$4:$P$4,[36]MTA!$O$6:$P$6,[36]MTA!$O$8:$P$8,[36]MTA!$O$10:$P$10,[36]MTA!$O$12:$P$12,[36]MTA!$O$16:$P$16,[36]MTA!$O$18:$P$18,[36]MTA!$O$20:$P$20,[36]MTA!$O$22:$P$22,[36]MTA!$O$24:$P$24</definedName>
    <definedName name="input_Mobistar">[36]MOB!$B$3:$B$4,[36]MOB!$D$7:$H$20,[36]MOB!$D$27:$D$29,[36]MOB!$D$31,[36]MOB!$D$34:$F$37,[36]MOB!$O$4:$P$4,[36]MOB!$O$6:$P$6,[36]MOB!$O$8:$P$8,[36]MOB!$O$10:$P$10,[36]MOB!$O$12:$P$12,[36]MOB!$O$16:$P$16,[36]MOB!$O$18:$P$18,[36]MOB!$O$20:$P$20,[36]MOB!$O$22:$P$22,[36]MOB!$O$24:$P$24</definedName>
    <definedName name="input_NETCOMa">[36]NTC!$B$3:$B$4,[36]NTC!$D$7:$H$20,[36]NTC!$D$27:$D$29,[36]NTC!$D$31,[36]NTC!$D$34:$F$37,[36]NTC!$O$4:$P$4,[36]NTC!$O$6:$P$6,[36]NTC!$O$8:$P$8,[36]NTC!$O$10:$P$10,[36]NTC!$O$12:$P$12,[36]NTC!$O$16:$P$16,[36]NTC!$O$18:$P$18,[36]NTC!$O$20:$P$20,[36]NTC!$O$22:$P$22,[36]NTC!$O$24:$P$24</definedName>
    <definedName name="input_OTDUSD">[36]OTE!$B$3:$B$4,[36]OTE!$D$7:$H$20,[36]OTE!$D$27:$D$29,[36]OTE!$D$31,[36]OTE!$D$34:$F$37,[36]OTE!$O$4:$P$4,[36]OTE!$O$6:$P$6,[36]OTE!$O$8:$P$8,[36]OTE!$O$10:$P$10,[36]OTE!$O$12:$P$12,[36]OTE!$O$16:$P$16,[36]OTE!$O$18:$P$18,[36]OTE!$O$20:$P$20,[36]OTE!$O$22:$P$22,[36]OTE!$O$24:$P$24</definedName>
    <definedName name="input_PTUSGAAP">[36]PT!$B$3:$B$4,[36]PT!$D$7:$H$20,[36]PT!$D$27:$D$29,[36]PT!$D$31,[36]PT!$D$34:$F$39,[36]PT!$O$4:$P$4,[36]PT!$O$6:$P$6,[36]PT!$O$8:$P$8,[36]PT!$O$10:$P$10,[36]PT!$O$12:$P$12,[36]PT!$O$16:$P$16,[36]PT!$O$18:$P$18,[36]PT!$O$20:$P$20,[36]PT!$O$22:$P$22,[36]PT!$O$24:$P$24</definedName>
    <definedName name="input_Sonera">[36]SON!$B$3:$B$4,[36]SON!$D$7:$H$20,[36]SON!$D$27:$D$29,[36]SON!$D$31,[36]SON!$D$34:$F$37,[36]SON!$O$4:$P$4,[36]SON!$O$6:$P$6,[36]SON!$O$8:$P$8,[36]SON!$O$10:$P$10,[36]SON!$O$12:$P$12,[36]SON!$O$16:$P$16,[36]SON!$O$18:$P$18,[36]SON!$O$20:$P$20,[36]SON!$O$22:$P$22,[36]SON!$O$24:$P$24</definedName>
    <definedName name="input_SPTUSD">[36]SPT!$B$3:$B$4,[36]SPT!$D$7:$H$20,[36]SPT!$D$27:$D$29,[36]SPT!$D$31,[36]SPT!$D$34:$F$37,[36]SPT!$O$4:$P$4,[36]SPT!$O$6:$P$6,[36]SPT!$O$8:$P$8,[36]SPT!$O$10:$P$10,[36]SPT!$O$12:$P$12,[36]SPT!$O$16:$P$16,[36]SPT!$O$18:$P$18,[36]SPT!$O$20:$P$20,[36]SPT!$O$22:$P$22,[36]SPT!$O$24:$P$24</definedName>
    <definedName name="INPUT_StetHallas">'[36]STET H'!$B$3:$B$4,'[36]STET H'!$D$7:$H$20,'[36]STET H'!$D$27:$D$29,'[36]STET H'!$D$31,'[36]STET H'!$D$34:$F$37,'[36]STET H'!$O$4:$P$4,'[36]STET H'!$O$6:$P$6,'[36]STET H'!$O$8:$P$8,'[36]STET H'!$O$10:$P$10,'[36]STET H'!$O$12:$P$12,'[36]STET H'!$O$16:$P$16,'[36]STET H'!$O$18:$P$18,'[36]STET H'!$O$20:$P$20,'[36]STET H'!$O$22:$P$22,'[36]STET H'!$O$24:$P$24</definedName>
    <definedName name="input_Swisscom">[36]SWCM!$B$3:$B$4,[36]SWCM!$D$7:$H$20,[36]SWCM!$D$27:$D$29,[36]SWCM!$D$31,[36]SWCM!$D$34:$F$37,[36]SWCM!$O$4:$P$4,[36]SWCM!$O$6:$P$6,[36]SWCM!$O$8:$P$8,[36]SWCM!$O$10:$P$10,[36]SWCM!$O$12:$P$12,[36]SWCM!$O$16:$P$16,[36]SWCM!$O$18:$P$18,[36]SWCM!$O$20:$P$20,[36]SWCM!$O$22:$P$22,[36]SWCM!$O$24:$P$24</definedName>
    <definedName name="input_Teledanmark">[36]TLD!$B$3:$B$4,[36]TLD!$D$7:$H$20,[36]TLD!$D$27:$D$29,[36]TLD!$D$31,[36]TLD!$D$34:$F$37,[36]TLD!$O$4:$P$4,[36]TLD!$O$6:$P$6,[36]TLD!$O$8:$P$8,[36]TLD!$O$10:$P$10,[36]TLD!$O$12:$P$12,[36]TLD!$O$16:$P$16,[36]TLD!$O$18:$P$18,[36]TLD!$O$20:$P$20,[36]TLD!$O$22:$P$22,[36]TLD!$O$24:$P$24</definedName>
    <definedName name="input_TelefonicaUSGAAP">[36]TEF!$B$3:$B$4,[36]TEF!$D$7:$H$20,[36]TEF!$D$27:$D$29,[36]TEF!$D$31,[36]TEF!$D$34:$F$39,[36]TEF!$O$4:$P$4,[36]TEF!$O$6:$P$6,[36]TEF!$O$8:$P$8,[36]TEF!$O$10:$P$10,[36]TEF!$O$12:$P$12,[36]TEF!$O$16:$P$16,[36]TEF!$O$18:$P$18,[36]TEF!$O$20:$P$20,[36]TEF!$O$22:$P$22,[36]TEF!$O$24:$P$24</definedName>
    <definedName name="input_TeleWest">[36]VSTL!$B$3:$B$4,[36]VSTL!$D$7:$H$20,[36]VSTL!$D$27:$D$29,[36]VSTL!$D$31,[36]VSTL!$D$34:$F$37,[36]VSTL!$O$4:$P$4,[36]VSTL!$O$6:$P$6,[36]VSTL!$O$8:$P$8,[36]VSTL!$O$10:$P$10,[36]VSTL!$O$12:$P$12,[36]VSTL!$O$16:$P$16,[36]VSTL!$O$18:$P$18,[36]VSTL!$O$20:$P$20,[36]VSTL!$O$22:$P$22,[36]VSTL!$O$24:$P$24</definedName>
    <definedName name="input_TIM">[36]TIM!$B$3:$B$4,[36]TIM!$D$7:$H$20,[36]TIM!$D$27:$D$29,[36]TIM!$D$31,[36]TIM!$D$34:$F$37,[36]TIM!$O$4:$P$4,[36]TIM!$O$6:$P$6,[36]TIM!$O$8:$P$8,[36]TIM!$O$10:$P$10,[36]TIM!$O$12:$P$12,[36]TIM!$O$16:$P$16,[36]TIM!$O$18:$P$18,[36]TIM!$O$20:$P$20,[36]TIM!$O$22:$P$22,[36]TIM!$O$24:$P$24</definedName>
    <definedName name="input_Vodafone">[36]VOD!$B$3:$B$4,[36]VOD!$D$7:$H$20,[36]VOD!$D$27:$D$29,[36]VOD!$D$31,[36]VOD!$D$34:$F$37,[36]VOD!$O$4:$P$4,[36]VOD!$O$6:$P$6,[36]VOD!$O$8:$P$8,[36]VOD!$O$10:$P$10,[36]VOD!$O$12:$P$12,[36]VOD!$O$16:$P$16,[36]VOD!$O$18:$P$18,[36]VOD!$O$20:$P$20,[36]VOD!$O$22:$P$22,[36]VOD!$O$24:$P$24</definedName>
    <definedName name="inr">#REF!</definedName>
    <definedName name="InsPref">#REF!</definedName>
    <definedName name="INT_COV">[64]EquityTemplate!$A$49:$IV$49</definedName>
    <definedName name="INT_EXP">[64]EquityTemplate!$A$21:$IV$21</definedName>
    <definedName name="INT_INC">[64]EquityTemplate!$A$24:$IV$24</definedName>
    <definedName name="int_sch">#REF!</definedName>
    <definedName name="Interest_exp_inc_fore">[40]DCF_VDF!$E$33:$M$33</definedName>
    <definedName name="Interest_expense_income">[40]DCF_VDF!$C$63:$AE$63</definedName>
    <definedName name="Interestwc">'[97]Working capital requirement'!#REF!</definedName>
    <definedName name="intfclidbi">[121]repaymentsch!$D$5</definedName>
    <definedName name="intidbi">[121]repaymentsch!$D$4</definedName>
    <definedName name="intloan">'[122]Cash Flow'!$C$30</definedName>
    <definedName name="intloan2">'[122]Cash Flow'!$D$30</definedName>
    <definedName name="intloan3">'[122]Cash Flow'!$E$30</definedName>
    <definedName name="intloan4">'[122]Cash Flow'!$F$30</definedName>
    <definedName name="intloan5">'[122]Cash Flow'!$G$30</definedName>
    <definedName name="IntlPM">'[93]Intl - PM '!$A$1:$AZ$65536</definedName>
    <definedName name="IntlSales">'[93]Intl - Sales'!$A$1:$AZ$65536</definedName>
    <definedName name="intpm">'[74]p&amp;l'!#REF!</definedName>
    <definedName name="INTREND_GLOBAL_CORP">#REF!</definedName>
    <definedName name="intsch">#REF!</definedName>
    <definedName name="intschd">[53]Financials!#REF!</definedName>
    <definedName name="inttl">#REF!</definedName>
    <definedName name="intwc">#REF!</definedName>
    <definedName name="intwcexisting">'[123]interest '!#REF!</definedName>
    <definedName name="Invested_capital">[40]DCF_VDF!$C$87:$AE$87</definedName>
    <definedName name="Invested_capital_DCF">[40]DCF_VDF!$C$77:$AZ$77</definedName>
    <definedName name="Invested_capital_growth_fore">[40]DCF_VDF!$H$146:$K$146</definedName>
    <definedName name="Invested_capital_turns">[40]DCF_VDF!$C$102:$AU$102</definedName>
    <definedName name="Invested_capital_turns_DCF">[40]DCF_VDF!$C$83:$AZ$83</definedName>
    <definedName name="Invested_capital_turns_fore">[40]DCF_VDF!$H$80:$K$80</definedName>
    <definedName name="investment">'[97]Projected Balance Sheet'!#REF!</definedName>
    <definedName name="IPA">#REF!,#REF!</definedName>
    <definedName name="IPD">#REF!</definedName>
    <definedName name="IPER_MONTEBELLO_SPA">#REF!</definedName>
    <definedName name="IPO_date">[103]DISTN!#REF!</definedName>
    <definedName name="IQ_ACCOUNT_CHANGE" hidden="1">"c36"</definedName>
    <definedName name="IQ_ACCOUNTS_PAY" hidden="1">"c91"</definedName>
    <definedName name="IQ_ACCRUED_EXP" hidden="1">"c93"</definedName>
    <definedName name="IQ_ACCUM_DEP" hidden="1">"c282"</definedName>
    <definedName name="IQ_ADD_PAID_IN" hidden="1">"c109"</definedName>
    <definedName name="IQ_ALLOW_CONST" hidden="1">"c292"</definedName>
    <definedName name="IQ_AMORTIZATION" hidden="1">"c121"</definedName>
    <definedName name="IQ_ASSET_TURNS" hidden="1">"c148"</definedName>
    <definedName name="IQ_AVG_BROKER_REC" hidden="1">"c278"</definedName>
    <definedName name="IQ_AVG_BROKER_REC_NO" hidden="1">"c279"</definedName>
    <definedName name="IQ_AVG_PRICE" hidden="1">"c253"</definedName>
    <definedName name="IQ_AVG_VOLUME" hidden="1">"c254"</definedName>
    <definedName name="IQ_BASIC_EPS_EXCL" hidden="1">"c45"</definedName>
    <definedName name="IQ_BASIC_EPS_INCL" hidden="1">"c46"</definedName>
    <definedName name="IQ_BASIC_NORMAL_EPS" hidden="1">"c65"</definedName>
    <definedName name="IQ_BASIC_WEIGHT" hidden="1">"c44"</definedName>
    <definedName name="IQ_BETA" hidden="1">"c226"</definedName>
    <definedName name="IQ_BOARD_MEMBER" hidden="1">"c233"</definedName>
    <definedName name="IQ_BOARD_MEMBER_TITLE" hidden="1">"c234"</definedName>
    <definedName name="IQ_BV_OVER_SHARES" hidden="1">"c177"</definedName>
    <definedName name="IQ_CAL_Q" hidden="1">"c246"</definedName>
    <definedName name="IQ_CAL_Y" hidden="1">"c248"</definedName>
    <definedName name="IQ_CAPEX" hidden="1">"c126"</definedName>
    <definedName name="IQ_CAPITAL_LEASE" hidden="1">"c99"</definedName>
    <definedName name="IQ_CASH" hidden="1">"c69"</definedName>
    <definedName name="IQ_CASH_DUE_BANKS" hidden="1">"c71"</definedName>
    <definedName name="IQ_CASH_EQUIV" hidden="1">"c70"</definedName>
    <definedName name="IQ_CASH_INTEREST" hidden="1">"c137"</definedName>
    <definedName name="IQ_CASH_ST" hidden="1">"c73"</definedName>
    <definedName name="IQ_CASH_TAXES" hidden="1">"c138"</definedName>
    <definedName name="IQ_CHANGES_WORK_CAP" hidden="1">"c124"</definedName>
    <definedName name="IQ_CITY" hidden="1">"c216"</definedName>
    <definedName name="IQ_CLOSEPRICE" hidden="1">"c206"</definedName>
    <definedName name="IQ_COMMON_STOCK" hidden="1">"c108"</definedName>
    <definedName name="IQ_COMPANY_ADDRESS" hidden="1">"c213"</definedName>
    <definedName name="IQ_COMPANY_NAME" hidden="1">"c208"</definedName>
    <definedName name="IQ_COMPANY_PHONE" hidden="1">"c219"</definedName>
    <definedName name="IQ_COMPANY_STREET1" hidden="1">"c214"</definedName>
    <definedName name="IQ_COMPANY_STREET2" hidden="1">"c215"</definedName>
    <definedName name="IQ_COMPANY_TICKER" hidden="1">"c209"</definedName>
    <definedName name="IQ_COMPANY_WEBSITE" hidden="1">"c212"</definedName>
    <definedName name="IQ_COMPANY_ZIP" hidden="1">"c218"</definedName>
    <definedName name="IQ_COST_REVENUE" hidden="1">"c6"</definedName>
    <definedName name="IQ_COUNTRY_NAME" hidden="1">"c220"</definedName>
    <definedName name="IQ_CURRENT_PORT" hidden="1">"c95"</definedName>
    <definedName name="IQ_CURRENT_RATIO" hidden="1">"c164"</definedName>
    <definedName name="IQ_DAYS_PAY_OUTST" hidden="1">"c154"</definedName>
    <definedName name="IQ_DAYS_SALES_OUTST" hidden="1">"c153"</definedName>
    <definedName name="IQ_DEF_ACQ_CST" hidden="1">"c290"</definedName>
    <definedName name="IQ_DEFERRED_INC_TAX" hidden="1">"c102"</definedName>
    <definedName name="IQ_DEFERRED_TAXES" hidden="1">"c122"</definedName>
    <definedName name="IQ_DEPRE_AMORT" hidden="1">"c10"</definedName>
    <definedName name="IQ_DEPRE_AMORT_SUPPL" hidden="1">"c54"</definedName>
    <definedName name="IQ_DEPRE_DEPLE" hidden="1">"c120"</definedName>
    <definedName name="IQ_DEPRE_SUPP" hidden="1">"c136"</definedName>
    <definedName name="IQ_DESCRIPTION_LONG" hidden="1">"c211"</definedName>
    <definedName name="IQ_DILUT_ADJUST" hidden="1">"c47"</definedName>
    <definedName name="IQ_DILUT_EPS_EXCL" hidden="1">"c49"</definedName>
    <definedName name="IQ_DILUT_EPS_INCL" hidden="1">"c50"</definedName>
    <definedName name="IQ_DILUT_NORMAL_EPS" hidden="1">"c66"</definedName>
    <definedName name="IQ_DILUT_WEIGHT" hidden="1">"c48"</definedName>
    <definedName name="IQ_DISCONT_OPER" hidden="1">"c37"</definedName>
    <definedName name="IQ_DIVID_SHARE" hidden="1">"c51"</definedName>
    <definedName name="IQ_DIVIDEND_YIELD" hidden="1">"c230"</definedName>
    <definedName name="IQ_EBIT" hidden="1">"c22"</definedName>
    <definedName name="IQ_EBIT_MARGIN" hidden="1">"c141"</definedName>
    <definedName name="IQ_EBIT_OVER_IE" hidden="1">"c184"</definedName>
    <definedName name="IQ_EBITDA" hidden="1">"c23"</definedName>
    <definedName name="IQ_EBITDA_CAPEX_OVER_TOTAL_IE" hidden="1">"c186"</definedName>
    <definedName name="IQ_EBITDA_MARGIN" hidden="1">"c140"</definedName>
    <definedName name="IQ_EBITDA_OVER_TOTAL_IE" hidden="1">"c185"</definedName>
    <definedName name="IQ_EFFECT_SPECIAL_CHARGE" hidden="1">"c61"</definedName>
    <definedName name="IQ_EMPLOYEES" hidden="1">"c221"</definedName>
    <definedName name="IQ_ENTERPRISE_VALUE" hidden="1">"c2"</definedName>
    <definedName name="IQ_EPS" hidden="1">"IQ_EPS"</definedName>
    <definedName name="IQ_EPS_EST" hidden="1">"c187"</definedName>
    <definedName name="IQ_EPS_HIGH_EST" hidden="1">"c269"</definedName>
    <definedName name="IQ_EPS_LOW_EST" hidden="1">"c270"</definedName>
    <definedName name="IQ_EPS_NUM_EST" hidden="1">"c271"</definedName>
    <definedName name="IQ_EPS_STDDEV_EST" hidden="1">"c272"</definedName>
    <definedName name="IQ_EQUITY_AFFIL" hidden="1">"c33"</definedName>
    <definedName name="IQ_EQV_OVER_BV" hidden="1">"c173"</definedName>
    <definedName name="IQ_EQV_OVER_LTM_PRETAX_INC" hidden="1">"c178"</definedName>
    <definedName name="IQ_ESOP_DEBT" hidden="1">"c112"</definedName>
    <definedName name="IQ_EV_OVER_EMPLOYEE" hidden="1">"c172"</definedName>
    <definedName name="IQ_EV_OVER_LTM_EBIT" hidden="1">"c167"</definedName>
    <definedName name="IQ_EV_OVER_LTM_EBITDA" hidden="1">"c168"</definedName>
    <definedName name="IQ_EV_OVER_LTM_REVENUE" hidden="1">"c169"</definedName>
    <definedName name="IQ_EXCHANGE" hidden="1">"c210"</definedName>
    <definedName name="IQ_EXTRA_ITEMS" hidden="1">"c38"</definedName>
    <definedName name="IQ_FINANCING_CASH" hidden="1">"c129"</definedName>
    <definedName name="IQ_FISCAL_Q" hidden="1">"c245"</definedName>
    <definedName name="IQ_FISCAL_Y" hidden="1">"c247"</definedName>
    <definedName name="IQ_FIVE_PERCENT_OWNER" hidden="1">"c239"</definedName>
    <definedName name="IQ_FIVEPERCENT_PERCENT" hidden="1">"c240"</definedName>
    <definedName name="IQ_FIVEPERCENT_SHARES" hidden="1">"c251"</definedName>
    <definedName name="IQ_FOREIGN_EXCHANGE" hidden="1">"c134"</definedName>
    <definedName name="IQ_FWD" hidden="1">"LTM"</definedName>
    <definedName name="IQ_FWD_CY" hidden="1">"10001"</definedName>
    <definedName name="IQ_FWD_CY1" hidden="1">"10002"</definedName>
    <definedName name="IQ_FWD_CY2" hidden="1">"10003"</definedName>
    <definedName name="IQ_FWD_FY" hidden="1">"1001"</definedName>
    <definedName name="IQ_FWD_FY1" hidden="1">"1002"</definedName>
    <definedName name="IQ_FWD_FY2" hidden="1">"1003"</definedName>
    <definedName name="IQ_FWD_Q" hidden="1">"501"</definedName>
    <definedName name="IQ_FWD_Q1" hidden="1">"502"</definedName>
    <definedName name="IQ_FWD_Q2" hidden="1">"503"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_DATE" hidden="1">"IQ_FY_DATE"</definedName>
    <definedName name="IQ_GAIN_SALE_ASSETS" hidden="1">"c27"</definedName>
    <definedName name="IQ_GOODWILL_NET" hidden="1">"c85"</definedName>
    <definedName name="IQ_GROSS_DIVID" hidden="1">"c52"</definedName>
    <definedName name="IQ_GROSS_MARGIN" hidden="1">"c139"</definedName>
    <definedName name="IQ_GROSS_PROFIT" hidden="1">"c7"</definedName>
    <definedName name="IQ_HIGHPRICE" hidden="1">"c193"</definedName>
    <definedName name="IQ_INC_AFTER_TAX" hidden="1">"c31"</definedName>
    <definedName name="IQ_INC_AVAIL_EXCL" hidden="1">"c42"</definedName>
    <definedName name="IQ_INC_AVAIL_INCL" hidden="1">"c43"</definedName>
    <definedName name="IQ_INC_BEFORE_TAX" hidden="1">"c29"</definedName>
    <definedName name="IQ_INC_TAX" hidden="1">"c30"</definedName>
    <definedName name="IQ_INC_TAX_EXCL" hidden="1">"c62"</definedName>
    <definedName name="IQ_INSIDER_OWNER" hidden="1">"c237"</definedName>
    <definedName name="IQ_INSIDER_PERCENT" hidden="1">"c238"</definedName>
    <definedName name="IQ_INSIDER_SHARES" hidden="1">"c250"</definedName>
    <definedName name="IQ_INSTITUTIONAL_OWNER" hidden="1">"c235"</definedName>
    <definedName name="IQ_INSTITUTIONAL_PERCENT" hidden="1">"c236"</definedName>
    <definedName name="IQ_INSTITUTIONAL_SHARES" hidden="1">"c249"</definedName>
    <definedName name="IQ_INSUR_RECEIV" hidden="1">"c288"</definedName>
    <definedName name="IQ_INTANGIBLES_NET" hidden="1">"c86"</definedName>
    <definedName name="IQ_INTEREST_EXP_NET" hidden="1">"c17"</definedName>
    <definedName name="IQ_INTEREST_EXP_NON" hidden="1">"c24"</definedName>
    <definedName name="IQ_INTEREST_EXP_SUPPL" hidden="1">"c53"</definedName>
    <definedName name="IQ_INTEREST_INC" hidden="1">"c26"</definedName>
    <definedName name="IQ_INTEREST_INC_NON" hidden="1">"c25"</definedName>
    <definedName name="IQ_INVENTORY_TURNS" hidden="1">"c147"</definedName>
    <definedName name="IQ_ISS_DEBT_NET" hidden="1">"c132"</definedName>
    <definedName name="IQ_ISS_STOCK_NET" hidden="1">"c131"</definedName>
    <definedName name="IQ_LASTSALEPRICE" hidden="1">"c191"</definedName>
    <definedName name="IQ_LATEST" hidden="1">"1"</definedName>
    <definedName name="IQ_LATESTK" hidden="1">"1000"</definedName>
    <definedName name="IQ_LATESTKFR" hidden="1">"100"</definedName>
    <definedName name="IQ_LATESTQ" hidden="1">"500"</definedName>
    <definedName name="IQ_LATESTQFR" hidden="1">"50"</definedName>
    <definedName name="IQ_LOAN_LOSS" hidden="1">"c12"</definedName>
    <definedName name="IQ_LONG_TERM_DEBT" hidden="1">"c98"</definedName>
    <definedName name="IQ_LONG_TERM_DEBT_OVER_TOTAL_CAP" hidden="1">"c181"</definedName>
    <definedName name="IQ_LONG_TERM_GROWTH" hidden="1">"c143"</definedName>
    <definedName name="IQ_LONG_TERM_INV" hidden="1">"c87"</definedName>
    <definedName name="IQ_LOWPRICE" hidden="1">"c194"</definedName>
    <definedName name="IQ_LT_NOTE_RECEIV" hidden="1">"c289"</definedName>
    <definedName name="IQ_LTM_DATE" hidden="1">"IQ_LTM_DATE"</definedName>
    <definedName name="IQ_LTM_REVENUE_OVER_EMPLOYEES" hidden="1">"c179"</definedName>
    <definedName name="IQ_MARKETCAP" hidden="1">"c200"</definedName>
    <definedName name="IQ_MINORITY_INTEREST" hidden="1">"c103"</definedName>
    <definedName name="IQ_MINORITY_INTEREST_IS" hidden="1">"c32"</definedName>
    <definedName name="IQ_MISC_EARN_ADJ" hidden="1">"c41"</definedName>
    <definedName name="IQ_NET_CHANGE" hidden="1">"c135"</definedName>
    <definedName name="IQ_NET_DEBT" hidden="1">"c118"</definedName>
    <definedName name="IQ_NET_INC" hidden="1">"c39"</definedName>
    <definedName name="IQ_NET_INC_BEFORE" hidden="1">"c35"</definedName>
    <definedName name="IQ_NET_INC_CF" hidden="1">"c119"</definedName>
    <definedName name="IQ_NET_INC_MARGIN" hidden="1">"c142"</definedName>
    <definedName name="IQ_NET_INTEREST_INC" hidden="1">"c11"</definedName>
    <definedName name="IQ_NET_INTEREST_INC_AFTER_LL" hidden="1">"c13"</definedName>
    <definedName name="IQ_NET_LOANS" hidden="1">"c75"</definedName>
    <definedName name="IQ_NON_CASH" hidden="1">"c123"</definedName>
    <definedName name="IQ_NON_INTEREST_EXP" hidden="1">"c15"</definedName>
    <definedName name="IQ_NON_INTEREST_INC" hidden="1">"c14"</definedName>
    <definedName name="IQ_NORMAL_INC_AFTER" hidden="1">"c63"</definedName>
    <definedName name="IQ_NORMAL_INC_AVAIL" hidden="1">"c64"</definedName>
    <definedName name="IQ_NORMAL_INC_BEFORE" hidden="1">"c60"</definedName>
    <definedName name="IQ_NOTES_PAY" hidden="1">"c94"</definedName>
    <definedName name="IQ_OPENPRICE" hidden="1">"c195"</definedName>
    <definedName name="IQ_OPER_INC" hidden="1">"c21"</definedName>
    <definedName name="IQ_OTHER_ASSETS" hidden="1">"c89"</definedName>
    <definedName name="IQ_OTHER_BEARING_LIAB" hidden="1">"c285"</definedName>
    <definedName name="IQ_OTHER_CURRENT_ASSETS" hidden="1">"c80"</definedName>
    <definedName name="IQ_OTHER_CURRENT_LIAB" hidden="1">"c96"</definedName>
    <definedName name="IQ_OTHER_EARNING" hidden="1">"c74"</definedName>
    <definedName name="IQ_OTHER_EQUITY" hidden="1">"c113"</definedName>
    <definedName name="IQ_OTHER_INVESTING" hidden="1">"c127"</definedName>
    <definedName name="IQ_OTHER_LIAB" hidden="1">"c104"</definedName>
    <definedName name="IQ_OTHER_LONG_TERM" hidden="1">"c88"</definedName>
    <definedName name="IQ_OTHER_NET" hidden="1">"c28"</definedName>
    <definedName name="IQ_OTHER_OPER" hidden="1">"c19"</definedName>
    <definedName name="IQ_OTHER_RECEIV" hidden="1">"c77"</definedName>
    <definedName name="IQ_OTHER_REVENUE" hidden="1">"c4"</definedName>
    <definedName name="IQ_PAY_ACCRUED" hidden="1">"c92"</definedName>
    <definedName name="IQ_PERIODDATE" hidden="1">"c1"</definedName>
    <definedName name="IQ_PERTYPE" hidden="1">"c244"</definedName>
    <definedName name="IQ_POLICY_LIAB" hidden="1">"c291"</definedName>
    <definedName name="IQ_PREF_DIVID" hidden="1">"c40"</definedName>
    <definedName name="IQ_PREF_STOCK" hidden="1">"c107"</definedName>
    <definedName name="IQ_PREF_TOT" hidden="1">"c294"</definedName>
    <definedName name="IQ_PREPAID_EXPEN" hidden="1">"c81"</definedName>
    <definedName name="IQ_PRICE_OVER_BVPS" hidden="1">"c171"</definedName>
    <definedName name="IQ_PRICE_OVER_LTM_EPS" hidden="1">"c176"</definedName>
    <definedName name="IQ_PRICEDATE" hidden="1">"c207"</definedName>
    <definedName name="IQ_PRICEDATETIME" hidden="1">"IQ_PRICEDATETIME"</definedName>
    <definedName name="IQ_PRICING_DATE" hidden="1">"c260"</definedName>
    <definedName name="IQ_PRIMARY_INDUSTRY" hidden="1">"c222"</definedName>
    <definedName name="IQ_PRO_FORMA_BASIC_EPS" hidden="1">"c57"</definedName>
    <definedName name="IQ_PRO_FORMA_DILUT_EPS" hidden="1">"c58"</definedName>
    <definedName name="IQ_PRO_FORMA_NET_INC" hidden="1">"c56"</definedName>
    <definedName name="IQ_PROFESSIONAL" hidden="1">"c231"</definedName>
    <definedName name="IQ_PROFESSIONAL_TITLE" hidden="1">"c232"</definedName>
    <definedName name="IQ_PROPERTY_GROSS" hidden="1">"c84"</definedName>
    <definedName name="IQ_PROPERTY_NET" hidden="1">"c83"</definedName>
    <definedName name="IQ_QUICK_RATIO" hidden="1">"c163"</definedName>
    <definedName name="IQ_REDEEM_PREF_STOCK" hidden="1">"c106"</definedName>
    <definedName name="IQ_RESEARCH_DEV" hidden="1">"c9"</definedName>
    <definedName name="IQ_RETAINED_EARN" hidden="1">"c110"</definedName>
    <definedName name="IQ_RETURN_ASSETS" hidden="1">"c145"</definedName>
    <definedName name="IQ_RETURN_EQUITY" hidden="1">"c146"</definedName>
    <definedName name="IQ_RETURN_INVESTMENT" hidden="1">"c144"</definedName>
    <definedName name="IQ_REVENUE" hidden="1">"c3"</definedName>
    <definedName name="IQ_SGA" hidden="1">"c8"</definedName>
    <definedName name="IQ_SHARESOUTSTANDING" hidden="1">"c201"</definedName>
    <definedName name="IQ_SHORT_TERM_INVEST" hidden="1">"c72"</definedName>
    <definedName name="IQ_SOURCE" hidden="1">"c281"</definedName>
    <definedName name="IQ_STATE" hidden="1">"c217"</definedName>
    <definedName name="IQ_STOCK_BASED" hidden="1">"c55"</definedName>
    <definedName name="IQ_TODAY" hidden="1">"0"</definedName>
    <definedName name="IQ_TOT_ADJ_INC" hidden="1">"c287"</definedName>
    <definedName name="IQ_TOTAL_ASSETS" hidden="1">"c90"</definedName>
    <definedName name="IQ_TOTAL_CASH_DIVID" hidden="1">"c130"</definedName>
    <definedName name="IQ_TOTAL_CASH_FINAN" hidden="1">"c133"</definedName>
    <definedName name="IQ_TOTAL_CASH_INVEST" hidden="1">"c128"</definedName>
    <definedName name="IQ_TOTAL_CASH_OPER" hidden="1">"c125"</definedName>
    <definedName name="IQ_TOTAL_COMMON" hidden="1">"c116"</definedName>
    <definedName name="IQ_TOTAL_CURRENT_ASSETS" hidden="1">"c82"</definedName>
    <definedName name="IQ_TOTAL_CURRENT_LIAB" hidden="1">"c97"</definedName>
    <definedName name="IQ_TOTAL_DEBT" hidden="1">"c101"</definedName>
    <definedName name="IQ_TOTAL_DEBT_OVER_EBITDA" hidden="1">"c183"</definedName>
    <definedName name="IQ_TOTAL_DEBT_OVER_TOTAL_BV" hidden="1">"c180"</definedName>
    <definedName name="IQ_TOTAL_DEBT_OVER_TOTAL_CAP" hidden="1">"c182"</definedName>
    <definedName name="IQ_TOTAL_DEPOSITS" hidden="1">"c284"</definedName>
    <definedName name="IQ_TOTAL_EQUITY" hidden="1">"c114"</definedName>
    <definedName name="IQ_TOTAL_INTEREST_EXP" hidden="1">"c67"</definedName>
    <definedName name="IQ_TOTAL_INVENTORY" hidden="1">"c79"</definedName>
    <definedName name="IQ_TOTAL_LIAB" hidden="1">"c105"</definedName>
    <definedName name="IQ_TOTAL_LIAB_SHAREHOLD" hidden="1">"c115"</definedName>
    <definedName name="IQ_TOTAL_LONG_DEBT" hidden="1">"c100"</definedName>
    <definedName name="IQ_TOTAL_OPER_EXPEN" hidden="1">"c20"</definedName>
    <definedName name="IQ_TOTAL_RECEIV" hidden="1">"c78"</definedName>
    <definedName name="IQ_TOTAL_REVENUE" hidden="1">"c5"</definedName>
    <definedName name="IQ_TOTAL_SPECIAL" hidden="1">"c59"</definedName>
    <definedName name="IQ_TOTAL_ST_BORROW" hidden="1">"c286"</definedName>
    <definedName name="IQ_TRADE_AR" hidden="1">"c76"</definedName>
    <definedName name="IQ_TREASURY_STOCK" hidden="1">"c111"</definedName>
    <definedName name="IQ_UNREALIZED_GAIN" hidden="1">"c117"</definedName>
    <definedName name="IQ_UNUSUAL_EXP" hidden="1">"c18"</definedName>
    <definedName name="IQ_US_GAAP" hidden="1">"c34"</definedName>
    <definedName name="IQ_UTIL_PPE_NET" hidden="1">"c293"</definedName>
    <definedName name="IQ_VOLUME" hidden="1">"c199"</definedName>
    <definedName name="IQ_WEIGHTED_AVG_PRICE" hidden="1">"c255"</definedName>
    <definedName name="IQ_YEARHIGH" hidden="1">"c197"</definedName>
    <definedName name="IQ_YEARLOW" hidden="1">"c198"</definedName>
    <definedName name="IQ_Z_SCORE" hidden="1">"c243"</definedName>
    <definedName name="IRR">#REF!</definedName>
    <definedName name="ITEM">#REF!</definedName>
    <definedName name="ITOCHU_CORPORATION_–_TOKLS">#REF!</definedName>
    <definedName name="ITOCHU_CORPORATION_–_TOKLS__COSMOS">#REF!</definedName>
    <definedName name="ITOCHU_CORPORATION_TOKLS">#REF!</definedName>
    <definedName name="iu">[31]graph!$A$49:$O$104</definedName>
    <definedName name="J.C.PENNEY">#REF!</definedName>
    <definedName name="j145\">#REF!</definedName>
    <definedName name="Jakala_S.p.A.">#REF!</definedName>
    <definedName name="jan">'[124]TB  $ Rs  Final'!$B$2:$E$378</definedName>
    <definedName name="Jan_02">[65]IS_BS_US!$C$178:$Y$239</definedName>
    <definedName name="JASPAL___SONS_CO.__LTD.">#REF!</definedName>
    <definedName name="jay">[77]SEWING!#REF!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L_INTERNATIONAL_LTD.">#REF!</definedName>
    <definedName name="jjjjj">#REF!</definedName>
    <definedName name="jkhgstda">#REF!</definedName>
    <definedName name="jkla">#REF!</definedName>
    <definedName name="JOHN_LEWIS_PLC">#REF!</definedName>
    <definedName name="JT_INTERNATIONAL">#REF!</definedName>
    <definedName name="Julu07">'[52]pending indent'!#REF!</definedName>
    <definedName name="july">'[52]pending indent'!#REF!</definedName>
    <definedName name="JULY04">#REF!</definedName>
    <definedName name="JUNE01">#REF!</definedName>
    <definedName name="JUNE04">'[15]CC JUNE04'!$C$4:$AK$115</definedName>
    <definedName name="june10">#REF!</definedName>
    <definedName name="JUNE11">#REF!</definedName>
    <definedName name="JUNE12">#REF!</definedName>
    <definedName name="JUNE25">#REF!</definedName>
    <definedName name="Juslink__Australia__PTY_Ltd">#REF!</definedName>
    <definedName name="JYSK_A_S">#REF!</definedName>
    <definedName name="JYSK_A_S_c_o_Shared_Finance">#REF!</definedName>
    <definedName name="JYSK_AB_c_o_Shared_Finance">#REF!</definedName>
    <definedName name="JYSK_BUL_EOOD">#REF!</definedName>
    <definedName name="JYSK_SE">#REF!</definedName>
    <definedName name="JYSK_Sp._z_o.o.">#REF!</definedName>
    <definedName name="k">'[27]Power&amp;Fuel'!#REF!</definedName>
    <definedName name="kamal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AMAL_OSMAN_JAMJOOM_TRADING_LLC">#REF!</definedName>
    <definedName name="KARSTADT_WARENHAUS_GHBH">#REF!</definedName>
    <definedName name="KAUFLAND_WARENHANDEL_GMBH___CO._KG">#REF!</definedName>
    <definedName name="Ke">[40]DCF_VDF!$D$11</definedName>
    <definedName name="KEY_INDICATORS">#REF!</definedName>
    <definedName name="KF">#REF!</definedName>
    <definedName name="Kibek_GmbH">#REF!</definedName>
    <definedName name="kkkkkk">#REF!</definedName>
    <definedName name="kkkkkkkkkkkkkkkkkk">#REF!</definedName>
    <definedName name="KLAUS_HERDING_GMBH">#REF!</definedName>
    <definedName name="KMART_CORPORATION">#REF!</definedName>
    <definedName name="KOHL_S_DEPARTMENT_STORES_INC">#REF!</definedName>
    <definedName name="Kohl_s_Inc.">#REF!</definedName>
    <definedName name="Kowabo_Company_Ltd">#REF!</definedName>
    <definedName name="KS">#REF!</definedName>
    <definedName name="l">'[5]Ann-1'!#REF!</definedName>
    <definedName name="L_–_FOUNDERS_OF_LOYALTY_SOURCING_B.">#REF!</definedName>
    <definedName name="L_FOUNDERS_OF_LOYALTY_SOURCING_B.V.">#REF!</definedName>
    <definedName name="La_Quinta">#REF!</definedName>
    <definedName name="LaborPriceList">'[95]Price List'!$D$2:$F$46</definedName>
    <definedName name="LABS">#N/A</definedName>
    <definedName name="Lachmi_s_International_Ltd.">#REF!</definedName>
    <definedName name="lakhs">1/10^5</definedName>
    <definedName name="lalit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ALS_INTERNATIONAL">#REF!</definedName>
    <definedName name="lalskdj">#REF!</definedName>
    <definedName name="lamsd">#REF!</definedName>
    <definedName name="Land_s_End">#REF!</definedName>
    <definedName name="LANDS__END">#REF!</definedName>
    <definedName name="LC">#REF!</definedName>
    <definedName name="Leasehold">#REF!</definedName>
    <definedName name="led">#REF!</definedName>
    <definedName name="Ledger_Acc.">#REF!</definedName>
    <definedName name="lf">#REF!</definedName>
    <definedName name="LG_SOURCING__INC">#REF!</definedName>
    <definedName name="Liberalization">[40]DCF_VDF!#REF!</definedName>
    <definedName name="Lidl_HK_Limited">#REF!</definedName>
    <definedName name="LIDL_SINGAPORE_PTE._LTD">#REF!</definedName>
    <definedName name="limcount" hidden="1">1</definedName>
    <definedName name="Linen_Chest">#REF!</definedName>
    <definedName name="LINEN_OBSESSION_TEXTILE_TRADING_L.L">#REF!</definedName>
    <definedName name="Link_Cost_97">[45]Sheet3!$C$9</definedName>
    <definedName name="Links">[40]DCF_VDF!$AH$2</definedName>
    <definedName name="List_Curr">[88]Currency!$B$9:$B$31</definedName>
    <definedName name="LIWA_TRADING_ENTERPRIZES">#REF!</definedName>
    <definedName name="ljjjnna">'[7]Excise on RM'!#REF!</definedName>
    <definedName name="lk">#REF!</definedName>
    <definedName name="lkASML">#REF!</definedName>
    <definedName name="lkhnasd">'[7]Excise on RM'!#REF!</definedName>
    <definedName name="lkiuqw">'[7]Excise on RM'!#REF!</definedName>
    <definedName name="lkjhgfs">#REF!</definedName>
    <definedName name="ll">#REF!</definedName>
    <definedName name="llll">'[7]Excise on RM'!#REF!</definedName>
    <definedName name="lllll">#REF!</definedName>
    <definedName name="lllllll">#REF!</definedName>
    <definedName name="llllllllllllllllllllllllllllllllll">#REF!</definedName>
    <definedName name="lllllllllllllllllllllllllllllllllll">'[7]Excise on RM'!#REF!</definedName>
    <definedName name="lmhgdd">#REF!</definedName>
    <definedName name="lmnxz">#REF!</definedName>
    <definedName name="Lo_Ting_Kuang_Co.">#REF!</definedName>
    <definedName name="loan">[122]Input!$B$1</definedName>
    <definedName name="LOBLAW_COMPANIES_LTD">#REF!</definedName>
    <definedName name="LOBLAWS_INC.">#REF!</definedName>
    <definedName name="LOCAL">[40]DCF_VDF!#REF!</definedName>
    <definedName name="lodging_rate">'[71]Support - US'!#REF!</definedName>
    <definedName name="LOEWS">#REF!</definedName>
    <definedName name="LOGAIN_COMPANY">#REF!</definedName>
    <definedName name="look">#REF!</definedName>
    <definedName name="lopl">#REF!</definedName>
    <definedName name="loplk">#REF!</definedName>
    <definedName name="Loyalty_and_Retention_Percent">[41]Financials!#REF!</definedName>
    <definedName name="LT_Assumptions">[120]Assumptions!$G$5:$U$966</definedName>
    <definedName name="LTC_INTERNATIONAL_QATAR_LLC">#REF!</definedName>
    <definedName name="LTL_CAP">[64]EquityTemplate!$A$71:$IV$71</definedName>
    <definedName name="LTL_DEBT">[64]EquityTemplate!$A$64:$IV$64</definedName>
    <definedName name="LTL_TAX">[64]EquityTemplate!$A$65:$IV$65</definedName>
    <definedName name="luds">#REF!</definedName>
    <definedName name="LUJAIN_YANBU_TRADING_CO._LTD">#REF!</definedName>
    <definedName name="LULU_CENTER">#REF!</definedName>
    <definedName name="LULU_Hyper_market__Trading">#REF!</definedName>
    <definedName name="LULU_SAUDI_HYPER_MARKET_COMPANY">#REF!</definedName>
    <definedName name="LUO_LAI_HOME_TEXTILE__HK">#REF!</definedName>
    <definedName name="LUOLAI_HOME_TEXTILE__HK__LIMITED">#REF!</definedName>
    <definedName name="LUOLAI_HOME_TEXTILE_CO.LTD">#REF!</definedName>
    <definedName name="LUOLAI_LIFESTYLE_TECHNOLOGY_Co.__Lt">#REF!</definedName>
    <definedName name="LUSOMÉ">#REF!</definedName>
    <definedName name="LUXE_CO._LTD._PLC">#REF!</definedName>
    <definedName name="m">'[125]TB   Rs  $  APR'!#REF!</definedName>
    <definedName name="M_PlaceofPath" hidden="1">"\\SNYCEQT0100\HOME\LZURLO\DATA\TELMEX\Models\tmx_vdf.xls"</definedName>
    <definedName name="M_s_Lanka_Island_Resorts_Ltd.">#REF!</definedName>
    <definedName name="maan">[107]Income!#REF!</definedName>
    <definedName name="maann">#REF!</definedName>
    <definedName name="MACHINE_INVEST_TRADE_COMPANY_LTD">#REF!</definedName>
    <definedName name="Macy_s">#REF!</definedName>
    <definedName name="MACY_S_MERCHANDISING_GROUP_LLC">#REF!</definedName>
    <definedName name="Magix_Sales___JFM_2001">#REF!</definedName>
    <definedName name="MAIN_SHIPMENT_INFO_Query">#REF!</definedName>
    <definedName name="Maintenance">[43]Assumptions!#REF!</definedName>
    <definedName name="Major_Ind">#REF!</definedName>
    <definedName name="MAKRO_CASH___CARRY_BELGIUM_N.V.">#REF!</definedName>
    <definedName name="maksndhgf">'[7]Excise on RM'!#REF!</definedName>
    <definedName name="man">[118]Income!#REF!</definedName>
    <definedName name="manfeb">'[126]TB RS $'!$B$2:$E$419</definedName>
    <definedName name="mani1">#REF!</definedName>
    <definedName name="MANISH">#REF!</definedName>
    <definedName name="MAR">#REF!</definedName>
    <definedName name="MARCH">#REF!</definedName>
    <definedName name="MARCH1">#REF!</definedName>
    <definedName name="MARCH2">'[127]TB  Rupees  $'!$B$1:$E$620</definedName>
    <definedName name="MARCH20">#REF!</definedName>
    <definedName name="MARCH21">#REF!</definedName>
    <definedName name="MARCH28">#REF!</definedName>
    <definedName name="Marketing_Cost_97">[45]Sheet3!$C$10</definedName>
    <definedName name="MARKS">#REF!</definedName>
    <definedName name="Marriott">#REF!</definedName>
    <definedName name="Marshalls_of_MA__Inc.">#REF!</definedName>
    <definedName name="materialcost">'[74]p&amp;l'!#REF!</definedName>
    <definedName name="MAX">#REF!</definedName>
    <definedName name="MAYTEX_INDUSTRIES">#REF!</definedName>
    <definedName name="mbfll">[40]DCF_VDF!$E$25:$X$25</definedName>
    <definedName name="meal_rate">'[71]Support - US'!#REF!</definedName>
    <definedName name="Medical_97">[45]Sheet3!$C$13</definedName>
    <definedName name="MEHOM">#REF!</definedName>
    <definedName name="MEIJER_DISTRIBUTION_INC">#REF!</definedName>
    <definedName name="MemTotal">[40]DCF_VDF!$AD$10</definedName>
    <definedName name="MEND">#REF!</definedName>
    <definedName name="METRO_CASH___CARRY_OOO">#REF!</definedName>
    <definedName name="MEXICO">#N/A</definedName>
    <definedName name="mf.all">[128]MasterFinancials!$A$1:$IV$506</definedName>
    <definedName name="MFW">'[58]Perf Target'!$E$22</definedName>
    <definedName name="Mgmt">'[93]Corp - Mgmt'!$A$1:$AZ$65536</definedName>
    <definedName name="MGRREM">#REF!</definedName>
    <definedName name="Miami">[49]Drivers!$I$11</definedName>
    <definedName name="MIN">#REF!</definedName>
    <definedName name="MINISO_DEVELOPMENT_HONG_KONG_LIMITE">#REF!</definedName>
    <definedName name="MINISO_LIFE_STYLE_PRIVATE_LIMITED">#REF!</definedName>
    <definedName name="MINISTRY_OF_INTERIOR_KUWAIT_POLICE">#REF!</definedName>
    <definedName name="misexptech">'[97]profitability statement'!#REF!</definedName>
    <definedName name="mm">'[125]TB  Rupees '!#REF!</definedName>
    <definedName name="mnbcx">#REF!</definedName>
    <definedName name="MODB">'[99]CONTR-TEX LOCAL'!$P$159</definedName>
    <definedName name="MODB1">'[99]CONTR-TEX LOCAL'!$P$173</definedName>
    <definedName name="ModelType">[129]!ModelType</definedName>
    <definedName name="month">#REF!</definedName>
    <definedName name="month_abv">[130]Mexico!$M$72</definedName>
    <definedName name="Month_bal_sht">'[131]Mgmt case'!#REF!</definedName>
    <definedName name="Month_C">[49]Drivers!$C$3</definedName>
    <definedName name="Month_cashflow">'[131]Mgmt case'!#REF!</definedName>
    <definedName name="Month_inc_stmt">'[131]Mgmt case'!#REF!</definedName>
    <definedName name="Month_L">[49]Drivers!$C$4</definedName>
    <definedName name="Month_LL">[49]Drivers!$C$5</definedName>
    <definedName name="Month_ratios_calcs">'[131]Mgmt case'!#REF!</definedName>
    <definedName name="Month1_Ending_Bal">'[132]Cash Flow'!#REF!</definedName>
    <definedName name="Month10_Ending_Bal">'[132]Cash Flow'!#REF!</definedName>
    <definedName name="Month11_Ending_Bal">'[132]Cash Flow'!#REF!</definedName>
    <definedName name="Month2_Ending_Bal">'[132]Cash Flow'!#REF!</definedName>
    <definedName name="Month3_Ending_Bal">'[132]Cash Flow'!#REF!</definedName>
    <definedName name="Month4_Ending_Bal">'[132]Cash Flow'!#REF!</definedName>
    <definedName name="Month5_Ending_Bal">'[132]Cash Flow'!#REF!</definedName>
    <definedName name="Month6_Ending_Bal">'[132]Cash Flow'!#REF!</definedName>
    <definedName name="Month7_Ending_Bal">'[132]Cash Flow'!#REF!</definedName>
    <definedName name="Month8_Ending_Bal">'[132]Cash Flow'!#REF!</definedName>
    <definedName name="Month9_Ending_Bal">'[132]Cash Flow'!#REF!</definedName>
    <definedName name="monthc">[87]Note!$B$2</definedName>
    <definedName name="monthl">[87]Note!$B$3</definedName>
    <definedName name="Monthnum">[133]Input!$D$7</definedName>
    <definedName name="Motar_Car">#REF!</definedName>
    <definedName name="MOTIRAM___CO.">#REF!</definedName>
    <definedName name="mphasis">[40]DCF_VDF!#REF!</definedName>
    <definedName name="mphasisbfl">[40]DCF_VDF!#REF!</definedName>
    <definedName name="MQ">'[48]Perf Target'!$D$90</definedName>
    <definedName name="MRRV">[134]DEC99!$N$5:$N$6</definedName>
    <definedName name="MS">'[135]CIPL JULY04'!$B$7:$I$230</definedName>
    <definedName name="MSTable">'[56]MS-Bud'!$A$11:$Y$133</definedName>
    <definedName name="mthclbal">#REF!</definedName>
    <definedName name="mthclmb">#REF!</definedName>
    <definedName name="mthdtbal">#REF!</definedName>
    <definedName name="mthdtmb">#REF!</definedName>
    <definedName name="MW">'[48]Perf Target'!$D$82</definedName>
    <definedName name="n">'[136]YARN CONSUMP-JULY-06'!$N$2:$N$11043</definedName>
    <definedName name="N.D.R._EMMA_LTD">#REF!</definedName>
    <definedName name="NAAMAN_GROUP__N.V__LTD__VARDINON">#REF!</definedName>
    <definedName name="NABILA_S.A.C.">#REF!</definedName>
    <definedName name="NABILA_SAC">#REF!</definedName>
    <definedName name="NAFive">[65]NA!$B$241:$Y$299</definedName>
    <definedName name="NAFour">[65]NA!$B$178:$Y$239</definedName>
    <definedName name="Name_1">#REF!</definedName>
    <definedName name="NameOfferor">'[76]Analyst data'!$P$55</definedName>
    <definedName name="Names">#REF!</definedName>
    <definedName name="NAOne">[65]NA!$B$4:$Y$80</definedName>
    <definedName name="NASix">[65]NA!$B$301:$Y$405</definedName>
    <definedName name="NAThree">[65]NA!$B$121:$Y$177</definedName>
    <definedName name="National_Hospitality">#REF!</definedName>
    <definedName name="NATwo">[65]NA!$B$82:$Y$119</definedName>
    <definedName name="NAV">[64]EquityTemplate!$A$74:$IV$74</definedName>
    <definedName name="NB">[58]Assumption!$C$77</definedName>
    <definedName name="ND_EQ">[64]EquityTemplate!$A$72:$IV$72</definedName>
    <definedName name="Net_Income">[40]DCF_VDF!$C$94:$AZ$94</definedName>
    <definedName name="Net_income_fore">[40]DCF_VDF!$E$40:$M$40</definedName>
    <definedName name="Net_income_growth_avg">[40]DCF_VDF!#REF!</definedName>
    <definedName name="NET_INT">[64]EquityTemplate!$A$38:$IV$38</definedName>
    <definedName name="Net_margin_fore">[40]DCF_VDF!#REF!</definedName>
    <definedName name="Net_PPE_growth_fore">[40]DCF_VDF!$H$157:$K$157</definedName>
    <definedName name="Net_sales_DCF">[40]DCF_VDF!$C$9:$AZ$9</definedName>
    <definedName name="Net_sales_fore">[40]DCF_VDF!$E$7:$G$7</definedName>
    <definedName name="Net_sales_growth_fore">[40]DCF_VDF!$H$53:$K$53</definedName>
    <definedName name="NetDebtPerShare">'[44]P&amp;L (F- Cons)'!#REF!</definedName>
    <definedName name="NetWC_turns_fore">[40]DCF_VDF!$E$77:$K$77</definedName>
    <definedName name="NEW_YOHAN_DEPARTMENT_STORE">#REF!</definedName>
    <definedName name="newbp1" hidden="1">{#N/A,#N/A,FALSE,"ACQ_GRAPHS";#N/A,#N/A,FALSE,"T_1 GRAPHS";#N/A,#N/A,FALSE,"T_2 GRAPHS";#N/A,#N/A,FALSE,"COMB_GRAPHS"}</definedName>
    <definedName name="NewCapex">#REF!</definedName>
    <definedName name="newifacasename">'[137]Primary Inputs'!$O$8</definedName>
    <definedName name="NewPrint">[129]!NewPrint</definedName>
    <definedName name="NEWSHRCAPITAL">[64]EquityTemplate!$A$91:$IV$91</definedName>
    <definedName name="Newton_Buying_Corp.__T.J._Maxx">#REF!</definedName>
    <definedName name="Nexcom">#REF!</definedName>
    <definedName name="Next_Retail_Limited__Company_No._04">#REF!</definedName>
    <definedName name="NF">[94]RM!$E$5</definedName>
    <definedName name="nine">[65]IS_BS_US!$Q$178:$Y$239</definedName>
    <definedName name="NITCO_AUSTRALLIA_PTY_LTD">#REF!</definedName>
    <definedName name="NITORI__CHINA__HOLDING_CO_LTD">#REF!</definedName>
    <definedName name="NITORI_CO.__LTD.">#REF!</definedName>
    <definedName name="NITORI_RETAIL__MALAYSIA__SDN__BHD.">#REF!</definedName>
    <definedName name="NITORI_TAIWAN_CO.__LTD.">#REF!</definedName>
    <definedName name="nnnnnnnnnn" hidden="1">{#N/A,#N/A,FALSE,"Status of Projects";#N/A,#N/A,FALSE,"CEA-TEC";#N/A,#N/A,FALSE,"U-Constr.";#N/A,#N/A,FALSE,"summary";#N/A,#N/A,FALSE,"PPP-3 yrs"}</definedName>
    <definedName name="NONUS">#REF!</definedName>
    <definedName name="noofinstl">[122]Input!$B$5</definedName>
    <definedName name="Noon_E_Commerce_Solutions_One_Perso">#REF!</definedName>
    <definedName name="NOPAT">[40]DCF_VDF!$C$41:$AU$41</definedName>
    <definedName name="NOPAT_DCF">[40]DCF_VDF!$C$12:$AZ$12</definedName>
    <definedName name="NOPAT_fore">[40]DCF_VDF!$E$29:$G$29</definedName>
    <definedName name="NOPAT_growth_avg">[40]DCF_VDF!#REF!</definedName>
    <definedName name="NOPAT_margin">[40]DCF_VDF!$C$112:$AU$112</definedName>
    <definedName name="NOPAT_margin_fore">[40]DCF_VDF!$H$54:$K$54</definedName>
    <definedName name="NOPAT_Share">[40]DCF_VDF!#REF!</definedName>
    <definedName name="NOPBT">[40]DCF_VDF!$C$32:$AU$32</definedName>
    <definedName name="NOPBT_fore">[40]DCF_VDF!$E$27:$V$27</definedName>
    <definedName name="NORM">#REF!</definedName>
    <definedName name="Norm_forecast_16_25">[40]DCF_VDF!$K$1:$K$65536</definedName>
    <definedName name="Norm_forecast_4_5">[40]DCF_VDF!$H$8:$H$224</definedName>
    <definedName name="Norm_forecast_6_10">[40]DCF_VDF!$I$8:$I$224</definedName>
    <definedName name="NORTHEAST_SUPPLY">#REF!</definedName>
    <definedName name="note2">'[138]repkg fees'!#REF!</definedName>
    <definedName name="notice">'[138]repkg fees'!#REF!</definedName>
    <definedName name="NPT_1">[40]DCF_VDF!$P$1:$P$65536</definedName>
    <definedName name="NPT_2">[40]DCF_VDF!$O$1:$O$65536</definedName>
    <definedName name="NPT_P">[40]DCF_VDF!$Q$1:$Q$65536</definedName>
    <definedName name="NPV">#REF!</definedName>
    <definedName name="NS">'[113]P13-R'!#REF!</definedName>
    <definedName name="NV_De_Witte_Lietaer_International">#REF!</definedName>
    <definedName name="NvsAutoDrillOk">"VN"</definedName>
    <definedName name="NvsElapsedTime">0.000462962962046731</definedName>
    <definedName name="NvsEndTime">37504.6918518519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"V2002-03-15"</definedName>
    <definedName name="NvsPanelSetid">"VSASKN"</definedName>
    <definedName name="NvsReqBU">"VINGL0"</definedName>
    <definedName name="NvsReqBUOnly">"VN"</definedName>
    <definedName name="NvsTransLed">"VN"</definedName>
    <definedName name="NvsTreeASD">"V2002-08-31"</definedName>
    <definedName name="NvsValTbl.ACCOUNT">"GL_ACCOUNT_TBL"</definedName>
    <definedName name="Ocean_Properties">#REF!</definedName>
    <definedName name="OCT">'[139]Income OCT'!$B$133:$W$453</definedName>
    <definedName name="OE">'[113]P13-R'!#REF!</definedName>
    <definedName name="Off_B_S_Income_DCF">[40]DCF_VDF!$C$8:$BZ$8</definedName>
    <definedName name="Off_B_S_Income_fore">[40]DCF_VDF!$E$6:$Z$6</definedName>
    <definedName name="Off_B_S_Income_growth_fore">[40]DCF_VDF!$H$52:$K$52</definedName>
    <definedName name="Off_High_Cov">[40]DCF_VDF!$N$229</definedName>
    <definedName name="OffApr">[140]REVENUE!$U$3:$U$1820</definedName>
    <definedName name="OffAug">[140]REVENUE!$AC$3:$AC$1820</definedName>
    <definedName name="OffDec">[140]REVENUE!$AK$3:$AK$1820</definedName>
    <definedName name="OffFeb">[140]REVENUE!$Q$3:$Q$1820</definedName>
    <definedName name="Office_Equipments">#REF!</definedName>
    <definedName name="OffJan">[140]REVENUE!$O$3:$O$1820</definedName>
    <definedName name="OffJuly">[140]REVENUE!$AA$3:$AA$1820</definedName>
    <definedName name="OffJun">[141]REVENUE!#REF!</definedName>
    <definedName name="OffJune">[140]REVENUE!$Y$3:$Y$1820</definedName>
    <definedName name="OffMar">[140]REVENUE!$S$3:$S$1820</definedName>
    <definedName name="OffMay">[140]REVENUE!$W$3:$W$1820</definedName>
    <definedName name="OffNov">[140]REVENUE!$AI$3:$AI$1820</definedName>
    <definedName name="OffOct">[140]REVENUE!$AG$3:$AG$1820</definedName>
    <definedName name="OffSep">[140]REVENUE!$AE$3:$AE$1820</definedName>
    <definedName name="okay">[119]Consolidated!#REF!</definedName>
    <definedName name="OL_1">[40]DCF_VDF!$AD$1:$AD$65536</definedName>
    <definedName name="OL_P">[40]DCF_VDF!$AF$1:$AF$65536</definedName>
    <definedName name="oldfy_01">'[40]Model - US GAAP'!#REF!</definedName>
    <definedName name="oldfy_02">'[40]Model - US GAAP'!#REF!</definedName>
    <definedName name="oldfy_03">'[40]Model - US GAAP'!#REF!</definedName>
    <definedName name="oldfy_04">'[40]Model - US GAAP'!#REF!</definedName>
    <definedName name="Ollies_Bargain_Outlet">#REF!</definedName>
    <definedName name="OnAug">[140]REVENUE!$AB$3:$AB$1820</definedName>
    <definedName name="OnDec">[140]REVENUE!$AJ$3:$AJ$1820</definedName>
    <definedName name="one">[65]IS_BS_US!$C$4:$Y$81</definedName>
    <definedName name="OnFeb">[140]REVENUE!$P$3:$P$1820</definedName>
    <definedName name="OnJan">[140]REVENUE!$N$3:$N$1820</definedName>
    <definedName name="OnJul">[141]REVENUE!#REF!</definedName>
    <definedName name="OnJuly">[140]REVENUE!$Z$3:$Z$1820</definedName>
    <definedName name="OnJun">[141]REVENUE!#REF!</definedName>
    <definedName name="OnJune">[140]REVENUE!$X$3:$X$1820</definedName>
    <definedName name="OnMar">[140]REVENUE!$R$3:$R$1820</definedName>
    <definedName name="OnMay">[140]REVENUE!$V$3:$V$1820</definedName>
    <definedName name="OnNov">[140]REVENUE!$AH$3:$AH$1820</definedName>
    <definedName name="OnOct">[140]REVENUE!$AF$3:$AF$1820</definedName>
    <definedName name="OnSep">[140]REVENUE!$AD$3:$AD$1820</definedName>
    <definedName name="OnSept">[141]REVENUE!#REF!</definedName>
    <definedName name="OOO_INDIGO">#REF!</definedName>
    <definedName name="OPER_PROFIT">[64]EquityTemplate!$A$22:$IV$22</definedName>
    <definedName name="Operating_Lease_Expense">[40]DCF_VDF!$C$23:$AZ$23</definedName>
    <definedName name="Operating_Lease_Expense_fore">[40]DCF_VDF!$E$22:$Z$22</definedName>
    <definedName name="OPTIMUM_LINEA_OU">#REF!</definedName>
    <definedName name="OR_SUN_Ltd.">#REF!</definedName>
    <definedName name="ORGANISATION_INTRA_GROUPE_DES_ACHAT">#REF!</definedName>
    <definedName name="ORIENTAL_HOTELS_LTD">#REF!</definedName>
    <definedName name="Original">'[65]Rev Detail Inputs'!$B$27:$Y$55</definedName>
    <definedName name="OriginalA">'[65]Rev Detail Inputs'!$AA$27:$AR$56</definedName>
    <definedName name="Other">#REF!</definedName>
    <definedName name="Other_asset_turns">[40]DCF_VDF!$A$101:$Z$101</definedName>
    <definedName name="Other_asset_turns_fore">[40]DCF_VDF!$B$79:$K$79</definedName>
    <definedName name="Other_current_liabilities_growth_fore">[40]DCF_VDF!$H$155:$K$155</definedName>
    <definedName name="Other_dividends">[40]DCF_VDF!#REF!</definedName>
    <definedName name="Other_Expenses_97">[45]Sheet3!$C$11</definedName>
    <definedName name="Other_Expenses_fore">[40]DCF_VDF!$E$35:$G$35</definedName>
    <definedName name="Other_expenses_gains">[40]DCF_VDF!$C$14:$AZ$14</definedName>
    <definedName name="Other_expenses_gains_fore">[40]DCF_VDF!$E$12:$G$12</definedName>
    <definedName name="Other_expenses_growth_fore">[40]DCF_VDF!$H$172:$K$172</definedName>
    <definedName name="Other_fixed_assets_growth_fore">[40]DCF_VDF!$H$158:$K$158</definedName>
    <definedName name="Other_growth_fore">[40]DCF_VDF!$H$166:$K$166</definedName>
    <definedName name="OTHER_INC">[64]EquityTemplate!$A$25:$IV$25</definedName>
    <definedName name="Other_inc_exp_fore">[40]DCF_VDF!$E$34:$M$34</definedName>
    <definedName name="Other_Income">[40]DCF_VDF!$C$58:$AZ$58</definedName>
    <definedName name="Other_income_growth_fore">[40]DCF_VDF!$H$173:$K$173</definedName>
    <definedName name="Other_liabilities_growth_fore">[40]DCF_VDF!$H$168:$K$168</definedName>
    <definedName name="Other_Traditional_Marketing_2">[41]Financials!#REF!</definedName>
    <definedName name="otherfohpm">'[74]p&amp;l'!#REF!</definedName>
    <definedName name="OTHERWORKSHEETS">#REF!</definedName>
    <definedName name="OTTO_STADTLANDER_GMBH">#REF!</definedName>
    <definedName name="Output2">[142]!Output2</definedName>
    <definedName name="OutputEV">[143]Output!$H$20,[143]Output!$H$49:$H$50</definedName>
    <definedName name="OutputMarketCap">[143]Output!$G$20,[143]Output!$G$49:$G$50</definedName>
    <definedName name="P">'[5]Ann-1'!#REF!</definedName>
    <definedName name="P_C">#REF!</definedName>
    <definedName name="P_M">#REF!</definedName>
    <definedName name="P_T">#REF!</definedName>
    <definedName name="Paarizaat_International_Ltd">#REF!</definedName>
    <definedName name="PACK">#REF!</definedName>
    <definedName name="PACKING">[144]PRODUCTION!$E$2</definedName>
    <definedName name="page_1">#REF!</definedName>
    <definedName name="page_2">#REF!</definedName>
    <definedName name="PAGE1">#REF!</definedName>
    <definedName name="PAGE13">#REF!</definedName>
    <definedName name="PAGE14">#REF!</definedName>
    <definedName name="PAGE15">#REF!</definedName>
    <definedName name="PAGE2">#REF!</definedName>
    <definedName name="PAGE3">#REF!</definedName>
    <definedName name="PAGE4">#REF!</definedName>
    <definedName name="PAN_Emirates_Home_Furnishing_LLC">#REF!</definedName>
    <definedName name="PANDA_HOME_LTD">#REF!</definedName>
    <definedName name="pandit">#REF!</definedName>
    <definedName name="PARAMS">#REF!</definedName>
    <definedName name="parity">#REF!</definedName>
    <definedName name="Party_Code">#REF!</definedName>
    <definedName name="pas">#REF!</definedName>
    <definedName name="pbidtGROWTH">#REF!</definedName>
    <definedName name="PbidtLevel">#REF!</definedName>
    <definedName name="pbStartPageNumber">1</definedName>
    <definedName name="pbtrmc">#REF!</definedName>
    <definedName name="pbtsp">#REF!</definedName>
    <definedName name="pcash">[42]Inputs!$R$17</definedName>
    <definedName name="PCK">#REF!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D">[40]DCF_VDF!#REF!</definedName>
    <definedName name="PDAY">'[59]Total P&amp;L'!#REF!</definedName>
    <definedName name="pDealYear">[104]Inputs!$R$13</definedName>
    <definedName name="Pem_America__Inc.">#REF!</definedName>
    <definedName name="PEM_AMERICA_INC.">#REF!</definedName>
    <definedName name="PEND">#REF!</definedName>
    <definedName name="PEPCO_POLAND_SP._Z_O.O.__POLAND">#REF!</definedName>
    <definedName name="Perf_97">[40]DCF_VDF!$O$225</definedName>
    <definedName name="Perf_98">[40]DCF_VDF!$P$225</definedName>
    <definedName name="Perf_99">[40]DCF_VDF!$Q$225</definedName>
    <definedName name="Performance">[40]DCF_VDF!$K$15:$R$18</definedName>
    <definedName name="Peru">[49]Drivers!$I$15</definedName>
    <definedName name="PG">[145]Sheet1!$A$3:$J$84</definedName>
    <definedName name="PHANTAM">'[146]PEST SPECIAL'!$A$2:$A$235</definedName>
    <definedName name="pl">#REF!</definedName>
    <definedName name="PL_Account">#REF!</definedName>
    <definedName name="PL_CAGR">#REF!</definedName>
    <definedName name="Plant">#REF!</definedName>
    <definedName name="plkjh">#REF!</definedName>
    <definedName name="pllkass">'[39]P&amp;LSC'!#REF!</definedName>
    <definedName name="PLR">[40]DCF_VDF!#REF!</definedName>
    <definedName name="PLTable">'[56]PL-Bud'!$A$11:$Y$133</definedName>
    <definedName name="PNE">'[48]Perf Target'!$D$17</definedName>
    <definedName name="PNQ">'[48]Perf Target'!$D$31</definedName>
    <definedName name="PNW">'[48]Perf Target'!$D$24</definedName>
    <definedName name="POLYCOST">#REF!</definedName>
    <definedName name="Portugal">[70]Opex!$B$14:$V$23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werfuel">#REF!</definedName>
    <definedName name="powerpm">'[74]p&amp;l'!#REF!</definedName>
    <definedName name="POYA">#REF!</definedName>
    <definedName name="POYAA">#REF!</definedName>
    <definedName name="POYAB">#REF!</definedName>
    <definedName name="POYAC">#REF!</definedName>
    <definedName name="POYAD">#REF!</definedName>
    <definedName name="POYAE">#REF!</definedName>
    <definedName name="POYAF">#REF!</definedName>
    <definedName name="POYAG">#REF!</definedName>
    <definedName name="POYAH">#REF!</definedName>
    <definedName name="POYAI">#REF!</definedName>
    <definedName name="POYAJ">#REF!</definedName>
    <definedName name="POYAK">#REF!</definedName>
    <definedName name="POYAL">#REF!</definedName>
    <definedName name="POYAM">#REF!</definedName>
    <definedName name="POYAN">#REF!</definedName>
    <definedName name="POYB">#REF!</definedName>
    <definedName name="POYC">#REF!</definedName>
    <definedName name="POYD">#REF!</definedName>
    <definedName name="POYDE">#REF!</definedName>
    <definedName name="POYE">#REF!</definedName>
    <definedName name="POYEXICE">#REF!</definedName>
    <definedName name="POYF">#REF!</definedName>
    <definedName name="POYG">#REF!</definedName>
    <definedName name="POYH">#REF!</definedName>
    <definedName name="POYI">#REF!</definedName>
    <definedName name="POYJ">#REF!</definedName>
    <definedName name="POYK">#REF!</definedName>
    <definedName name="POYL">#REF!</definedName>
    <definedName name="POYM">#REF!</definedName>
    <definedName name="POYN">#REF!</definedName>
    <definedName name="POYO">#REF!</definedName>
    <definedName name="POYP">#REF!</definedName>
    <definedName name="POYQ">#REF!</definedName>
    <definedName name="POYR">#REF!</definedName>
    <definedName name="POYS">#REF!</definedName>
    <definedName name="POYSALE">#REF!</definedName>
    <definedName name="POYST">#REF!</definedName>
    <definedName name="POYT">#REF!</definedName>
    <definedName name="POYTOTAL">#REF!</definedName>
    <definedName name="POYU">#REF!</definedName>
    <definedName name="POYV">#REF!</definedName>
    <definedName name="POYVALUE">#REF!</definedName>
    <definedName name="POYW">#REF!</definedName>
    <definedName name="POYX">#REF!</definedName>
    <definedName name="POYY">#REF!</definedName>
    <definedName name="POYZ">#REF!</definedName>
    <definedName name="PPE">'[48]Perf Target'!$D$16</definedName>
    <definedName name="PPnE_turns_fore">[40]DCF_VDF!$H$130:$K$130</definedName>
    <definedName name="ppp">'[37]jan feb'!#REF!</definedName>
    <definedName name="PPQ">'[48]Perf Target'!$D$30</definedName>
    <definedName name="PPW">'[48]Perf Target'!$D$23</definedName>
    <definedName name="pramod">'[52]pending indent'!#REF!</definedName>
    <definedName name="PREF_DIV">[64]EquityTemplate!$A$32:$IV$32</definedName>
    <definedName name="PREMEX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_Value_Oper_lease">[40]DCF_VDF!$C$51:$AW$51</definedName>
    <definedName name="prestart">#REF!</definedName>
    <definedName name="prestartfunds">#REF!</definedName>
    <definedName name="Pretax_income">[40]DCF_VDF!$C$90:$AE$90</definedName>
    <definedName name="Pretax_income_fore">[40]DCF_VDF!$E$36:$Z$36</definedName>
    <definedName name="price">[40]DCF_VDF!$B$7:$L$11</definedName>
    <definedName name="price_acquiror">[42]Inputs!$L$31</definedName>
    <definedName name="price_target">[42]Inputs!$J$31</definedName>
    <definedName name="PRINCESS__GRUPPEN">#REF!</definedName>
    <definedName name="_xlnm.Print_Area">#REF!</definedName>
    <definedName name="Print_Area_MI">#REF!</definedName>
    <definedName name="_xlnm.Print_Titles">#N/A</definedName>
    <definedName name="prod_MT">#REF!</definedName>
    <definedName name="prodMT">#REF!</definedName>
    <definedName name="Product">#REF!</definedName>
    <definedName name="PROFIT_LOSS_ACCOUNT">#REF!</definedName>
    <definedName name="profitloss">#REF!</definedName>
    <definedName name="Proj_Fin">#REF!</definedName>
    <definedName name="PROJECT_NAME">[147]Income!$A$1</definedName>
    <definedName name="projections_acquiror">[42]Inputs!$L$64</definedName>
    <definedName name="projections_target">[42]Inputs!$J$64</definedName>
    <definedName name="PRTCON">[148]Sheet1!$H$1:$K$1</definedName>
    <definedName name="pstock">[42]Inputs!$R$16</definedName>
    <definedName name="PURPLE_INNOVATION__LLC">#REF!</definedName>
    <definedName name="PV_CFPS">[64]EquityTemplate!$A$101:$IV$101</definedName>
    <definedName name="PV_DPS">[64]EquityTemplate!$A$102:$IV$102</definedName>
    <definedName name="PV_EPS">[64]EquityTemplate!$A$103:$IV$103</definedName>
    <definedName name="PV_PRETAX">[64]EquityTemplate!$A$105:$IV$105</definedName>
    <definedName name="pymntfreq">[122]Input!$B$4</definedName>
    <definedName name="pyridineexprmc">#REF!</definedName>
    <definedName name="pyridineexpsp">#REF!</definedName>
    <definedName name="pyridinelocalrmc">#REF!</definedName>
    <definedName name="pyridinelocalsp">#REF!</definedName>
    <definedName name="Q">'[5]Ann-1'!#REF!</definedName>
    <definedName name="Q1_87">'[40]Model - US GAAP'!#REF!</definedName>
    <definedName name="Q1_88">'[40]Model - US GAAP'!#REF!</definedName>
    <definedName name="Q1_89">'[40]Model - US GAAP'!#REF!</definedName>
    <definedName name="Q1_90">'[40]Model - US GAAP'!#REF!</definedName>
    <definedName name="Q1_91">'[40]Model - US GAAP'!#REF!</definedName>
    <definedName name="Q1_92">'[40]Model - US GAAP'!#REF!</definedName>
    <definedName name="Q1_93">'[40]Model - US GAAP'!#REF!</definedName>
    <definedName name="Q1_94">'[40]Model - US GAAP'!#REF!</definedName>
    <definedName name="Q1_95">'[40]Model - US GAAP'!#REF!</definedName>
    <definedName name="Q1_96">'[40]Model - US GAAP'!#REF!</definedName>
    <definedName name="q1_97">'[40]Model - US GAAP'!#REF!</definedName>
    <definedName name="q1_98">'[40]Model - US GAAP'!#REF!</definedName>
    <definedName name="Q1days">#REF!</definedName>
    <definedName name="Q2_87">'[40]Model - US GAAP'!#REF!</definedName>
    <definedName name="Q2_88">'[40]Model - US GAAP'!#REF!</definedName>
    <definedName name="Q2_89">'[40]Model - US GAAP'!#REF!</definedName>
    <definedName name="Q2_90">'[40]Model - US GAAP'!#REF!</definedName>
    <definedName name="Q2_91">'[40]Model - US GAAP'!#REF!</definedName>
    <definedName name="Q2_92">'[40]Model - US GAAP'!#REF!</definedName>
    <definedName name="Q2_93">'[40]Model - US GAAP'!#REF!</definedName>
    <definedName name="Q2_94">'[40]Model - US GAAP'!#REF!</definedName>
    <definedName name="Q2_95">'[40]Model - US GAAP'!#REF!</definedName>
    <definedName name="Q2_96">'[40]Model - US GAAP'!#REF!</definedName>
    <definedName name="q2_97">'[40]Model - US GAAP'!#REF!</definedName>
    <definedName name="q2_98">'[40]Model - US GAAP'!#REF!</definedName>
    <definedName name="Q2days">#REF!</definedName>
    <definedName name="Q3_87">'[40]Model - US GAAP'!#REF!</definedName>
    <definedName name="Q3_88">'[40]Model - US GAAP'!#REF!</definedName>
    <definedName name="Q3_89">'[40]Model - US GAAP'!#REF!</definedName>
    <definedName name="Q3_90">'[40]Model - US GAAP'!#REF!</definedName>
    <definedName name="Q3_91">'[40]Model - US GAAP'!#REF!</definedName>
    <definedName name="Q3_92">'[40]Model - US GAAP'!#REF!</definedName>
    <definedName name="Q3_93">'[40]Model - US GAAP'!#REF!</definedName>
    <definedName name="Q3_94">'[40]Model - US GAAP'!#REF!</definedName>
    <definedName name="Q3_95">'[40]Model - US GAAP'!#REF!</definedName>
    <definedName name="Q3_96">'[40]Model - US GAAP'!#REF!</definedName>
    <definedName name="q3_97">'[40]Model - US GAAP'!#REF!</definedName>
    <definedName name="Q3days">#REF!</definedName>
    <definedName name="Q4_87">'[40]Model - US GAAP'!#REF!</definedName>
    <definedName name="Q4_88">'[40]Model - US GAAP'!#REF!</definedName>
    <definedName name="Q4_89">'[40]Model - US GAAP'!#REF!</definedName>
    <definedName name="Q4_90">'[40]Model - US GAAP'!#REF!</definedName>
    <definedName name="Q4_91">'[40]Model - US GAAP'!#REF!</definedName>
    <definedName name="Q4_92">'[40]Model - US GAAP'!#REF!</definedName>
    <definedName name="Q4_93">'[40]Model - US GAAP'!#REF!</definedName>
    <definedName name="Q4_94">'[40]Model - US GAAP'!#REF!</definedName>
    <definedName name="Q4_95">'[40]Model - US GAAP'!#REF!</definedName>
    <definedName name="Q4_96">'[40]Model - US GAAP'!#REF!</definedName>
    <definedName name="q4_97">'[40]Model - US GAAP'!#REF!</definedName>
    <definedName name="Q4days">#REF!</definedName>
    <definedName name="qazx">#REF!</definedName>
    <definedName name="qazxcv">#REF!</definedName>
    <definedName name="qpl_pg2">'[40]Model - US GAAP'!#REF!</definedName>
    <definedName name="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">#REF!</definedName>
    <definedName name="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q" hidden="1">{#N/A,#N/A,FALSE,"profile ";#N/A,#N/A,FALSE,"rank";#N/A,#N/A,FALSE,"overbase";#N/A,#N/A,FALSE,"overcash";#N/A,#N/A,FALSE,"overtfp";#N/A,#N/A,FALSE,"overtcc"}</definedName>
    <definedName name="qqqqqqqqqq_1" hidden="1">{#N/A,#N/A,FALSE,"profile ";#N/A,#N/A,FALSE,"rank";#N/A,#N/A,FALSE,"overbase";#N/A,#N/A,FALSE,"overcash";#N/A,#N/A,FALSE,"overtfp";#N/A,#N/A,FALSE,"overtcc"}</definedName>
    <definedName name="qtr_vs_plan">'[131]Mgmt case'!#REF!</definedName>
    <definedName name="Qualitywise_sales">'[149]9 Sales Price in $'!#REF!</definedName>
    <definedName name="Quarter_bal_sht">'[131]Mgmt case'!#REF!</definedName>
    <definedName name="Quarter_cashflow">'[131]Mgmt case'!#REF!</definedName>
    <definedName name="Quarter_inc_stmt">'[131]Mgmt case'!#REF!</definedName>
    <definedName name="Quarter_ratios_calcs">'[131]Mgmt case'!#REF!</definedName>
    <definedName name="Quarterly_Sales">'[101]Sales Budget'!$AB$4:$AG$113</definedName>
    <definedName name="QVC">#REF!</definedName>
    <definedName name="qw">#REF!</definedName>
    <definedName name="qwas">'[39]P&amp;LSC'!#REF!</definedName>
    <definedName name="qwee">#REF!</definedName>
    <definedName name="qwer">#REF!</definedName>
    <definedName name="qwere">#REF!</definedName>
    <definedName name="qwerea">'[7]Excise on RM'!#REF!</definedName>
    <definedName name="qwweevdv">#REF!</definedName>
    <definedName name="R_">#N/A</definedName>
    <definedName name="R_D_amort_years">[40]DCF_VDF!$A$34</definedName>
    <definedName name="R_D_Amortization">[40]DCF_VDF!$C$31:$AU$31</definedName>
    <definedName name="R_D_expense">[40]DCF_VDF!$C$28:$AZ$28</definedName>
    <definedName name="Ramayan_Supply">#REF!</definedName>
    <definedName name="Rami_Abdeen_Partners_Company">#REF!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TES">#REF!</definedName>
    <definedName name="RawData">#REF!</definedName>
    <definedName name="RawHeader">#REF!</definedName>
    <definedName name="rawmaterial">#REF!</definedName>
    <definedName name="Real___Germany">#REF!</definedName>
    <definedName name="recap_repurchase">"Picture 64"</definedName>
    <definedName name="Reckitt_Benckiser_Arabia_FZE">#REF!</definedName>
    <definedName name="_xlnm.Recorder">#REF!</definedName>
    <definedName name="redo" hidden="1">{#N/A,#N/A,FALSE,"ACQ_GRAPHS";#N/A,#N/A,FALSE,"T_1 GRAPHS";#N/A,#N/A,FALSE,"T_2 GRAPHS";#N/A,#N/A,FALSE,"COMB_GRAPHS"}</definedName>
    <definedName name="Redstar_International_Limited">#REF!</definedName>
    <definedName name="REFINERY_HOTEL">#REF!</definedName>
    <definedName name="Rejections_IIIqtr">[150]Inputs!$K$213:$R$316</definedName>
    <definedName name="Rejections_IIqtr">[150]Inputs!$K$109:$R$212</definedName>
    <definedName name="Rejections_Iqtr">[116]Inputs!$K$4:$R$108</definedName>
    <definedName name="Rejections_IVqtr">[151]Inputs!$K$317:$R$420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NT">#REF!</definedName>
    <definedName name="Rent1">#REF!</definedName>
    <definedName name="RentFinal">#REF!</definedName>
    <definedName name="rep_units">[73]Snapshot!$H$7</definedName>
    <definedName name="repairspm">'[74]p&amp;l'!#REF!</definedName>
    <definedName name="Reported_net_income">'[44]P&amp;L (F- Cons)'!#REF!</definedName>
    <definedName name="reqdetails">[40]DCF_VDF!$O$15:$T$345</definedName>
    <definedName name="Required_cash_percent">[40]DCF_VDF!$A$9</definedName>
    <definedName name="Reserves">'[97]Projected Balance Sheet'!#REF!</definedName>
    <definedName name="Restructure">#REF!</definedName>
    <definedName name="Restructuring_charges_growth_fore">[40]DCF_VDF!$H$165:$K$165</definedName>
    <definedName name="Results">[40]DCF_VDF!$B$6:$X$12</definedName>
    <definedName name="REV">#REF!</definedName>
    <definedName name="REVCO_ENTERPRISES_LTD">#REF!</definedName>
    <definedName name="REVCOST">#REF!</definedName>
    <definedName name="REVERSE">#REF!</definedName>
    <definedName name="reverse1">#REF!</definedName>
    <definedName name="reverse2">#REF!</definedName>
    <definedName name="revs96_q4">'[40]Model - US GAAP'!#REF!</definedName>
    <definedName name="revs97_q1">'[40]Model - US GAAP'!#REF!</definedName>
    <definedName name="revs97_q2">'[40]Model - US GAAP'!#REF!</definedName>
    <definedName name="revs97_q3">'[40]Model - US GAAP'!#REF!</definedName>
    <definedName name="revs97_q4">'[40]Model - US GAAP'!#REF!</definedName>
    <definedName name="RIZON_MILLENIUM_ENTERPRIZE">#REF!</definedName>
    <definedName name="RM_Rate_Q1">'[75]Yarn Rates'!$G$3:$M$43</definedName>
    <definedName name="RM_Rate_Q2">'[152]Yarn Rates'!#REF!</definedName>
    <definedName name="RM_Rate_Q3">'[152]Yarn Rates'!#REF!</definedName>
    <definedName name="RM_Rate_Q4">'[152]Yarn Rates'!#REF!</definedName>
    <definedName name="RMat">#REF!</definedName>
    <definedName name="RMnorms">#REF!</definedName>
    <definedName name="rmwcc">#REF!</definedName>
    <definedName name="rmwcc2">[74]WCL!#REF!</definedName>
    <definedName name="RNA_RESOURCES_LTD___BABYSHOP">#REF!</definedName>
    <definedName name="RNA_RESOURCES_LTD___HOME_CENTRE">#REF!</definedName>
    <definedName name="RNA_RESOURCES_LTD___LIFESTYLE">#REF!</definedName>
    <definedName name="RNA_RESOURCES_LTD___MAX">#REF!</definedName>
    <definedName name="RnD_expense_fore">[40]DCF_VDF!$E$11:$X$11</definedName>
    <definedName name="RnD_expense_growth_fore">[40]DCF_VDF!$H$156:$K$156</definedName>
    <definedName name="RnD_expenses_fore">[40]DCF_VDF!$E$11:$X$11</definedName>
    <definedName name="ROAE">[64]EquityTemplate!$A$47:$IV$47</definedName>
    <definedName name="roe">#REF!</definedName>
    <definedName name="ROSETTA_PRODUCTS_PTE._LTD.">#REF!</definedName>
    <definedName name="ROSS_PROCUREMENT__INC">#REF!</definedName>
    <definedName name="ROSS_STORE">#REF!</definedName>
    <definedName name="ROYALTON_TRADING_EST">#REF!</definedName>
    <definedName name="rrrr" hidden="1">{"'VALUATION'!$A$3:$R$266"}</definedName>
    <definedName name="RT">#REF!</definedName>
    <definedName name="RTO">#REF!</definedName>
    <definedName name="RUBY_HAS">#REF!</definedName>
    <definedName name="RUKAIYA_TRADING_CO.LLC">#REF!</definedName>
    <definedName name="RUSTA">#REF!</definedName>
    <definedName name="Rwvu.BTP." hidden="1">'[153]MDP&amp;L'!#REF!</definedName>
    <definedName name="Rwvu.TOTAL." hidden="1">'[153]MDP&amp;L'!#REF!</definedName>
    <definedName name="s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A">'[135]CPIPL JULY 04'!$A$3:$E$104</definedName>
    <definedName name="saa">#REF!</definedName>
    <definedName name="SAFAT_HOME_FOR_GENERAL_TRADING___CO">#REF!</definedName>
    <definedName name="SAINSBURY_S_SUPER_MARKET_LTD">#REF!</definedName>
    <definedName name="SAITEX_USA_INC">#REF!</definedName>
    <definedName name="Sale_entr">[154]LONGI_DAHEJ!$F$14</definedName>
    <definedName name="Sale_entr_1">[154]LONGI_DAHEJ!$F$14</definedName>
    <definedName name="saleprice_dom">#REF!</definedName>
    <definedName name="saleprice_exp">#REF!</definedName>
    <definedName name="Sales">'[113]P13-R'!#REF!</definedName>
    <definedName name="Sales_shen">[154]LONGI_DAHEJ!$G$14</definedName>
    <definedName name="Sales_shen_1">[154]LONGI_DAHEJ!$G$14</definedName>
    <definedName name="salesdata">#REF!</definedName>
    <definedName name="salesmix">#REF!</definedName>
    <definedName name="salesmix_no.s">#REF!</definedName>
    <definedName name="salwages">#REF!</definedName>
    <definedName name="SAM_S_BRAZIL">#REF!</definedName>
    <definedName name="SAM_S_MEXICO">#REF!</definedName>
    <definedName name="same">#REF!</definedName>
    <definedName name="Sams_China">#REF!</definedName>
    <definedName name="SAMS_CLUB">#REF!</definedName>
    <definedName name="Sap_927_Vdr">[155]Sap_927_Vdr!$A$2:$O$140</definedName>
    <definedName name="SAP7270401">#REF!</definedName>
    <definedName name="SARA_FOR_BUILDING_MATERIALS">#REF!</definedName>
    <definedName name="SARA_GENERAL_TRADING_ESTABLISHMENT">#REF!</definedName>
    <definedName name="SASWFD">'[156]DATA ENTRY-2'!#REF!</definedName>
    <definedName name="SAUDI_ARABIA_AGENCIES_COMPANY_SARA">#REF!</definedName>
    <definedName name="Saudi_Arabian_Tex._Co.">#REF!</definedName>
    <definedName name="Saudi_Arabian_Tex_Co.">#REF!</definedName>
    <definedName name="Saudi_Co.For_Hardware">#REF!</definedName>
    <definedName name="Saudi_House_Co_Ltd">#REF!</definedName>
    <definedName name="SB">[58]Assumption!$C$74</definedName>
    <definedName name="SBC">[59]DETAILS!#REF!</definedName>
    <definedName name="SCHEDULE_10_K_15">"print title"</definedName>
    <definedName name="SCICI">#REF!</definedName>
    <definedName name="sd">#REF!</definedName>
    <definedName name="SDC">[59]DETAILS!#REF!</definedName>
    <definedName name="SDCHIPS">#REF!</definedName>
    <definedName name="sdf">'[7]Excise on RM'!#REF!</definedName>
    <definedName name="sdfffd">#REF!</definedName>
    <definedName name="sdfgfjdj">#REF!</definedName>
    <definedName name="sdfgh">#REF!</definedName>
    <definedName name="sdfh">#REF!</definedName>
    <definedName name="SDGAGDSA">#REF!</definedName>
    <definedName name="SDKJBJASJA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EARS__ROEBUCK_AND_CO.">#REF!</definedName>
    <definedName name="Second">[65]IS_BS_US!$Q$4:$Y$299</definedName>
    <definedName name="Segment1_income_DCF">[40]DCF_VDF!$C$6:$BZ$6</definedName>
    <definedName name="Segment1_income_fore">[40]DCF_VDF!$E$4:$G$4</definedName>
    <definedName name="Segment1_income_growth_fore">[40]DCF_VDF!$H$50:$K$50</definedName>
    <definedName name="Segment2_income">[40]DCF_VDF!$C$6:$AZ$6</definedName>
    <definedName name="Segment2_income_DCF">[40]DCF_VDF!$C$7:$BZ$7</definedName>
    <definedName name="Segment2_income_fore">[40]DCF_VDF!$E$5:$G$5</definedName>
    <definedName name="Segment2_income_growth_fore">[40]DCF_VDF!$H$51:$K$51</definedName>
    <definedName name="SEIYU_PROCUREMENT_LTD">#REF!</definedName>
    <definedName name="SELECT_HOTELS_NZ_LTD">#REF!</definedName>
    <definedName name="SelectedData">[157]Network!#REF!</definedName>
    <definedName name="SelectSheet">[129]!SelectSheet</definedName>
    <definedName name="SELGROS_CASH___CARRY_SRL">#REF!</definedName>
    <definedName name="Selling_Prices">'[158]Kohl''s Bigone'!#REF!</definedName>
    <definedName name="sellinpm">'[74]p&amp;l'!#REF!</definedName>
    <definedName name="SEMIBRT">#REF!</definedName>
    <definedName name="SEMIDULL">#REF!</definedName>
    <definedName name="sencount" hidden="1">1</definedName>
    <definedName name="Seneca_Textile_Ltd.">#REF!</definedName>
    <definedName name="Seneca_Textiles_Limited__Australia">#REF!</definedName>
    <definedName name="SEP">#REF!</definedName>
    <definedName name="SEPT">#REF!</definedName>
    <definedName name="setup">'[93]Sales - Total'!$D$149</definedName>
    <definedName name="seven">[65]IS_BS_US!$Q$63:$Y$118</definedName>
    <definedName name="sew">[77]SEWING!#REF!</definedName>
    <definedName name="sFreq">[40]DCF_VDF!$AQ$5</definedName>
    <definedName name="SGA">[40]DCF_VDF!$C$12:$AE$12</definedName>
    <definedName name="SGA_fore">[40]DCF_VDF!$E$10:$X$10</definedName>
    <definedName name="SGA_growth">[40]DCF_VDF!#REF!</definedName>
    <definedName name="SGA_growth_avg">[40]DCF_VDF!$B$141</definedName>
    <definedName name="SGA_growth_fore">[40]DCF_VDF!$H$53:$K$53</definedName>
    <definedName name="SGA_margin_fore">[40]DCF_VDF!#REF!</definedName>
    <definedName name="shadewise_sales">'[159]Shadewise Sales'!$K$4:$Y$106</definedName>
    <definedName name="Shanghai_Chaojie_SmartLink_Technolo">#REF!</definedName>
    <definedName name="Shanghai_Minhang_Costco_Trading_Co.">#REF!</definedName>
    <definedName name="SHANGHAI_SEPTWOLVES_HOUSEWARE_CO.LT">#REF!</definedName>
    <definedName name="SHARED_FORMULA_0">#N/A</definedName>
    <definedName name="Shares_fore">[40]DCF_VDF!$E$41:$W$41</definedName>
    <definedName name="Shares_growth">[40]DCF_VDF!$M$151:$Q$151</definedName>
    <definedName name="Shares_growth_fore">[40]DCF_VDF!$E$59:$W$59</definedName>
    <definedName name="SHEET">[160]PAGE14!#REF!</definedName>
    <definedName name="SHEET1">'[161]TA-325TC-564'!$I$6:$I$48</definedName>
    <definedName name="SHEET2">[160]PAGE14!#REF!</definedName>
    <definedName name="SHEET3">[160]PAGE14!#REF!</definedName>
    <definedName name="SHEET5">[160]PAGE14!#REF!</definedName>
    <definedName name="SHEET6">[160]PAGE14!#REF!</definedName>
    <definedName name="Shenzhen_Fuanna___Bed._Furnishing_C">#REF!</definedName>
    <definedName name="SHERIDAN_AUSTRALIA_PTY">#REF!</definedName>
    <definedName name="SHERIDAN_GROUP">#REF!</definedName>
    <definedName name="SHERIDAN_UK_LTD_C_O_3PL_–_TFH">#REF!</definedName>
    <definedName name="SHOPKO_STORES__INC.">#REF!</definedName>
    <definedName name="SHUFERSAL_LTD">#REF!</definedName>
    <definedName name="SIA__DO_IT">#REF!</definedName>
    <definedName name="SIA_DO_IT">#REF!</definedName>
    <definedName name="Signature_CG_Holding_Limited">#REF!</definedName>
    <definedName name="six">[65]IS_BS_US!$C$301:$Y$395</definedName>
    <definedName name="SLEEPWELL_INDUSTRIES_CO._LTD.">#REF!</definedName>
    <definedName name="SMART_TECH_TRADING_IKE">#REF!</definedName>
    <definedName name="SN">[58]Assumption!$C$78</definedName>
    <definedName name="SOK_INEX_PARTNERS_OY">#REF!</definedName>
    <definedName name="SOL_Organics">#REF!</definedName>
    <definedName name="solver_adj" hidden="1">'[162]G&amp;A'!#REF!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340</definedName>
    <definedName name="SOME_INC">#REF!</definedName>
    <definedName name="Space_Furnishing">[45]Sheet3!$B$7</definedName>
    <definedName name="Space_Furnishing_97">[45]Sheet3!$C$7</definedName>
    <definedName name="Spain">[70]Opex!$B$4:$V$13</definedName>
    <definedName name="SPEND">#REF!</definedName>
    <definedName name="SR_INTERNATIONAL_TRADING_CORPORATIO">#REF!</definedName>
    <definedName name="srf">[163]incst_pyr0001!$A$2:$C$57</definedName>
    <definedName name="SS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sss">#REF!</definedName>
    <definedName name="ssss">'[18]MASTER-01st qtr-packinggl'!$C$4:$C$13640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>#REF!</definedName>
    <definedName name="ssssssqqq">#REF!</definedName>
    <definedName name="sssssss">#REF!</definedName>
    <definedName name="ST_DIFF">#REF!</definedName>
    <definedName name="sTable">[40]DCF_VDF!$AJ$2:$AQ$11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RNTEX_TRADING__LTD">#REF!</definedName>
    <definedName name="stk">#REF!</definedName>
    <definedName name="STKDATA">'[164]Data Download'!$A$9:$GZ$84</definedName>
    <definedName name="Stock_Price">[43]Assumptions!$B$38</definedName>
    <definedName name="stock_status01">#REF!</definedName>
    <definedName name="stock_status2001">#REF!</definedName>
    <definedName name="stockdata">#REF!</definedName>
    <definedName name="STOCKVALUE">#REF!</definedName>
    <definedName name="STORE">[165]Original!#REF!</definedName>
    <definedName name="STRM_EBITDA95">[57]Backup!#REF!</definedName>
    <definedName name="STRM_EBITDA95_m">[57]Backup!#REF!</definedName>
    <definedName name="STRM_EBITDA96">[57]Backup!#REF!</definedName>
    <definedName name="STRM_EBITDA96_m">[57]Backup!#REF!</definedName>
    <definedName name="STRM_equity_mcap">[57]Backup!#REF!</definedName>
    <definedName name="STRM_lev_mcap">[57]Backup!#REF!</definedName>
    <definedName name="STRM_total_dt">[57]Backup!#REF!</definedName>
    <definedName name="structure">[166]structure!#REF!</definedName>
    <definedName name="SUBRT">#REF!</definedName>
    <definedName name="sude">#REF!</definedName>
    <definedName name="sugar">'[167]debt schedule'!#REF!</definedName>
    <definedName name="SULTAN_FURNISHING_CO._LTD">#REF!</definedName>
    <definedName name="SUMM">#REF!</definedName>
    <definedName name="summary">#REF!</definedName>
    <definedName name="Summary_FA">#REF!</definedName>
    <definedName name="SUNFLOW__INC._GREG_BESNER">#REF!</definedName>
    <definedName name="Suomen_Osuuskauppojen_Keskuskunta">#REF!</definedName>
    <definedName name="SUPER_LTD.">#REF!</definedName>
    <definedName name="Supermercados_Internacionales_HEB">#REF!</definedName>
    <definedName name="SWISS_SENSE">#REF!</definedName>
    <definedName name="synergiesY1">[42]Inputs!$X$10</definedName>
    <definedName name="synergiesY2">[42]Inputs!$X$11</definedName>
    <definedName name="synergiesY3">[42]Inputs!$X$12</definedName>
    <definedName name="sysPWORD">[36]systems!#REF!</definedName>
    <definedName name="T">#REF!</definedName>
    <definedName name="T_52_wk">[57]Input!#REF!</definedName>
    <definedName name="T_beta">[57]Input!#REF!</definedName>
    <definedName name="T_curr">[57]Input!#REF!</definedName>
    <definedName name="T_dil_shares">[57]Backup!#REF!</definedName>
    <definedName name="T_EBITDA95">[57]Backup!#REF!</definedName>
    <definedName name="T_EBITDA95_m">[57]Backup!#REF!</definedName>
    <definedName name="T_EBITDA95_res">[57]Input!#REF!</definedName>
    <definedName name="T_EBITDA96">[57]Backup!#REF!</definedName>
    <definedName name="T_EBITDA96_m">[57]Backup!#REF!</definedName>
    <definedName name="T_EBITDA96_res">[57]Input!#REF!</definedName>
    <definedName name="T_eps95">[57]Input!#REF!</definedName>
    <definedName name="T_eps96">[57]Input!#REF!</definedName>
    <definedName name="T_eps97">[57]Input!#REF!</definedName>
    <definedName name="T_equity_mcap">[57]Backup!#REF!</definedName>
    <definedName name="T_J_MAXX_UK">#REF!</definedName>
    <definedName name="T_lev_mcap">[57]Backup!#REF!</definedName>
    <definedName name="T_M">#REF!</definedName>
    <definedName name="T_pr">[57]Input!#REF!</definedName>
    <definedName name="T_T">#REF!</definedName>
    <definedName name="T_ticker">[57]Input!#REF!</definedName>
    <definedName name="T_total_dt">[57]Backup!#REF!</definedName>
    <definedName name="TA">#REF!</definedName>
    <definedName name="tad">#REF!</definedName>
    <definedName name="TAJ_TASHI">#REF!</definedName>
    <definedName name="TAL_LANKA_HOTELS_PLC.">#REF!</definedName>
    <definedName name="TARAGAON_REGENCY_HOTELS_LTD.">#REF!</definedName>
    <definedName name="TARGET_STORES">#REF!</definedName>
    <definedName name="TAX">#REF!</definedName>
    <definedName name="Tax_Rate">[119]Consolidated!#REF!</definedName>
    <definedName name="taxdepr">#REF!</definedName>
    <definedName name="taxliab">#REF!</definedName>
    <definedName name="TBMAY04">'[168]Income (2)'!$B$146:$I$175</definedName>
    <definedName name="TBTable">'[56]TB-Bud'!$A$11:$Y$133</definedName>
    <definedName name="TDAYS">'[59]Total P&amp;L'!#REF!</definedName>
    <definedName name="TDS">#REF!</definedName>
    <definedName name="te">#REF!</definedName>
    <definedName name="TEA">#REF!</definedName>
    <definedName name="TEAA">#REF!</definedName>
    <definedName name="TEAB">#REF!</definedName>
    <definedName name="TEAC">#REF!</definedName>
    <definedName name="TEAD">#REF!</definedName>
    <definedName name="TEAE">#REF!</definedName>
    <definedName name="TEAF">#REF!</definedName>
    <definedName name="TEAG">#REF!</definedName>
    <definedName name="TEAH">#REF!</definedName>
    <definedName name="TEAI">#REF!</definedName>
    <definedName name="TEAJ">#REF!</definedName>
    <definedName name="TEAK">#REF!</definedName>
    <definedName name="TEAL">#REF!</definedName>
    <definedName name="TEAM">#REF!</definedName>
    <definedName name="TEAN">#REF!</definedName>
    <definedName name="TEAO">#REF!</definedName>
    <definedName name="TEAP">#REF!</definedName>
    <definedName name="TEAQ">#REF!</definedName>
    <definedName name="TEAR">#REF!</definedName>
    <definedName name="TEAS">#REF!</definedName>
    <definedName name="TEAT">#REF!</definedName>
    <definedName name="TEAU">#REF!</definedName>
    <definedName name="TEAV">#REF!</definedName>
    <definedName name="TEAW">#REF!</definedName>
    <definedName name="TEB">#REF!</definedName>
    <definedName name="TEC">[51]Sheet2!$A$9:$E$247</definedName>
    <definedName name="TECH">#N/A</definedName>
    <definedName name="TED">#REF!</definedName>
    <definedName name="TEE">#REF!</definedName>
    <definedName name="TEF">#REF!</definedName>
    <definedName name="TEG">#REF!</definedName>
    <definedName name="TEH">#REF!</definedName>
    <definedName name="TEI">#REF!</definedName>
    <definedName name="TEJ">#REF!</definedName>
    <definedName name="TEK">#REF!</definedName>
    <definedName name="TEL">#REF!</definedName>
    <definedName name="TEM">#REF!</definedName>
    <definedName name="ten">[65]IS_BS_US!$Q$240:$Y$299</definedName>
    <definedName name="TEND">#REF!</definedName>
    <definedName name="TEO">#REF!</definedName>
    <definedName name="TEP">#REF!</definedName>
    <definedName name="TEQ">#REF!</definedName>
    <definedName name="TER">#REF!</definedName>
    <definedName name="TERRYTOWEL">[5]Input_B_V!$A$25</definedName>
    <definedName name="TES">#REF!</definedName>
    <definedName name="Tesco_International_Clothing_Brand">#REF!</definedName>
    <definedName name="TESCO_INTERNATIONAL_CLOTHING_BRANDS">#REF!</definedName>
    <definedName name="TESCO_STORES_LIMITED">#REF!</definedName>
    <definedName name="test">#REF!</definedName>
    <definedName name="TEST0">#REF!</definedName>
    <definedName name="TEST0_10">#REF!</definedName>
    <definedName name="TEST0_11">#REF!</definedName>
    <definedName name="TEST0_4">#REF!</definedName>
    <definedName name="TEST0_46">#REF!</definedName>
    <definedName name="TEST0_5">#REF!</definedName>
    <definedName name="TEST0_6">#REF!</definedName>
    <definedName name="TEST0_7">#REF!</definedName>
    <definedName name="TEST0_8">#REF!</definedName>
    <definedName name="TEST0_9">#REF!</definedName>
    <definedName name="TEST1">#REF!</definedName>
    <definedName name="TEST1_10">#REF!</definedName>
    <definedName name="TEST1_11">#REF!</definedName>
    <definedName name="TEST1_4">#REF!</definedName>
    <definedName name="TEST1_46">[81]WEFT!#REF!</definedName>
    <definedName name="TEST1_5">#REF!</definedName>
    <definedName name="TEST1_6">#REF!</definedName>
    <definedName name="TEST1_7">#REF!</definedName>
    <definedName name="TEST1_8">#REF!</definedName>
    <definedName name="TEST1_9">#REF!</definedName>
    <definedName name="TEST10">'[169]All Loc'!#REF!</definedName>
    <definedName name="TEST10_10">#REF!</definedName>
    <definedName name="TEST10_11">#REF!</definedName>
    <definedName name="TEST10_4">#REF!</definedName>
    <definedName name="TEST10_5">#REF!</definedName>
    <definedName name="TEST10_6">#REF!</definedName>
    <definedName name="TEST10_7">#REF!</definedName>
    <definedName name="TEST10_8">#REF!</definedName>
    <definedName name="TEST10_9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_10">#REF!</definedName>
    <definedName name="TEST11_11">#REF!</definedName>
    <definedName name="TEST11_4">#REF!</definedName>
    <definedName name="TEST11_5">#REF!</definedName>
    <definedName name="TEST11_6">#REF!</definedName>
    <definedName name="TEST11_7">#REF!</definedName>
    <definedName name="TEST11_8">#REF!</definedName>
    <definedName name="TEST11_9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'[169]All Loc'!#REF!</definedName>
    <definedName name="TEST12_10">#REF!</definedName>
    <definedName name="TEST12_11">#REF!</definedName>
    <definedName name="TEST12_4">#REF!</definedName>
    <definedName name="TEST12_5">#REF!</definedName>
    <definedName name="TEST12_6">#REF!</definedName>
    <definedName name="TEST12_7">#REF!</definedName>
    <definedName name="TEST12_8">#REF!</definedName>
    <definedName name="TEST12_9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[170]Sheet1!#REF!</definedName>
    <definedName name="TEST13_10">#REF!</definedName>
    <definedName name="TEST13_11">#REF!</definedName>
    <definedName name="TEST13_4">#REF!</definedName>
    <definedName name="TEST13_5">#REF!</definedName>
    <definedName name="TEST13_6">#REF!</definedName>
    <definedName name="TEST13_7">#REF!</definedName>
    <definedName name="TEST13_8">#REF!</definedName>
    <definedName name="TEST13_9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_10">#REF!</definedName>
    <definedName name="TEST14_11">#REF!</definedName>
    <definedName name="TEST14_4">#REF!</definedName>
    <definedName name="TEST14_5">#REF!</definedName>
    <definedName name="TEST14_6">#REF!</definedName>
    <definedName name="TEST14_7">#REF!</definedName>
    <definedName name="TEST14_8">#REF!</definedName>
    <definedName name="TEST14_9">#REF!</definedName>
    <definedName name="TEST140">#REF!</definedName>
    <definedName name="TEST141">#REF!</definedName>
    <definedName name="TEST142">#REF!</definedName>
    <definedName name="TEST143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0">#REF!</definedName>
    <definedName name="TEST2_11">#REF!</definedName>
    <definedName name="TEST2_4">#REF!</definedName>
    <definedName name="TEST2_46">[81]WEFT!#REF!</definedName>
    <definedName name="TEST2_5">#REF!</definedName>
    <definedName name="TEST2_6">#REF!</definedName>
    <definedName name="TEST2_7">#REF!</definedName>
    <definedName name="TEST2_8">#REF!</definedName>
    <definedName name="TEST2_9">#REF!</definedName>
    <definedName name="TEST20">#REF!</definedName>
    <definedName name="TEST20_10">'[171]3150'!#REF!</definedName>
    <definedName name="TEST20_11">'[171]3150'!#REF!</definedName>
    <definedName name="TEST20_4">'[171]3150'!#REF!</definedName>
    <definedName name="TEST20_5">'[171]3150'!#REF!</definedName>
    <definedName name="TEST20_6">'[171]3150'!#REF!</definedName>
    <definedName name="TEST20_7">'[171]3150'!#REF!</definedName>
    <definedName name="TEST20_8">'[171]3150'!#REF!</definedName>
    <definedName name="TEST20_9">'[171]3150'!#REF!</definedName>
    <definedName name="TEST21">#REF!</definedName>
    <definedName name="TEST21_10">'[171]3150'!#REF!</definedName>
    <definedName name="TEST21_11">'[171]3150'!#REF!</definedName>
    <definedName name="TEST21_4">'[171]3150'!#REF!</definedName>
    <definedName name="TEST21_5">'[171]3150'!#REF!</definedName>
    <definedName name="TEST21_6">'[171]3150'!#REF!</definedName>
    <definedName name="TEST21_7">'[171]3150'!#REF!</definedName>
    <definedName name="TEST21_8">'[171]3150'!#REF!</definedName>
    <definedName name="TEST21_9">'[171]3150'!#REF!</definedName>
    <definedName name="TEST22">#REF!</definedName>
    <definedName name="TEST22_10">'[171]3150'!#REF!</definedName>
    <definedName name="TEST22_11">'[171]3150'!#REF!</definedName>
    <definedName name="TEST22_4">'[171]3150'!#REF!</definedName>
    <definedName name="TEST22_5">'[171]3150'!#REF!</definedName>
    <definedName name="TEST22_6">'[171]3150'!#REF!</definedName>
    <definedName name="TEST22_7">'[171]3150'!#REF!</definedName>
    <definedName name="TEST22_8">'[171]3150'!#REF!</definedName>
    <definedName name="TEST22_9">'[171]3150'!#REF!</definedName>
    <definedName name="TEST23">#REF!</definedName>
    <definedName name="TEST23_10">'[171]3150'!#REF!</definedName>
    <definedName name="TEST23_11">'[171]3150'!#REF!</definedName>
    <definedName name="TEST23_4">'[171]3150'!#REF!</definedName>
    <definedName name="TEST23_5">'[171]3150'!#REF!</definedName>
    <definedName name="TEST23_6">'[171]3150'!#REF!</definedName>
    <definedName name="TEST23_7">'[171]3150'!#REF!</definedName>
    <definedName name="TEST23_8">'[171]3150'!#REF!</definedName>
    <definedName name="TEST23_9">'[171]3150'!#REF!</definedName>
    <definedName name="TEST24">'[169]All Loc'!#REF!</definedName>
    <definedName name="TEST25">#REF!</definedName>
    <definedName name="TEST26">#REF!</definedName>
    <definedName name="TEST27">#REF!</definedName>
    <definedName name="TEST28">#REF!</definedName>
    <definedName name="TEST29">'[169]All Loc'!#REF!</definedName>
    <definedName name="TEST3">#REF!</definedName>
    <definedName name="TEST3_10">#REF!</definedName>
    <definedName name="TEST3_11">#REF!</definedName>
    <definedName name="TEST3_4">#REF!</definedName>
    <definedName name="TEST3_46">[81]WEFT!#REF!</definedName>
    <definedName name="TEST3_5">#REF!</definedName>
    <definedName name="TEST3_6">#REF!</definedName>
    <definedName name="TEST3_7">#REF!</definedName>
    <definedName name="TEST3_8">#REF!</definedName>
    <definedName name="TEST3_9">#REF!</definedName>
    <definedName name="TEST30">'[172]Exc 7200Total Stock'!#REF!</definedName>
    <definedName name="TEST31">#REF!</definedName>
    <definedName name="TEST32">#REF!</definedName>
    <definedName name="TEST33">#REF!</definedName>
    <definedName name="TEST34">#REF!</definedName>
    <definedName name="TEST35">[173]Stock!#REF!</definedName>
    <definedName name="TEST36">'[172]Exc 7200Total Stock'!#REF!</definedName>
    <definedName name="TEST37">'[172]Exc 7200Total Stock'!#REF!</definedName>
    <definedName name="TEST38">[173]Stock!#REF!</definedName>
    <definedName name="TEST39">[170]Sheet1!#REF!</definedName>
    <definedName name="TEST4">#REF!</definedName>
    <definedName name="TEST4_10">#REF!</definedName>
    <definedName name="TEST4_11">#REF!</definedName>
    <definedName name="TEST4_4">#REF!</definedName>
    <definedName name="TEST4_5">#REF!</definedName>
    <definedName name="TEST4_6">#REF!</definedName>
    <definedName name="TEST4_7">#REF!</definedName>
    <definedName name="TEST4_8">#REF!</definedName>
    <definedName name="TEST4_9">#REF!</definedName>
    <definedName name="TEST40">#REF!</definedName>
    <definedName name="TEST41">#REF!</definedName>
    <definedName name="TEST42">#REF!</definedName>
    <definedName name="TEST43">'[172]Exc 7200Total Stock'!#REF!</definedName>
    <definedName name="TEST44">#REF!</definedName>
    <definedName name="TEST45">[174]Stock!#REF!</definedName>
    <definedName name="TEST46">[170]Sheet1!#REF!</definedName>
    <definedName name="TEST47">#REF!</definedName>
    <definedName name="TEST48">#REF!</definedName>
    <definedName name="TEST49">#REF!</definedName>
    <definedName name="TEST5">#REF!</definedName>
    <definedName name="TEST5_10">#REF!</definedName>
    <definedName name="TEST5_11">#REF!</definedName>
    <definedName name="TEST5_4">#REF!</definedName>
    <definedName name="TEST5_5">#REF!</definedName>
    <definedName name="TEST5_6">#REF!</definedName>
    <definedName name="TEST5_7">#REF!</definedName>
    <definedName name="TEST5_8">#REF!</definedName>
    <definedName name="TEST5_9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_10">#REF!</definedName>
    <definedName name="TEST6_11">#REF!</definedName>
    <definedName name="TEST6_4">#REF!</definedName>
    <definedName name="TEST6_5">#REF!</definedName>
    <definedName name="TEST6_6">#REF!</definedName>
    <definedName name="TEST6_7">#REF!</definedName>
    <definedName name="TEST6_8">#REF!</definedName>
    <definedName name="TEST6_9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_10">#REF!</definedName>
    <definedName name="TEST7_11">#REF!</definedName>
    <definedName name="TEST7_4">#REF!</definedName>
    <definedName name="TEST7_5">#REF!</definedName>
    <definedName name="TEST7_6">#REF!</definedName>
    <definedName name="TEST7_7">#REF!</definedName>
    <definedName name="TEST7_8">#REF!</definedName>
    <definedName name="TEST7_9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'[169]All Loc'!#REF!</definedName>
    <definedName name="TEST8_10">#REF!</definedName>
    <definedName name="TEST8_11">#REF!</definedName>
    <definedName name="TEST8_4">#REF!</definedName>
    <definedName name="TEST8_5">#REF!</definedName>
    <definedName name="TEST8_6">#REF!</definedName>
    <definedName name="TEST8_7">#REF!</definedName>
    <definedName name="TEST8_8">#REF!</definedName>
    <definedName name="TEST8_9">#REF!</definedName>
    <definedName name="TEST80">#REF!</definedName>
    <definedName name="TEST81">#REF!</definedName>
    <definedName name="TEST82">'[17]PACKING GL MAY-07'!#REF!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'[172]Exc 7200Total Stock'!#REF!</definedName>
    <definedName name="TEST9_10">#REF!</definedName>
    <definedName name="TEST9_11">#REF!</definedName>
    <definedName name="TEST9_4">#REF!</definedName>
    <definedName name="TEST9_5">#REF!</definedName>
    <definedName name="TEST9_6">#REF!</definedName>
    <definedName name="TEST9_7">#REF!</definedName>
    <definedName name="TEST9_8">#REF!</definedName>
    <definedName name="TEST9_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er">[98]webout!#REF!</definedName>
    <definedName name="TESTHKEY">#REF!</definedName>
    <definedName name="TESTHKEY_10">#REF!</definedName>
    <definedName name="TESTHKEY_11">#REF!</definedName>
    <definedName name="TESTHKEY_30">#REF!</definedName>
    <definedName name="TESTHKEY_4">#REF!</definedName>
    <definedName name="TESTHKEY_46">#REF!</definedName>
    <definedName name="TESTHKEY_5">#REF!</definedName>
    <definedName name="TESTHKEY_6">#REF!</definedName>
    <definedName name="TESTHKEY_7">#REF!</definedName>
    <definedName name="TESTHKEY_8">#REF!</definedName>
    <definedName name="TESTHKEY_9">#REF!</definedName>
    <definedName name="TESTKEYS">#REF!</definedName>
    <definedName name="TESTKEYS_10">#REF!</definedName>
    <definedName name="TESTKEYS_11">#REF!</definedName>
    <definedName name="TESTKEYS_30">#REF!</definedName>
    <definedName name="TESTKEYS_4">#REF!</definedName>
    <definedName name="TESTKEYS_46">#REF!</definedName>
    <definedName name="TESTKEYS_5">#REF!</definedName>
    <definedName name="TESTKEYS_6">#REF!</definedName>
    <definedName name="TESTKEYS_7">#REF!</definedName>
    <definedName name="TESTKEYS_8">#REF!</definedName>
    <definedName name="TESTKEYS_9">#REF!</definedName>
    <definedName name="TESTVKEY">#REF!</definedName>
    <definedName name="TESTVKEY_10">#REF!</definedName>
    <definedName name="TESTVKEY_11">#REF!</definedName>
    <definedName name="TESTVKEY_4">#REF!</definedName>
    <definedName name="TESTVKEY_46">#REF!</definedName>
    <definedName name="TESTVKEY_5">#REF!</definedName>
    <definedName name="TESTVKEY_6">#REF!</definedName>
    <definedName name="TESTVKEY_7">#REF!</definedName>
    <definedName name="TESTVKEY_8">#REF!</definedName>
    <definedName name="TESTVKEY_9">#REF!</definedName>
    <definedName name="TET">#REF!</definedName>
    <definedName name="TEU">#REF!</definedName>
    <definedName name="TEV">#REF!</definedName>
    <definedName name="TEW">#REF!</definedName>
    <definedName name="tex">#REF!</definedName>
    <definedName name="TEX_IDEA">#REF!</definedName>
    <definedName name="TEXET">#REF!</definedName>
    <definedName name="Texnorte_Industrial_Limited">#REF!</definedName>
    <definedName name="TEXRLT">#REF!</definedName>
    <definedName name="TEXTLT">#REF!</definedName>
    <definedName name="TEXTURISING">[5]Input_B_V!$A$47</definedName>
    <definedName name="Texvista_International_Pte_Ltd">#REF!</definedName>
    <definedName name="TEY">#REF!</definedName>
    <definedName name="TEZ">#REF!</definedName>
    <definedName name="THANVI__SONS">#REF!</definedName>
    <definedName name="Thanvi_and_Sons">#REF!</definedName>
    <definedName name="THAT_S_LIVING">#REF!</definedName>
    <definedName name="The_Home_Depot_of_Canada_Inc.">#REF!</definedName>
    <definedName name="The_Oberoi_Beach_Resort_Al_Zorah">#REF!</definedName>
    <definedName name="The_Oberoi_Hotels">#REF!</definedName>
    <definedName name="THE_SULTAN_CENTER">#REF!</definedName>
    <definedName name="The_Warehouse_Limited">#REF!</definedName>
    <definedName name="THINK_SOURCING_LLC">#REF!</definedName>
    <definedName name="This_I_mail_to__Patwerdhan_Karulker_Kelkar_on_08_10_01">#REF!</definedName>
    <definedName name="THOMAS_TEXTILES">#REF!</definedName>
    <definedName name="thousandtolacs">#REF!</definedName>
    <definedName name="three">[65]IS_BS_US!$C$121:$Y$177</definedName>
    <definedName name="TJX_UK">#REF!</definedName>
    <definedName name="TKmaxx">#REF!</definedName>
    <definedName name="tmbarmc">#REF!</definedName>
    <definedName name="tmbasp">#REF!</definedName>
    <definedName name="tmprmc">#REF!</definedName>
    <definedName name="tmpsp">#REF!</definedName>
    <definedName name="TMTable">'[56]TM-Bud'!$A$11:$Y$133</definedName>
    <definedName name="tolerance">[175]parametros!$P$41</definedName>
    <definedName name="tolneg">[176]Note!$E$3</definedName>
    <definedName name="top_customers">#REF!</definedName>
    <definedName name="TOPSHEET">#REF!</definedName>
    <definedName name="TOTADJ">#REF!</definedName>
    <definedName name="Total">#REF!</definedName>
    <definedName name="totalsales_MT">#REF!</definedName>
    <definedName name="totalsales_no.s">#REF!</definedName>
    <definedName name="TotalsalesNo.s">#REF!</definedName>
    <definedName name="TQ">'[48]Perf Target'!$D$88</definedName>
    <definedName name="TRA">#REF!</definedName>
    <definedName name="TRAA">#REF!</definedName>
    <definedName name="TRAB">#REF!</definedName>
    <definedName name="TRAC">#REF!</definedName>
    <definedName name="TRAD">#REF!</definedName>
    <definedName name="TRADE_CONCEPT_S.R.O.">#REF!</definedName>
    <definedName name="Trade_Linker_International_Inc.">#REF!</definedName>
    <definedName name="TRAE">#REF!</definedName>
    <definedName name="TRAF">#REF!</definedName>
    <definedName name="TRAG">#REF!</definedName>
    <definedName name="TRAH">#REF!</definedName>
    <definedName name="TRAI">#REF!</definedName>
    <definedName name="trail">#REF!</definedName>
    <definedName name="TRAJ">#REF!</definedName>
    <definedName name="TRAK">#REF!</definedName>
    <definedName name="TRAL">#REF!</definedName>
    <definedName name="TRAM">#REF!</definedName>
    <definedName name="TRAN">#REF!</definedName>
    <definedName name="TRAO">#REF!</definedName>
    <definedName name="TRAP">#REF!</definedName>
    <definedName name="TRAQ">#REF!</definedName>
    <definedName name="TRAS">#REF!</definedName>
    <definedName name="TRAT">#REF!</definedName>
    <definedName name="TRAU">#REF!</definedName>
    <definedName name="TRAV">#REF!</definedName>
    <definedName name="TRAW">#REF!</definedName>
    <definedName name="TRAX">#REF!</definedName>
    <definedName name="TRAY">#REF!</definedName>
    <definedName name="TRB">#REF!</definedName>
    <definedName name="TRC">#REF!</definedName>
    <definedName name="TRD">#REF!</definedName>
    <definedName name="TRE">#REF!</definedName>
    <definedName name="treas">#REF!</definedName>
    <definedName name="trend" hidden="1">{#N/A,#N/A,FALSE,"Aging Summary";#N/A,#N/A,FALSE,"Ratio Analysis";#N/A,#N/A,FALSE,"Test 120 Day Accts";#N/A,#N/A,FALSE,"Tickmarks"}</definedName>
    <definedName name="Trendsetter_Home_Furnishings_Limite">#REF!</definedName>
    <definedName name="TRF">#REF!</definedName>
    <definedName name="TRG">#REF!</definedName>
    <definedName name="TRH">#REF!</definedName>
    <definedName name="TRI">#REF!</definedName>
    <definedName name="TRJ">#REF!</definedName>
    <definedName name="TRK">#REF!</definedName>
    <definedName name="TRL">#REF!</definedName>
    <definedName name="TRM">#REF!</definedName>
    <definedName name="TRN">#REF!</definedName>
    <definedName name="TRO">#REF!</definedName>
    <definedName name="TRP">#REF!</definedName>
    <definedName name="TRQ">#REF!</definedName>
    <definedName name="TRS">#REF!</definedName>
    <definedName name="TRT">#REF!</definedName>
    <definedName name="TRU">#REF!</definedName>
    <definedName name="TRUE_MARKETING_FZE">#REF!</definedName>
    <definedName name="TrueCheck">[177]Sheet2!$A$1:$A$2</definedName>
    <definedName name="TRV">#REF!</definedName>
    <definedName name="TRW">#REF!</definedName>
    <definedName name="TRX">#REF!</definedName>
    <definedName name="try">[31]data!$B$43:$O$79</definedName>
    <definedName name="TRZ">#REF!</definedName>
    <definedName name="TTA">#REF!</definedName>
    <definedName name="TTAA">#REF!</definedName>
    <definedName name="TTAB">#REF!</definedName>
    <definedName name="TTAC">#REF!</definedName>
    <definedName name="TTAD">#REF!</definedName>
    <definedName name="TTAE">#REF!</definedName>
    <definedName name="TTAF">#REF!</definedName>
    <definedName name="TTAG">#REF!</definedName>
    <definedName name="TTAH">#REF!</definedName>
    <definedName name="TTAI">#REF!</definedName>
    <definedName name="TTAJ">#REF!</definedName>
    <definedName name="TTAK">#REF!</definedName>
    <definedName name="TTAL">#REF!</definedName>
    <definedName name="TTAM">#REF!</definedName>
    <definedName name="TTAN">#REF!</definedName>
    <definedName name="TTAO">#REF!</definedName>
    <definedName name="TTAP">#REF!</definedName>
    <definedName name="TTAQ">#REF!</definedName>
    <definedName name="TTAR">#REF!</definedName>
    <definedName name="TTAS">#REF!</definedName>
    <definedName name="TTAT">#REF!</definedName>
    <definedName name="TTAU">#REF!</definedName>
    <definedName name="TTAV">#REF!</definedName>
    <definedName name="TTAW">#REF!</definedName>
    <definedName name="TTB">#REF!</definedName>
    <definedName name="TTC">#REF!</definedName>
    <definedName name="TTD">#REF!</definedName>
    <definedName name="TTE">#REF!</definedName>
    <definedName name="TTF">#REF!</definedName>
    <definedName name="TTG">#REF!</definedName>
    <definedName name="TTH">#REF!</definedName>
    <definedName name="TTI">#REF!</definedName>
    <definedName name="TTJ">#REF!</definedName>
    <definedName name="TTK">#REF!</definedName>
    <definedName name="TTL">#REF!</definedName>
    <definedName name="TTM">#REF!</definedName>
    <definedName name="TTN">#REF!</definedName>
    <definedName name="TTO">#REF!</definedName>
    <definedName name="TTP">#REF!</definedName>
    <definedName name="TTQ">#REF!</definedName>
    <definedName name="TTR">#REF!</definedName>
    <definedName name="TTS">#REF!</definedName>
    <definedName name="TTT">#REF!</definedName>
    <definedName name="TTU">#REF!</definedName>
    <definedName name="TTV">#REF!</definedName>
    <definedName name="TTW">#REF!</definedName>
    <definedName name="TTX">#REF!</definedName>
    <definedName name="TTY">#REF!</definedName>
    <definedName name="TTZ">#REF!</definedName>
    <definedName name="TUESDAY_MORNING_PARTNERS_LTD">#REF!</definedName>
    <definedName name="TW">'[48]Perf Target'!$D$80</definedName>
    <definedName name="two">[65]IS_BS_US!$C$82:$Y$119</definedName>
    <definedName name="Type">[178]Validation!$A$1:$A$15</definedName>
    <definedName name="Type_6">[179]Reference2!$D$9</definedName>
    <definedName name="Type_7">[179]Reference2!$D$10</definedName>
    <definedName name="Type_of_Vehicle">#REF!+#REF!</definedName>
    <definedName name="typewise_SP">'[101]Sales inputs '!#REF!</definedName>
    <definedName name="U_K_C_VENTURES_PVT_LTD">#REF!</definedName>
    <definedName name="U30a57">#REF!</definedName>
    <definedName name="UAB_BALTIJOS_DIDMENA__MEMBERSHOP">#REF!</definedName>
    <definedName name="United_Homeware_Company___NICE">#REF!</definedName>
    <definedName name="Untitled">#REF!</definedName>
    <definedName name="unvouchered">#REF!</definedName>
    <definedName name="upfront">[180]Input!$A$1</definedName>
    <definedName name="URBAN_VILLE_INC">#REF!</definedName>
    <definedName name="US">#N/A</definedName>
    <definedName name="usd">#REF!</definedName>
    <definedName name="usdinr">#REF!</definedName>
    <definedName name="UserList">[36]systems!#REF!</definedName>
    <definedName name="userPWORD">[36]systems!#REF!</definedName>
    <definedName name="USFive">[65]IS_BS_US!$B$241:$Y$299</definedName>
    <definedName name="USFour">[65]IS_BS_US!$B$178:$Y$239</definedName>
    <definedName name="usha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One">[65]IS_BS_US!$B$4:$Y$80</definedName>
    <definedName name="USSix">[65]IS_BS_US!$B$301:$Y$405</definedName>
    <definedName name="USThree">[65]IS_BS_US!$B$121:$Y$177</definedName>
    <definedName name="USTwo">[65]IS_BS_US!$B$82:$Y$119</definedName>
    <definedName name="UTI">#REF!</definedName>
    <definedName name="UTION_LLC_CARREFOUR_UAE_HEAD_OFFICE">#REF!</definedName>
    <definedName name="V.K.INTERNATIONAL">#REF!</definedName>
    <definedName name="V_C">#REF!</definedName>
    <definedName name="V_F">#REF!</definedName>
    <definedName name="V_M">#REF!</definedName>
    <definedName name="V_T">#REF!</definedName>
    <definedName name="Variance">#REF!</definedName>
    <definedName name="Velvet_Trading_GmbH_GmbH___Co.KG">#REF!</definedName>
    <definedName name="VERNE_HOTEL_LLC">#REF!</definedName>
    <definedName name="VERSATILE_TRADING">#REF!</definedName>
    <definedName name="VERTBAUDET_S.A.S">#REF!</definedName>
    <definedName name="VG">'[181]TB RS $'!#REF!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ola">#REF!</definedName>
    <definedName name="VIVANO_BEDDINGS___MORE_LTD.">#REF!</definedName>
    <definedName name="vjsfnzxb.xcv">#REF!</definedName>
    <definedName name="VML">'[26]POP SALARY '!#REF!</definedName>
    <definedName name="w">#REF!</definedName>
    <definedName name="Waitrose_Ltd">#REF!</definedName>
    <definedName name="Wal_Mart__China__Investment_Co.__Lt">#REF!</definedName>
    <definedName name="WAL_MART_BRASIL_LTDA">#REF!</definedName>
    <definedName name="Wal_Mart_de_Mexico_S.A._de_C.V.">#REF!</definedName>
    <definedName name="WALMART_CANADA_CORP.">#REF!</definedName>
    <definedName name="WALMART_CENTRAL_AMERICA">#REF!</definedName>
    <definedName name="WALMART_CHILE_COMMERCIAL_LTDA">#REF!</definedName>
    <definedName name="WALMART_STORES__INC.">#REF!</definedName>
    <definedName name="Warehouse">#REF!</definedName>
    <definedName name="WAREHOUSE_GROUP_NZ">#REF!</definedName>
    <definedName name="WARWICK_FULFILLMENT">#REF!</definedName>
    <definedName name="WCap">#REF!</definedName>
    <definedName name="w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E">'[182]1.Costing'!#REF!</definedName>
    <definedName name="WELL_INTERNATIONAL_CO.">#REF!</definedName>
    <definedName name="WELSPUN" hidden="1">{#N/A,#N/A,FALSE,"profile ";#N/A,#N/A,FALSE,"rank";#N/A,#N/A,FALSE,"overbase";#N/A,#N/A,FALSE,"overcash";#N/A,#N/A,FALSE,"overtfp";#N/A,#N/A,FALSE,"overtcc"}</definedName>
    <definedName name="WELSPUN_GLOBAL_BRANDS__LIMITED__WRL">#REF!</definedName>
    <definedName name="Welspun_Global_Brands_Limited">#REF!</definedName>
    <definedName name="WELSPUN_GLOBAL_BRANDS_LIMITED__DOM">#REF!</definedName>
    <definedName name="Welspun_Global_Brands_Ltd">#REF!</definedName>
    <definedName name="WELSPUN_GLOBAL_BRANDS_LTD___WRL">#REF!</definedName>
    <definedName name="WELSPUN_INDIA_LIMITED">#REF!</definedName>
    <definedName name="WELSPUN_UK_LTD.">#REF!</definedName>
    <definedName name="Welspun_UK_TP">#REF!</definedName>
    <definedName name="Welspun_USA_Inc">#REF!</definedName>
    <definedName name="welupect" hidden="1">#REF!</definedName>
    <definedName name="WESTEND_INVESTMENTS_FZC">#REF!</definedName>
    <definedName name="WEWEW">[183]Sheet1!#REF!</definedName>
    <definedName name="WEWEWEWE">'[184]Advance ac'!#REF!</definedName>
    <definedName name="WHS">#REF!</definedName>
    <definedName name="Wilko_Retail_Ltd">#REF!</definedName>
    <definedName name="Wing_Siang_Long_Pte_Ltd">#REF!</definedName>
    <definedName name="Winners_Merchant_International_LP">#REF!</definedName>
    <definedName name="wipwcc">#REF!</definedName>
    <definedName name="wipwcc2">[74]WCL!#REF!</definedName>
    <definedName name="Wm_Morrison_Plc">#REF!</definedName>
    <definedName name="WOOLWORTHS__HK__SALES_LTD">#REF!</definedName>
    <definedName name="WorkPref">#REF!</definedName>
    <definedName name="worksheet">[185]worksheet!$A$1:$P$583</definedName>
    <definedName name="wq">#REF!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atapak.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elopment._.Hours." hidden="1">{#N/A,#N/A,FALSE,"July 95";#N/A,#N/A,FALSE,"Aug 95";#N/A,#N/A,FALSE,"Sep 95";#N/A,#N/A,FALSE,"October 95"}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ORM1." hidden="1">{#N/A,#N/A,FALSE,"COMP"}</definedName>
    <definedName name="wrn.full." hidden="1">{#N/A,#N/A,FALSE,"Cover";#N/A,#N/A,FALSE,"Pres ";#N/A,#N/A,FALSE,"Outputs";#N/A,#N/A,FALSE,"Sensitivities";#N/A,#N/A,FALSE,"Graphs";#N/A,#N/A,FALSE,"DCF I (In)"}</definedName>
    <definedName name="wrn.GRAPHS." hidden="1">{#N/A,#N/A,FALSE,"ACQ_GRAPHS";#N/A,#N/A,FALSE,"T_1 GRAPHS";#N/A,#N/A,FALSE,"T_2 GRAPHS";#N/A,#N/A,FALSE,"COMB_GRAPHS"}</definedName>
    <definedName name="wrn.Monthly._.Act._.P_L.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polaroid." hidden="1">{#N/A,#N/A,FALSE,"profile ";#N/A,#N/A,FALSE,"rank";#N/A,#N/A,FALSE,"overbase";#N/A,#N/A,FALSE,"overcash";#N/A,#N/A,FALSE,"overtfp";#N/A,#N/A,FALSE,"overtcc"}</definedName>
    <definedName name="wrn.polaroid._1" hidden="1">{#N/A,#N/A,FALSE,"profile ";#N/A,#N/A,FALSE,"rank";#N/A,#N/A,FALSE,"overbase";#N/A,#N/A,FALSE,"overcash";#N/A,#N/A,FALSE,"overtfp";#N/A,#N/A,FALSE,"overtcc"}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." hidden="1">{"vi1",#N/A,FALSE,"Financial Statements";"vi2",#N/A,FALSE,"Financial Statements";#N/A,#N/A,FALSE,"DCF"}</definedName>
    <definedName name="wrn.print._.standalone." hidden="1">{"standalone1",#N/A,FALSE,"DCFBase";"standalone2",#N/A,FALSE,"DCFBase"}</definedName>
    <definedName name="wrn.Qtrs_PL." hidden="1">{"Quarters",#N/A,FALSE,"1.2"}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hidden="1">{#N/A,#N/A,FALSE,"A&amp;E";#N/A,#N/A,FALSE,"HighTop";#N/A,#N/A,FALSE,"JG";#N/A,#N/A,FALSE,"RI";#N/A,#N/A,FALSE,"woHT";#N/A,#N/A,FALSE,"woHT&amp;JG"}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YTD_ROY_PL." hidden="1">{"ROY_YTD",#N/A,FALSE,"1.2"}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TTSPG">[5]Input_B_V!#REF!</definedName>
    <definedName name="WUK.COM">#REF!</definedName>
    <definedName name="WUK.STOCK">#REF!</definedName>
    <definedName name="WUSA.com">#REF!</definedName>
    <definedName name="WUSA.STOCK">#REF!</definedName>
    <definedName name="wvu.BTP.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KTP.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TOTAL.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YNDHAM">#REF!</definedName>
    <definedName name="Xfer_charge">[45]Sheet3!$C$10</definedName>
    <definedName name="XREF_COLUMN_6" hidden="1">#REF!</definedName>
    <definedName name="XRefColumnsCount" hidden="1">11</definedName>
    <definedName name="XRefCopyRangeCount" hidden="1">29</definedName>
    <definedName name="XRefPasteRangeCount" hidden="1">378</definedName>
    <definedName name="xx">'[186]Sales Analysis- Jul'!$H$31</definedName>
    <definedName name="xylenolrmc">#REF!</definedName>
    <definedName name="xylenolsp">#REF!</definedName>
    <definedName name="xyz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Year">[48]Assumption!$B$2</definedName>
    <definedName name="year_counter">[187]Counters!$A$6:$IV$6</definedName>
    <definedName name="Year1">[48]Assumption!$B$3</definedName>
    <definedName name="Year2">[42]Inputs!$AB$11</definedName>
    <definedName name="year3">[188]Assumptions!$D$71</definedName>
    <definedName name="Year4">[104]Inputs!$R$10</definedName>
    <definedName name="yes" hidden="1">#REF!</definedName>
    <definedName name="Yr_yr_growth">[98]webout!#REF!</definedName>
    <definedName name="YSTable">'[56]YS-Bud'!$A$11:$Y$133</definedName>
    <definedName name="YTDCANADA_">#N/A</definedName>
    <definedName name="YTDDICOM_">#N/A</definedName>
    <definedName name="YUSUF_AHMED_ALGHANIM___SONS_CO._W.L">#REF!</definedName>
    <definedName name="YUSUF_AHMED_ALGHANIM___SONS_W.L.L">#REF!</definedName>
    <definedName name="Z">#REF!</definedName>
    <definedName name="ООО_SAI_SURYADE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2" i="10" l="1"/>
  <c r="Q82" i="10"/>
  <c r="S82" i="10" s="1"/>
  <c r="J82" i="10"/>
  <c r="N82" i="10" s="1"/>
  <c r="M82" i="10" s="1"/>
  <c r="N81" i="10"/>
  <c r="Q81" i="10" s="1"/>
  <c r="J81" i="10"/>
  <c r="M80" i="10"/>
  <c r="J80" i="10"/>
  <c r="N80" i="10" s="1"/>
  <c r="N79" i="10"/>
  <c r="R79" i="10" s="1"/>
  <c r="J79" i="10"/>
  <c r="J78" i="10"/>
  <c r="N78" i="10" s="1"/>
  <c r="M78" i="10" s="1"/>
  <c r="N77" i="10"/>
  <c r="M77" i="10" s="1"/>
  <c r="J77" i="10"/>
  <c r="J76" i="10"/>
  <c r="N76" i="10" s="1"/>
  <c r="M76" i="10" s="1"/>
  <c r="N75" i="10"/>
  <c r="R75" i="10" s="1"/>
  <c r="J75" i="10"/>
  <c r="J74" i="10"/>
  <c r="N74" i="10" s="1"/>
  <c r="M74" i="10" s="1"/>
  <c r="N73" i="10"/>
  <c r="M73" i="10"/>
  <c r="J73" i="10"/>
  <c r="J72" i="10"/>
  <c r="N72" i="10" s="1"/>
  <c r="M72" i="10" s="1"/>
  <c r="N71" i="10"/>
  <c r="R71" i="10" s="1"/>
  <c r="J71" i="10"/>
  <c r="J70" i="10"/>
  <c r="N70" i="10" s="1"/>
  <c r="M70" i="10" s="1"/>
  <c r="N69" i="10"/>
  <c r="Q69" i="10" s="1"/>
  <c r="J69" i="10"/>
  <c r="N68" i="10"/>
  <c r="Q68" i="10" s="1"/>
  <c r="M68" i="10"/>
  <c r="J68" i="10"/>
  <c r="J67" i="10"/>
  <c r="N67" i="10" s="1"/>
  <c r="J66" i="10"/>
  <c r="N66" i="10" s="1"/>
  <c r="M66" i="10" s="1"/>
  <c r="J65" i="10"/>
  <c r="N65" i="10" s="1"/>
  <c r="N64" i="10"/>
  <c r="R64" i="10" s="1"/>
  <c r="J64" i="10"/>
  <c r="J62" i="10"/>
  <c r="N62" i="10" s="1"/>
  <c r="M62" i="10" s="1"/>
  <c r="N61" i="10"/>
  <c r="R61" i="10" s="1"/>
  <c r="J61" i="10"/>
  <c r="N60" i="10"/>
  <c r="M60" i="10" s="1"/>
  <c r="J60" i="10"/>
  <c r="J58" i="10"/>
  <c r="N58" i="10" s="1"/>
  <c r="N57" i="10"/>
  <c r="R57" i="10" s="1"/>
  <c r="J57" i="10"/>
  <c r="J56" i="10"/>
  <c r="N56" i="10" s="1"/>
  <c r="M56" i="10" s="1"/>
  <c r="Q55" i="10"/>
  <c r="N55" i="10"/>
  <c r="M55" i="10" s="1"/>
  <c r="J55" i="10"/>
  <c r="J54" i="10"/>
  <c r="N54" i="10" s="1"/>
  <c r="N53" i="10"/>
  <c r="R53" i="10" s="1"/>
  <c r="J53" i="10"/>
  <c r="R52" i="10"/>
  <c r="Q52" i="10"/>
  <c r="S52" i="10" s="1"/>
  <c r="J52" i="10"/>
  <c r="N52" i="10" s="1"/>
  <c r="M52" i="10" s="1"/>
  <c r="N51" i="10"/>
  <c r="Q51" i="10" s="1"/>
  <c r="J51" i="10"/>
  <c r="J50" i="10"/>
  <c r="N50" i="10" s="1"/>
  <c r="N49" i="10"/>
  <c r="R49" i="10" s="1"/>
  <c r="J49" i="10"/>
  <c r="R48" i="10"/>
  <c r="Q48" i="10"/>
  <c r="S48" i="10" s="1"/>
  <c r="J48" i="10"/>
  <c r="N48" i="10" s="1"/>
  <c r="M48" i="10" s="1"/>
  <c r="J47" i="10"/>
  <c r="N47" i="10" s="1"/>
  <c r="M47" i="10" s="1"/>
  <c r="J46" i="10"/>
  <c r="N46" i="10" s="1"/>
  <c r="M46" i="10" s="1"/>
  <c r="J45" i="10"/>
  <c r="N45" i="10" s="1"/>
  <c r="R45" i="10" s="1"/>
  <c r="J44" i="10"/>
  <c r="N44" i="10" s="1"/>
  <c r="M44" i="10" s="1"/>
  <c r="J43" i="10"/>
  <c r="N43" i="10" s="1"/>
  <c r="J42" i="10"/>
  <c r="N42" i="10" s="1"/>
  <c r="M42" i="10" s="1"/>
  <c r="J41" i="10"/>
  <c r="N41" i="10" s="1"/>
  <c r="G40" i="10"/>
  <c r="J40" i="10" s="1"/>
  <c r="N40" i="10" s="1"/>
  <c r="M40" i="10" s="1"/>
  <c r="G39" i="10"/>
  <c r="J39" i="10" s="1"/>
  <c r="N39" i="10" s="1"/>
  <c r="G38" i="10"/>
  <c r="J38" i="10" s="1"/>
  <c r="N38" i="10" s="1"/>
  <c r="M38" i="10" s="1"/>
  <c r="G37" i="10"/>
  <c r="J37" i="10" s="1"/>
  <c r="N37" i="10" s="1"/>
  <c r="M37" i="10" s="1"/>
  <c r="G36" i="10"/>
  <c r="J36" i="10" s="1"/>
  <c r="N36" i="10" s="1"/>
  <c r="G35" i="10"/>
  <c r="J35" i="10" s="1"/>
  <c r="N35" i="10" s="1"/>
  <c r="N34" i="10"/>
  <c r="G34" i="10"/>
  <c r="J34" i="10" s="1"/>
  <c r="G33" i="10"/>
  <c r="J33" i="10" s="1"/>
  <c r="N33" i="10" s="1"/>
  <c r="Q33" i="10" s="1"/>
  <c r="G32" i="10"/>
  <c r="J32" i="10" s="1"/>
  <c r="N32" i="10" s="1"/>
  <c r="G31" i="10"/>
  <c r="J31" i="10" s="1"/>
  <c r="N31" i="10" s="1"/>
  <c r="R31" i="10" s="1"/>
  <c r="G30" i="10"/>
  <c r="J30" i="10" s="1"/>
  <c r="N30" i="10" s="1"/>
  <c r="M30" i="10" s="1"/>
  <c r="G29" i="10"/>
  <c r="J29" i="10" s="1"/>
  <c r="N29" i="10" s="1"/>
  <c r="G28" i="10"/>
  <c r="J28" i="10" s="1"/>
  <c r="N28" i="10" s="1"/>
  <c r="G27" i="10"/>
  <c r="J27" i="10" s="1"/>
  <c r="N27" i="10" s="1"/>
  <c r="G26" i="10"/>
  <c r="J26" i="10" s="1"/>
  <c r="N26" i="10" s="1"/>
  <c r="G25" i="10"/>
  <c r="J25" i="10" s="1"/>
  <c r="N25" i="10" s="1"/>
  <c r="Q25" i="10" s="1"/>
  <c r="G24" i="10"/>
  <c r="J24" i="10" s="1"/>
  <c r="N24" i="10" s="1"/>
  <c r="M24" i="10" s="1"/>
  <c r="G23" i="10"/>
  <c r="J23" i="10" s="1"/>
  <c r="N23" i="10" s="1"/>
  <c r="M23" i="10" s="1"/>
  <c r="G22" i="10"/>
  <c r="J22" i="10" s="1"/>
  <c r="N22" i="10" s="1"/>
  <c r="G21" i="10"/>
  <c r="J21" i="10" s="1"/>
  <c r="N21" i="10" s="1"/>
  <c r="R21" i="10" s="1"/>
  <c r="G20" i="10"/>
  <c r="J20" i="10" s="1"/>
  <c r="N20" i="10" s="1"/>
  <c r="J19" i="10"/>
  <c r="N19" i="10" s="1"/>
  <c r="G19" i="10"/>
  <c r="G18" i="10"/>
  <c r="J18" i="10" s="1"/>
  <c r="N18" i="10" s="1"/>
  <c r="G17" i="10"/>
  <c r="J17" i="10" s="1"/>
  <c r="N17" i="10" s="1"/>
  <c r="Q17" i="10" s="1"/>
  <c r="G16" i="10"/>
  <c r="J16" i="10" s="1"/>
  <c r="N16" i="10" s="1"/>
  <c r="M16" i="10" s="1"/>
  <c r="G15" i="10"/>
  <c r="J15" i="10" s="1"/>
  <c r="N15" i="10" s="1"/>
  <c r="G14" i="10"/>
  <c r="J14" i="10" s="1"/>
  <c r="N14" i="10" s="1"/>
  <c r="G13" i="10"/>
  <c r="J13" i="10" s="1"/>
  <c r="N13" i="10" s="1"/>
  <c r="G7" i="10"/>
  <c r="G67" i="10" s="1"/>
  <c r="G6" i="10"/>
  <c r="G64" i="10" s="1"/>
  <c r="G5" i="10"/>
  <c r="G4" i="10"/>
  <c r="J59" i="10" s="1"/>
  <c r="N59" i="10" s="1"/>
  <c r="M32" i="10" l="1"/>
  <c r="R32" i="10"/>
  <c r="Q32" i="10"/>
  <c r="R14" i="10"/>
  <c r="Q14" i="10"/>
  <c r="M14" i="10"/>
  <c r="R13" i="10"/>
  <c r="Q13" i="10"/>
  <c r="S13" i="10" s="1"/>
  <c r="M13" i="10"/>
  <c r="Q60" i="10"/>
  <c r="Q56" i="10"/>
  <c r="M17" i="10"/>
  <c r="R56" i="10"/>
  <c r="R17" i="10"/>
  <c r="S17" i="10" s="1"/>
  <c r="G69" i="10"/>
  <c r="M22" i="10"/>
  <c r="R22" i="10"/>
  <c r="Q24" i="10"/>
  <c r="R24" i="10"/>
  <c r="R59" i="10"/>
  <c r="Q59" i="10"/>
  <c r="S59" i="10" s="1"/>
  <c r="M59" i="10"/>
  <c r="R26" i="10"/>
  <c r="Q26" i="10"/>
  <c r="S26" i="10" s="1"/>
  <c r="M26" i="10"/>
  <c r="R67" i="10"/>
  <c r="Q67" i="10"/>
  <c r="S67" i="10" s="1"/>
  <c r="M67" i="10"/>
  <c r="R27" i="10"/>
  <c r="M27" i="10"/>
  <c r="Q27" i="10"/>
  <c r="S27" i="10" s="1"/>
  <c r="Q20" i="10"/>
  <c r="R20" i="10"/>
  <c r="M20" i="10"/>
  <c r="M15" i="10"/>
  <c r="R15" i="10"/>
  <c r="Q15" i="10"/>
  <c r="S15" i="10" s="1"/>
  <c r="Q28" i="10"/>
  <c r="M28" i="10"/>
  <c r="R28" i="10"/>
  <c r="R18" i="10"/>
  <c r="Q18" i="10"/>
  <c r="M18" i="10"/>
  <c r="S18" i="10"/>
  <c r="Q36" i="10"/>
  <c r="R36" i="10"/>
  <c r="M36" i="10"/>
  <c r="R29" i="10"/>
  <c r="Q29" i="10"/>
  <c r="M29" i="10"/>
  <c r="M39" i="10"/>
  <c r="Q39" i="10"/>
  <c r="S39" i="10" s="1"/>
  <c r="R39" i="10"/>
  <c r="R43" i="10"/>
  <c r="S43" i="10" s="1"/>
  <c r="R16" i="10"/>
  <c r="Q44" i="10"/>
  <c r="R54" i="10"/>
  <c r="Q54" i="10"/>
  <c r="S54" i="10" s="1"/>
  <c r="Q61" i="10"/>
  <c r="S61" i="10" s="1"/>
  <c r="R73" i="10"/>
  <c r="S73" i="10" s="1"/>
  <c r="Q78" i="10"/>
  <c r="J63" i="10"/>
  <c r="N63" i="10" s="1"/>
  <c r="G63" i="10"/>
  <c r="R23" i="10"/>
  <c r="M25" i="10"/>
  <c r="R42" i="10"/>
  <c r="Q42" i="10"/>
  <c r="S42" i="10" s="1"/>
  <c r="R44" i="10"/>
  <c r="S44" i="10" s="1"/>
  <c r="M54" i="10"/>
  <c r="S56" i="10"/>
  <c r="Q73" i="10"/>
  <c r="R76" i="10"/>
  <c r="Q76" i="10"/>
  <c r="S76" i="10" s="1"/>
  <c r="R78" i="10"/>
  <c r="S78" i="10" s="1"/>
  <c r="M81" i="10"/>
  <c r="R35" i="10"/>
  <c r="M35" i="10"/>
  <c r="G59" i="10"/>
  <c r="G61" i="10"/>
  <c r="G60" i="10"/>
  <c r="G62" i="10"/>
  <c r="R41" i="10"/>
  <c r="Q41" i="10"/>
  <c r="M41" i="10"/>
  <c r="Q23" i="10"/>
  <c r="S23" i="10" s="1"/>
  <c r="R19" i="10"/>
  <c r="R25" i="10"/>
  <c r="R30" i="10"/>
  <c r="R34" i="10"/>
  <c r="Q34" i="10"/>
  <c r="M34" i="10"/>
  <c r="R47" i="10"/>
  <c r="M19" i="10"/>
  <c r="S25" i="10"/>
  <c r="Q30" i="10"/>
  <c r="S30" i="10" s="1"/>
  <c r="R38" i="10"/>
  <c r="Q40" i="10"/>
  <c r="Q47" i="10"/>
  <c r="R50" i="10"/>
  <c r="S50" i="10"/>
  <c r="Q50" i="10"/>
  <c r="Q62" i="10"/>
  <c r="Q74" i="10"/>
  <c r="R33" i="10"/>
  <c r="S33" i="10" s="1"/>
  <c r="R51" i="10"/>
  <c r="S51" i="10" s="1"/>
  <c r="M61" i="10"/>
  <c r="R70" i="10"/>
  <c r="M69" i="10"/>
  <c r="S81" i="10"/>
  <c r="R81" i="10"/>
  <c r="S14" i="10"/>
  <c r="Q19" i="10"/>
  <c r="S19" i="10" s="1"/>
  <c r="M21" i="10"/>
  <c r="Q22" i="10"/>
  <c r="S32" i="10"/>
  <c r="Q38" i="10"/>
  <c r="S38" i="10" s="1"/>
  <c r="R40" i="10"/>
  <c r="M43" i="10"/>
  <c r="M50" i="10"/>
  <c r="R55" i="10"/>
  <c r="S55" i="10" s="1"/>
  <c r="R60" i="10"/>
  <c r="S60" i="10" s="1"/>
  <c r="R62" i="10"/>
  <c r="G65" i="10"/>
  <c r="R69" i="10"/>
  <c r="S69" i="10" s="1"/>
  <c r="R72" i="10"/>
  <c r="Q72" i="10"/>
  <c r="R74" i="10"/>
  <c r="M31" i="10"/>
  <c r="R58" i="10"/>
  <c r="Q58" i="10"/>
  <c r="S58" i="10" s="1"/>
  <c r="Q65" i="10"/>
  <c r="R65" i="10"/>
  <c r="M65" i="10"/>
  <c r="S77" i="10"/>
  <c r="R77" i="10"/>
  <c r="Q16" i="10"/>
  <c r="S16" i="10" s="1"/>
  <c r="Q21" i="10"/>
  <c r="S21" i="10" s="1"/>
  <c r="Q31" i="10"/>
  <c r="S31" i="10" s="1"/>
  <c r="M33" i="10"/>
  <c r="Q35" i="10"/>
  <c r="S35" i="10" s="1"/>
  <c r="R37" i="10"/>
  <c r="Q37" i="10"/>
  <c r="S37" i="10" s="1"/>
  <c r="Q43" i="10"/>
  <c r="R46" i="10"/>
  <c r="Q46" i="10"/>
  <c r="M51" i="10"/>
  <c r="M58" i="10"/>
  <c r="G66" i="10"/>
  <c r="R68" i="10"/>
  <c r="S68" i="10" s="1"/>
  <c r="Q70" i="10"/>
  <c r="Q77" i="10"/>
  <c r="R80" i="10"/>
  <c r="Q80" i="10"/>
  <c r="S80" i="10" s="1"/>
  <c r="R66" i="10"/>
  <c r="Q66" i="10"/>
  <c r="M45" i="10"/>
  <c r="M49" i="10"/>
  <c r="M53" i="10"/>
  <c r="M57" i="10"/>
  <c r="M64" i="10"/>
  <c r="G70" i="10"/>
  <c r="M71" i="10"/>
  <c r="M75" i="10"/>
  <c r="M79" i="10"/>
  <c r="Q45" i="10"/>
  <c r="S45" i="10" s="1"/>
  <c r="Q49" i="10"/>
  <c r="S49" i="10" s="1"/>
  <c r="Q53" i="10"/>
  <c r="S53" i="10" s="1"/>
  <c r="Q57" i="10"/>
  <c r="S57" i="10" s="1"/>
  <c r="Q64" i="10"/>
  <c r="S64" i="10" s="1"/>
  <c r="G68" i="10"/>
  <c r="Q71" i="10"/>
  <c r="S71" i="10" s="1"/>
  <c r="Q75" i="10"/>
  <c r="S75" i="10" s="1"/>
  <c r="Q79" i="10"/>
  <c r="S79" i="10" s="1"/>
  <c r="S72" i="10" l="1"/>
  <c r="S66" i="10"/>
  <c r="S65" i="10"/>
  <c r="S40" i="10"/>
  <c r="S34" i="10"/>
  <c r="S36" i="10"/>
  <c r="S28" i="10"/>
  <c r="S24" i="10"/>
  <c r="S70" i="10"/>
  <c r="S29" i="10"/>
  <c r="S47" i="10"/>
  <c r="S41" i="10"/>
  <c r="S20" i="10"/>
  <c r="S46" i="10"/>
  <c r="S22" i="10"/>
  <c r="S62" i="10"/>
  <c r="S74" i="10"/>
  <c r="Q63" i="10"/>
  <c r="M63" i="10"/>
  <c r="R63" i="10"/>
  <c r="S63" i="10" l="1"/>
  <c r="F2" i="9" l="1"/>
  <c r="G2" i="9" s="1"/>
  <c r="G67" i="4"/>
  <c r="G64" i="4"/>
  <c r="G18" i="8"/>
  <c r="G17" i="8"/>
  <c r="G16" i="8"/>
  <c r="G15" i="8"/>
  <c r="G14" i="8"/>
  <c r="D107" i="7"/>
  <c r="D106" i="7"/>
  <c r="D79" i="7"/>
  <c r="D78" i="7"/>
  <c r="D73" i="7"/>
  <c r="D60" i="7"/>
  <c r="D59" i="7"/>
  <c r="D54" i="7"/>
  <c r="D50" i="7"/>
  <c r="D69" i="7" s="1"/>
  <c r="D70" i="7" s="1"/>
  <c r="D72" i="7" s="1"/>
  <c r="D31" i="7"/>
  <c r="C14" i="6"/>
  <c r="C9" i="6"/>
  <c r="C8" i="6"/>
  <c r="C12" i="6" s="1"/>
  <c r="F6" i="5"/>
  <c r="H6" i="5" s="1"/>
  <c r="F4" i="5"/>
  <c r="G4" i="5" s="1"/>
  <c r="C7" i="5"/>
  <c r="E6" i="5"/>
  <c r="D6" i="5"/>
  <c r="E5" i="5"/>
  <c r="D5" i="5"/>
  <c r="E4" i="5"/>
  <c r="D4" i="5"/>
  <c r="E3" i="5"/>
  <c r="D3" i="5"/>
  <c r="E2" i="5"/>
  <c r="D2" i="5"/>
  <c r="E27" i="3"/>
  <c r="E28" i="3" s="1"/>
  <c r="F3" i="5" s="1"/>
  <c r="F2" i="5" l="1"/>
  <c r="D23" i="7"/>
  <c r="D27" i="7" s="1"/>
  <c r="D28" i="7" s="1"/>
  <c r="D80" i="7"/>
  <c r="D37" i="7"/>
  <c r="D61" i="7"/>
  <c r="D63" i="7" s="1"/>
  <c r="H3" i="5"/>
  <c r="D2" i="7"/>
  <c r="D108" i="7"/>
  <c r="G39" i="4"/>
  <c r="G41" i="4"/>
  <c r="G40" i="4"/>
  <c r="G3" i="5"/>
  <c r="D7" i="5"/>
  <c r="E7" i="5"/>
  <c r="H4" i="5"/>
  <c r="G6" i="5"/>
  <c r="D25" i="7" s="1"/>
  <c r="D9" i="7" l="1"/>
  <c r="D13" i="7" s="1"/>
  <c r="G2" i="5"/>
  <c r="D11" i="7" s="1"/>
  <c r="F5" i="5"/>
  <c r="D16" i="7" s="1"/>
  <c r="H2" i="5"/>
  <c r="G42" i="4"/>
  <c r="D40" i="7"/>
  <c r="D38" i="7"/>
  <c r="G37" i="4"/>
  <c r="D24" i="7"/>
  <c r="D3" i="7"/>
  <c r="D10" i="7" l="1"/>
  <c r="D12" i="7"/>
  <c r="B2" i="9"/>
  <c r="H2" i="9" s="1"/>
  <c r="G73" i="4" s="1"/>
  <c r="H5" i="5"/>
  <c r="H7" i="5" s="1"/>
  <c r="D51" i="7" s="1"/>
  <c r="D52" i="7" s="1"/>
  <c r="F7" i="5"/>
  <c r="G5" i="5"/>
  <c r="D21" i="7"/>
  <c r="D19" i="7"/>
  <c r="D17" i="7"/>
  <c r="G57" i="4"/>
  <c r="D44" i="7"/>
  <c r="D53" i="7" s="1"/>
  <c r="D65" i="7" s="1"/>
  <c r="D66" i="7" s="1"/>
  <c r="G44" i="4" s="1"/>
  <c r="D45" i="7" l="1"/>
  <c r="G7" i="5"/>
  <c r="C11" i="6"/>
  <c r="C13" i="6" s="1"/>
  <c r="D18" i="7"/>
  <c r="D46" i="7" s="1"/>
  <c r="D55" i="7" s="1"/>
  <c r="D56" i="7" s="1"/>
  <c r="D20" i="7"/>
  <c r="D47" i="7"/>
  <c r="G35" i="4" l="1"/>
  <c r="D58" i="7"/>
  <c r="G36" i="4"/>
  <c r="G34" i="4"/>
  <c r="O24" i="4"/>
  <c r="G26" i="4"/>
  <c r="O28" i="4"/>
  <c r="O27" i="4"/>
  <c r="O32" i="4"/>
  <c r="O29" i="4"/>
  <c r="O25" i="4"/>
  <c r="G27" i="4"/>
  <c r="O33" i="4"/>
  <c r="O23" i="4"/>
  <c r="G25" i="4"/>
  <c r="G24" i="4"/>
  <c r="O22" i="4"/>
  <c r="O30" i="4"/>
  <c r="O26" i="4"/>
  <c r="O31" i="4"/>
  <c r="D84" i="7"/>
  <c r="D85" i="7" s="1"/>
  <c r="D89" i="7"/>
  <c r="D90" i="7" s="1"/>
  <c r="D74" i="7"/>
  <c r="D75" i="7" s="1"/>
  <c r="D77" i="7" s="1"/>
  <c r="D48" i="7"/>
  <c r="D94" i="7" s="1"/>
  <c r="D95" i="7" s="1"/>
  <c r="D97" i="7" l="1"/>
  <c r="G53" i="4"/>
  <c r="G56" i="4"/>
  <c r="D92" i="7"/>
  <c r="D102" i="7"/>
  <c r="G52" i="4"/>
  <c r="D87" i="7"/>
  <c r="D101" i="7"/>
</calcChain>
</file>

<file path=xl/sharedStrings.xml><?xml version="1.0" encoding="utf-8"?>
<sst xmlns="http://schemas.openxmlformats.org/spreadsheetml/2006/main" count="2540" uniqueCount="511">
  <si>
    <t>Location</t>
  </si>
  <si>
    <t>Business</t>
  </si>
  <si>
    <t>Section</t>
  </si>
  <si>
    <t>Sr_No</t>
  </si>
  <si>
    <t>Dept_Machine_Name</t>
  </si>
  <si>
    <t>Designation</t>
  </si>
  <si>
    <t>Machine_Count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</si>
  <si>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</si>
  <si>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</si>
  <si>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</si>
  <si>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</si>
  <si>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</si>
  <si>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</si>
  <si>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</si>
  <si>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N_shift</t>
  </si>
  <si>
    <t>General_Shift</t>
  </si>
  <si>
    <t>Shift_A</t>
  </si>
  <si>
    <t>Shift_B</t>
  </si>
  <si>
    <t>Shift_C</t>
  </si>
  <si>
    <t>Reliever</t>
  </si>
  <si>
    <t>Remarks</t>
  </si>
  <si>
    <t>Vapi</t>
  </si>
  <si>
    <t>Rugs</t>
  </si>
  <si>
    <t>CHENILLE</t>
  </si>
  <si>
    <t>Chenille Machine</t>
  </si>
  <si>
    <t>Chenille mc Operator</t>
  </si>
  <si>
    <t>2 operator/machine</t>
  </si>
  <si>
    <t>(3*2)*3</t>
  </si>
  <si>
    <t>Direct</t>
  </si>
  <si>
    <t/>
  </si>
  <si>
    <t>Winding mc Operator</t>
  </si>
  <si>
    <t>1 operator/machine</t>
  </si>
  <si>
    <t>(1*1)*3</t>
  </si>
  <si>
    <t>Jobber</t>
  </si>
  <si>
    <t>1 jobber/machine</t>
  </si>
  <si>
    <t>Fitter</t>
  </si>
  <si>
    <t>0 (not required)</t>
  </si>
  <si>
    <t>(3*0)*3</t>
  </si>
  <si>
    <t>Material Handling</t>
  </si>
  <si>
    <t>1 person/machine</t>
  </si>
  <si>
    <t>Yarn Warehouse</t>
  </si>
  <si>
    <t>Yarn Storage</t>
  </si>
  <si>
    <t xml:space="preserve">Jobber </t>
  </si>
  <si>
    <t>1 person</t>
  </si>
  <si>
    <t>(0*1)*3</t>
  </si>
  <si>
    <t>Material Handler (Loading, Unloading by Hand Staker)</t>
  </si>
  <si>
    <t>2 person/machine</t>
  </si>
  <si>
    <t>(1*2)*3</t>
  </si>
  <si>
    <t>Table Tufting</t>
  </si>
  <si>
    <t>Tufting</t>
  </si>
  <si>
    <t>Operator</t>
  </si>
  <si>
    <t>(1*0)*3</t>
  </si>
  <si>
    <t>1 jobber</t>
  </si>
  <si>
    <t>(1*1)*1</t>
  </si>
  <si>
    <t>Machine Tufting</t>
  </si>
  <si>
    <t>(2*2)*2</t>
  </si>
  <si>
    <t>Jobber / DEO</t>
  </si>
  <si>
    <t>1 person/shift</t>
  </si>
  <si>
    <t>(1*1)*2</t>
  </si>
  <si>
    <t>Creel Boy</t>
  </si>
  <si>
    <t>CHENILE LENGTH CUTTING</t>
  </si>
  <si>
    <t>Chennile</t>
  </si>
  <si>
    <t>1 fitter/machine</t>
  </si>
  <si>
    <t>Roll Receiving</t>
  </si>
  <si>
    <t>Conveyor</t>
  </si>
  <si>
    <t>Forklift Driver (Roll Unloading from Truk and Staking)</t>
  </si>
  <si>
    <t>Scanner (Roll receiving and Bin Posting)</t>
  </si>
  <si>
    <t>Material Handler (Pipe Pulling, Chain Hanging, Roll Staking)</t>
  </si>
  <si>
    <t>(1*2)*1</t>
  </si>
  <si>
    <t>Forklift Driver (Roll reciving from Staker and loading on Convayer)</t>
  </si>
  <si>
    <t>(0*1)*1</t>
  </si>
  <si>
    <t>Material Handler (Chain Hanging, Roll Unstaking)</t>
  </si>
  <si>
    <t>Jobber (Roll Finding, Entry in System, Bin Updattion)</t>
  </si>
  <si>
    <t>Coating</t>
  </si>
  <si>
    <t>Latex Coating</t>
  </si>
  <si>
    <t>OPERATOR (MONORAIL-ROLL RECEIVING, ROLL STORAGE &amp; SHIFTING)</t>
  </si>
  <si>
    <t>OPERATOR (RE-ROLLING)</t>
  </si>
  <si>
    <t>(0*0)*3</t>
  </si>
  <si>
    <t>OPERATOR (STITCHING  &amp; Feeding)</t>
  </si>
  <si>
    <t>(1*1)*2.15</t>
  </si>
  <si>
    <t>OPERATOR (PRE-COAT APPLICATION HEAD)</t>
  </si>
  <si>
    <t>OPERATOR (MAIN COAT APPLICATION HEAD)</t>
  </si>
  <si>
    <t>OPERATOR (LATEX KITCHEN)</t>
  </si>
  <si>
    <t>OPERATOR (ROLL WINDING, STAKING)</t>
  </si>
  <si>
    <t>JOBBER (PRE COAT, MAIN COAT)</t>
  </si>
  <si>
    <t>MATERIAL HANDLER (CLEANING &amp; WASTAGE DISPOSEL)</t>
  </si>
  <si>
    <t>DATA OPERATOR / MONITOR</t>
  </si>
  <si>
    <t>OPERATOR (PCS RECOVERY)</t>
  </si>
  <si>
    <t>3 operator/machine</t>
  </si>
  <si>
    <t>(1*3)*3</t>
  </si>
  <si>
    <t>Latex Compaunding</t>
  </si>
  <si>
    <t>OPERATOR (RAW MATERIAL LOADING AND MIXING)</t>
  </si>
  <si>
    <t>Cut &amp; Sew</t>
  </si>
  <si>
    <t>Length Cutting</t>
  </si>
  <si>
    <t>Operator (Roll Feeder / Roll to Roll stitching)</t>
  </si>
  <si>
    <t>Material Handler</t>
  </si>
  <si>
    <t>Length Over edging</t>
  </si>
  <si>
    <t>(3*1)*3</t>
  </si>
  <si>
    <t>Material Handler (Trolly movment)</t>
  </si>
  <si>
    <t>(2*1)*3</t>
  </si>
  <si>
    <t>Automaic Shape Cutting m/c</t>
  </si>
  <si>
    <t>Cutter Operator</t>
  </si>
  <si>
    <t>Spreader Operator /layering</t>
  </si>
  <si>
    <t>Cross Cutting</t>
  </si>
  <si>
    <t>Material Handler (Pcs Collating, Bundling, Palating,Shifting)</t>
  </si>
  <si>
    <t>Manual Cutting</t>
  </si>
  <si>
    <t>(750 Pcs Per Person output considered)</t>
  </si>
  <si>
    <t>(10*1)*3</t>
  </si>
  <si>
    <t>Piping / Canvs Cutting</t>
  </si>
  <si>
    <t>Trims / Wastage Collection</t>
  </si>
  <si>
    <t>Down Grade Packing</t>
  </si>
  <si>
    <t>Packer</t>
  </si>
  <si>
    <t>DEO - Booking</t>
  </si>
  <si>
    <t>Mis Floor Co-Ordinator (C Part, S Part, D Grade, Piping)</t>
  </si>
  <si>
    <t>Stitching m/c</t>
  </si>
  <si>
    <t>Overlock Machine</t>
  </si>
  <si>
    <t>(6*1)*3</t>
  </si>
  <si>
    <t>Union - Stitcher + Tape Binding</t>
  </si>
  <si>
    <t>(36*1)*3</t>
  </si>
  <si>
    <t>Bartack  - Stitcher (Tape Binding + Over Edgimg)</t>
  </si>
  <si>
    <t>(20*1)*3</t>
  </si>
  <si>
    <t>Titan - Stitcher</t>
  </si>
  <si>
    <t>(17*1)*3</t>
  </si>
  <si>
    <t>IMS Checker - Counting &amp; Bundling</t>
  </si>
  <si>
    <t>(1*7.48)*3</t>
  </si>
  <si>
    <t>DEO</t>
  </si>
  <si>
    <t>Helper / Store</t>
  </si>
  <si>
    <t>Fitter &amp; Electrician</t>
  </si>
  <si>
    <t>3 person/machine</t>
  </si>
  <si>
    <t>Sample - Stitcher</t>
  </si>
  <si>
    <t>Stitcher</t>
  </si>
  <si>
    <t>Rework-Stitcher</t>
  </si>
  <si>
    <t>Dyeing</t>
  </si>
  <si>
    <t>Paddle</t>
  </si>
  <si>
    <t>1 operator/3 machine</t>
  </si>
  <si>
    <t>(7/3)*3</t>
  </si>
  <si>
    <t>12 person</t>
  </si>
  <si>
    <t>12*3</t>
  </si>
  <si>
    <t>MHE (Forklift)</t>
  </si>
  <si>
    <t>1*3</t>
  </si>
  <si>
    <t>EZM</t>
  </si>
  <si>
    <t>1 operator/2 machine</t>
  </si>
  <si>
    <t>(10/2)*3</t>
  </si>
  <si>
    <t>Jet Dyeing</t>
  </si>
  <si>
    <t>(4/2)*3</t>
  </si>
  <si>
    <t>3 jobber</t>
  </si>
  <si>
    <t>3*3</t>
  </si>
  <si>
    <t>Jet Hydro</t>
  </si>
  <si>
    <t>2 operator/shift</t>
  </si>
  <si>
    <t>2*3</t>
  </si>
  <si>
    <t>Jet Opener</t>
  </si>
  <si>
    <t>Jet MM Dryer</t>
  </si>
  <si>
    <t>1 operator/1.5 machine</t>
  </si>
  <si>
    <t>(1/1.5)*3</t>
  </si>
  <si>
    <t>Hydro</t>
  </si>
  <si>
    <t>Dryer</t>
  </si>
  <si>
    <t>(18/3)*3</t>
  </si>
  <si>
    <t>0*3</t>
  </si>
  <si>
    <t>4 person</t>
  </si>
  <si>
    <t>4*3</t>
  </si>
  <si>
    <t>WIP</t>
  </si>
  <si>
    <t>2 jobber</t>
  </si>
  <si>
    <t>Colour Kitchen</t>
  </si>
  <si>
    <t>2 person/shift</t>
  </si>
  <si>
    <t>(0*2)*3</t>
  </si>
  <si>
    <t>Sample Machine</t>
  </si>
  <si>
    <t>Production Line MP</t>
  </si>
  <si>
    <t>Smart Line</t>
  </si>
  <si>
    <t>Loading</t>
  </si>
  <si>
    <t>1 person/line/shift</t>
  </si>
  <si>
    <t>(2.0*1)*3</t>
  </si>
  <si>
    <t>Drylon</t>
  </si>
  <si>
    <t>Tailor</t>
  </si>
  <si>
    <t>3 tailor/line/shift</t>
  </si>
  <si>
    <t>(2.0*3)*3</t>
  </si>
  <si>
    <t>Finisher</t>
  </si>
  <si>
    <t>6 finisher/line/shift</t>
  </si>
  <si>
    <t>(2.0*6)*3</t>
  </si>
  <si>
    <t>Hot Air</t>
  </si>
  <si>
    <t>2 person/line/shift</t>
  </si>
  <si>
    <t>(2.0*2)*3</t>
  </si>
  <si>
    <t>UL &amp; AC</t>
  </si>
  <si>
    <t>Gunner</t>
  </si>
  <si>
    <t>Poly Packer</t>
  </si>
  <si>
    <t>4 person/line/shift</t>
  </si>
  <si>
    <t>(2.0*4)*3</t>
  </si>
  <si>
    <t>INA</t>
  </si>
  <si>
    <t>(2.1*1)*3</t>
  </si>
  <si>
    <t>(2.1*3)*3</t>
  </si>
  <si>
    <t>(2.1*6)*3</t>
  </si>
  <si>
    <t>(2.1*2)*3</t>
  </si>
  <si>
    <t>(2.1*4)*3</t>
  </si>
  <si>
    <t>Manual (Chenille)</t>
  </si>
  <si>
    <t>(2.6*1)*3</t>
  </si>
  <si>
    <t>Chenille</t>
  </si>
  <si>
    <t>1 tailor/line/shift</t>
  </si>
  <si>
    <t>2 finisher/line/shift</t>
  </si>
  <si>
    <t>(2.6*2)*3</t>
  </si>
  <si>
    <t>0 person/line/shift</t>
  </si>
  <si>
    <t>(2.6*0)*3</t>
  </si>
  <si>
    <t>(2.6*4)*3</t>
  </si>
  <si>
    <t>Manual (Cotton)</t>
  </si>
  <si>
    <t>(0.5*1)*3</t>
  </si>
  <si>
    <t>Cotton</t>
  </si>
  <si>
    <t>2 tailor/line/shift</t>
  </si>
  <si>
    <t>(0.5*2)*3</t>
  </si>
  <si>
    <t>3 finisher/line/shift</t>
  </si>
  <si>
    <t>(0.5*3)*3</t>
  </si>
  <si>
    <t>(0.5*4)*3</t>
  </si>
  <si>
    <t>Support MP</t>
  </si>
  <si>
    <t>Packing Support</t>
  </si>
  <si>
    <t>IMS</t>
  </si>
  <si>
    <t>sum of required lines</t>
  </si>
  <si>
    <t>SUM(2.0+2.1+2.6+0.5)</t>
  </si>
  <si>
    <t>4 person/shift</t>
  </si>
  <si>
    <t>Line Jobber</t>
  </si>
  <si>
    <t>SUM(2.0+2.1+2.6+0.5)*3</t>
  </si>
  <si>
    <t>Rework (Stain/Coating)</t>
  </si>
  <si>
    <t>half of total lines</t>
  </si>
  <si>
    <t>ROUNDUP(SUM(lines)/2,0)*3</t>
  </si>
  <si>
    <t>Mender</t>
  </si>
  <si>
    <t>Carton Pkg</t>
  </si>
  <si>
    <t>3 x total required lines</t>
  </si>
  <si>
    <t>SUM(lines)*3*3</t>
  </si>
  <si>
    <t>Carton Pkg jobber</t>
  </si>
  <si>
    <t>LO packing</t>
  </si>
  <si>
    <t>ROUNDUP(4/3,0) person/shift</t>
  </si>
  <si>
    <t>ROUNDUP(4/3,0)*3</t>
  </si>
  <si>
    <t>Carving/ Color Cut</t>
  </si>
  <si>
    <t>7 person/shift</t>
  </si>
  <si>
    <t>7*3</t>
  </si>
  <si>
    <t>Metal Detector</t>
  </si>
  <si>
    <t>6 person/shift</t>
  </si>
  <si>
    <t>6*3</t>
  </si>
  <si>
    <t>Down Grade</t>
  </si>
  <si>
    <t>DG Jobber</t>
  </si>
  <si>
    <t>House Keeping</t>
  </si>
  <si>
    <t>Hot Melt</t>
  </si>
  <si>
    <t>Shortfall</t>
  </si>
  <si>
    <t>Inspection</t>
  </si>
  <si>
    <t>4 person/day</t>
  </si>
  <si>
    <t>4</t>
  </si>
  <si>
    <t>Chenille Preparation (Only Sewing Line)</t>
  </si>
  <si>
    <t>(Chenille Req/Day/3)/600</t>
  </si>
  <si>
    <t>((11889/3)/600)*3</t>
  </si>
  <si>
    <t>TQM</t>
  </si>
  <si>
    <t>Drylon TQM</t>
  </si>
  <si>
    <t>TQM Per Day</t>
  </si>
  <si>
    <t>ROUNDUP(TQM*Reqd.Lines,0) per shift</t>
  </si>
  <si>
    <t>ROUNDUP((3.8*4.1),0)*3</t>
  </si>
  <si>
    <t>Poly PK AQL</t>
  </si>
  <si>
    <t>Carton AQL</t>
  </si>
  <si>
    <t>5 person/shift</t>
  </si>
  <si>
    <t>5*3</t>
  </si>
  <si>
    <t>Carton DEO</t>
  </si>
  <si>
    <t>Chenille TQM</t>
  </si>
  <si>
    <t>ROUNDUP((1.0*2.6),0)*3</t>
  </si>
  <si>
    <t>Cotton TQM</t>
  </si>
  <si>
    <t>ROUNDUP((1.9*0.5),0)*3</t>
  </si>
  <si>
    <t>0 person/shift</t>
  </si>
  <si>
    <t>0</t>
  </si>
  <si>
    <t>Other Support</t>
  </si>
  <si>
    <t>Che Spng</t>
  </si>
  <si>
    <t>MT</t>
  </si>
  <si>
    <t>1 person/2 shifts</t>
  </si>
  <si>
    <t>1*2</t>
  </si>
  <si>
    <t>TT</t>
  </si>
  <si>
    <t>1 person/1 shift</t>
  </si>
  <si>
    <t>1*1</t>
  </si>
  <si>
    <t>Sample</t>
  </si>
  <si>
    <t>Lab</t>
  </si>
  <si>
    <t>Cut</t>
  </si>
  <si>
    <t>2 person/2 shifts</t>
  </si>
  <si>
    <t>2*2</t>
  </si>
  <si>
    <t>Piping</t>
  </si>
  <si>
    <t>TQM Line Jobber</t>
  </si>
  <si>
    <t>In-coming</t>
  </si>
  <si>
    <t>Store- Trims</t>
  </si>
  <si>
    <t>Jobber - Trims Issue physically</t>
  </si>
  <si>
    <t>1 jobber/shift</t>
  </si>
  <si>
    <t>Main Stores + Sub Stores</t>
  </si>
  <si>
    <t>3 person/shift</t>
  </si>
  <si>
    <t>Checker- Trims Checking</t>
  </si>
  <si>
    <t>2 checker/shift</t>
  </si>
  <si>
    <t>Jobber - Polybags/Threads &amp; Common items Issuance</t>
  </si>
  <si>
    <t>Store Boy- Unloading &amp; Stacking in Racks</t>
  </si>
  <si>
    <t>4 person/general shift</t>
  </si>
  <si>
    <t>4*1</t>
  </si>
  <si>
    <t>Store Boy- Twill/Piping/ Fabrics, &lt; 500 kg unloading to be done</t>
  </si>
  <si>
    <t>1 person/general shift</t>
  </si>
  <si>
    <t>Store- Carton</t>
  </si>
  <si>
    <t>Store Boy- Cartons/Accessories making</t>
  </si>
  <si>
    <t>Store Boy- Bin Updation</t>
  </si>
  <si>
    <t>Store Boy- Cartons Unloading</t>
  </si>
  <si>
    <t>Store- Dyes &amp; Camical</t>
  </si>
  <si>
    <t>Store Boy</t>
  </si>
  <si>
    <t>Store Boy- Contractor Packing store</t>
  </si>
  <si>
    <t>Sub-Stores</t>
  </si>
  <si>
    <t>Dispatch &amp; Warehouse</t>
  </si>
  <si>
    <t>3 jobber/shift</t>
  </si>
  <si>
    <t>Forklift / Combilift Driver</t>
  </si>
  <si>
    <t>4 driver/shift</t>
  </si>
  <si>
    <t>Scanner</t>
  </si>
  <si>
    <t>Material Handler (Unloading, Loading)</t>
  </si>
  <si>
    <t>13 person/shift</t>
  </si>
  <si>
    <t>13*3</t>
  </si>
  <si>
    <t>PPC</t>
  </si>
  <si>
    <t>Mis Floor Co-Ordinator</t>
  </si>
  <si>
    <t>T&amp;D</t>
  </si>
  <si>
    <t>Trainer</t>
  </si>
  <si>
    <t>Trainee</t>
  </si>
  <si>
    <t>P &amp; IR</t>
  </si>
  <si>
    <t>Time Keeper</t>
  </si>
  <si>
    <t>4*2</t>
  </si>
  <si>
    <t>ADMINISTRATION</t>
  </si>
  <si>
    <t>Peon</t>
  </si>
  <si>
    <t>Mis Floor Co-Ordinator (Gate Entry)</t>
  </si>
  <si>
    <t>Medical</t>
  </si>
  <si>
    <t>Sweeper</t>
  </si>
  <si>
    <t>11 person/shift</t>
  </si>
  <si>
    <t>11*2</t>
  </si>
  <si>
    <t>SECURITY</t>
  </si>
  <si>
    <t>Security Guard</t>
  </si>
  <si>
    <t>5.33 person/shift</t>
  </si>
  <si>
    <t>5.33*3</t>
  </si>
  <si>
    <t>Grey</t>
  </si>
  <si>
    <t>Lot Maker (Receiving, Staking, Lotmaking, Issueing)</t>
  </si>
  <si>
    <t>2 jobber/shift</t>
  </si>
  <si>
    <t>Operator- BT Stacker</t>
  </si>
  <si>
    <t>3 operator/shift</t>
  </si>
  <si>
    <t>PD</t>
  </si>
  <si>
    <t>Tufter- Table Tufting</t>
  </si>
  <si>
    <t>Carver- Carving</t>
  </si>
  <si>
    <t>Checker- Checking</t>
  </si>
  <si>
    <t>1 checker/shift</t>
  </si>
  <si>
    <t>Sample Attendant - Machine tuft sample Checker, Sampling</t>
  </si>
  <si>
    <t>DEO- MIS &amp; Sample, design</t>
  </si>
  <si>
    <t>Packer- Sample distpatch/sample packing and inactive packing</t>
  </si>
  <si>
    <t>Packer / Loat Maker- Lot Issue/Quality Wise Seg.</t>
  </si>
  <si>
    <t>Jobber- Packing , Finishing and rolling,Documentation</t>
  </si>
  <si>
    <t>Stitching- Rugs and Carpet</t>
  </si>
  <si>
    <t>Engneering</t>
  </si>
  <si>
    <t>Carpenter - Civil Work, Painting</t>
  </si>
  <si>
    <t>Electrician - Utility Mechanical &amp; Electrical</t>
  </si>
  <si>
    <t>Fitter - Preventive Maintenance of prod M/C</t>
  </si>
  <si>
    <t>2 fitter/shift</t>
  </si>
  <si>
    <t>Electrician - Electronic Lab</t>
  </si>
  <si>
    <t>Fitter - ETP</t>
  </si>
  <si>
    <t>1 fitter/shift</t>
  </si>
  <si>
    <t>AC TECHNICIAN - AC</t>
  </si>
  <si>
    <t>Fitter - Dyeing Machine Maintanance</t>
  </si>
  <si>
    <t>Electrician - Smart &amp; INA Lines</t>
  </si>
  <si>
    <t>Helper Table</t>
  </si>
  <si>
    <t>Type</t>
  </si>
  <si>
    <t>Line</t>
  </si>
  <si>
    <t>Req/Day</t>
  </si>
  <si>
    <t>Production Capacity</t>
  </si>
  <si>
    <t>Reqd. Lines</t>
  </si>
  <si>
    <t>TQM Capacity</t>
  </si>
  <si>
    <t>Notes</t>
  </si>
  <si>
    <t>Reqd. Lines = Req/Day / Production Capacity / 3</t>
  </si>
  <si>
    <t>Loading = always 1 person per line per shift</t>
  </si>
  <si>
    <t>Smart Line capped at 2 lines; balance moves to INA</t>
  </si>
  <si>
    <t>TQM = Production Capacity / TQM Capacity</t>
  </si>
  <si>
    <t>Draft Final Manpower Table</t>
  </si>
  <si>
    <t>HO_Scientific_Manpower</t>
  </si>
  <si>
    <t>HO_Final_Manpower</t>
  </si>
  <si>
    <t>n_shifts</t>
  </si>
  <si>
    <t>MACHINE</t>
  </si>
  <si>
    <t>CAPACITY</t>
  </si>
  <si>
    <t>COTTON</t>
  </si>
  <si>
    <t>DRYLON</t>
  </si>
  <si>
    <t>Machine_count</t>
  </si>
  <si>
    <t>Machine_count * DRYLON or Machine_count * COTTON</t>
  </si>
  <si>
    <t>DRYLON_Production</t>
  </si>
  <si>
    <t>MC</t>
  </si>
  <si>
    <t>EZM-01</t>
  </si>
  <si>
    <t>EZM-02</t>
  </si>
  <si>
    <t>COTTON_Production</t>
  </si>
  <si>
    <t>EZM-03</t>
  </si>
  <si>
    <t>Total</t>
  </si>
  <si>
    <t>EZM-04</t>
  </si>
  <si>
    <t>Avail</t>
  </si>
  <si>
    <t>EZM-05</t>
  </si>
  <si>
    <t>Short/Excess</t>
  </si>
  <si>
    <t>EZM-06</t>
  </si>
  <si>
    <t>EZM-07</t>
  </si>
  <si>
    <t>EZM-08</t>
  </si>
  <si>
    <t>EZM-09</t>
  </si>
  <si>
    <t>EZM-10</t>
  </si>
  <si>
    <t>EZM-11</t>
  </si>
  <si>
    <t>EZM012</t>
  </si>
  <si>
    <t>PD-03</t>
  </si>
  <si>
    <t>PD-04</t>
  </si>
  <si>
    <t>PD-07</t>
  </si>
  <si>
    <t>PD-08</t>
  </si>
  <si>
    <t>PD-09</t>
  </si>
  <si>
    <t>EZM-12</t>
  </si>
  <si>
    <t>EZM-13</t>
  </si>
  <si>
    <t>EZM-14</t>
  </si>
  <si>
    <t>EZM-15</t>
  </si>
  <si>
    <t>PD-01</t>
  </si>
  <si>
    <t>PD-02</t>
  </si>
  <si>
    <t>PD-05</t>
  </si>
  <si>
    <t>PD-06</t>
  </si>
  <si>
    <t>PD-10</t>
  </si>
  <si>
    <t>PD-11</t>
  </si>
  <si>
    <t>PD-12</t>
  </si>
  <si>
    <t>PD-13</t>
  </si>
  <si>
    <t>PD-14</t>
  </si>
  <si>
    <t>PD-15</t>
  </si>
  <si>
    <t>PD-16</t>
  </si>
  <si>
    <t>PD-17</t>
  </si>
  <si>
    <t>Efficiency</t>
  </si>
  <si>
    <t>Required Pcs</t>
  </si>
  <si>
    <t>additional Req</t>
  </si>
  <si>
    <t>M/s Capacity Proposed</t>
  </si>
  <si>
    <t>No. Of Batch</t>
  </si>
  <si>
    <t>Prod/mc/day (Kgs)</t>
  </si>
  <si>
    <t>Pcs/day/mc</t>
  </si>
  <si>
    <t>Total M/c Req</t>
  </si>
  <si>
    <t>Main_Group</t>
  </si>
  <si>
    <t>Sub_Group</t>
  </si>
  <si>
    <t>Category</t>
  </si>
  <si>
    <t>Subcategory</t>
  </si>
  <si>
    <t>Asking_Rate_Per_Day</t>
  </si>
  <si>
    <t>Packing</t>
  </si>
  <si>
    <t>Carving</t>
  </si>
  <si>
    <t>Chenile</t>
  </si>
  <si>
    <t>non carving</t>
  </si>
  <si>
    <t>Roll</t>
  </si>
  <si>
    <t>Grand Total</t>
  </si>
  <si>
    <t>Repacking/buffer/DG</t>
  </si>
  <si>
    <t>C&amp;S</t>
  </si>
  <si>
    <t>Overedging</t>
  </si>
  <si>
    <t>Stitching Type</t>
  </si>
  <si>
    <t>Drylon Washing</t>
  </si>
  <si>
    <t>Non dyeing</t>
  </si>
  <si>
    <t>tumble</t>
  </si>
  <si>
    <t>Overedging Total</t>
  </si>
  <si>
    <t>Union</t>
  </si>
  <si>
    <t>Cotton dyeing</t>
  </si>
  <si>
    <t>Polyester dyeing</t>
  </si>
  <si>
    <t>Union Total</t>
  </si>
  <si>
    <t>Grey Issue</t>
  </si>
  <si>
    <t>Process</t>
  </si>
  <si>
    <t>Processing</t>
  </si>
  <si>
    <t>MT (PC/Day)</t>
  </si>
  <si>
    <t>TT (PC/Day)</t>
  </si>
  <si>
    <t>cotton</t>
  </si>
  <si>
    <t>Foam</t>
  </si>
  <si>
    <t>M/c</t>
  </si>
  <si>
    <t>1/8 Cut</t>
  </si>
  <si>
    <t>1/8 MLCL</t>
  </si>
  <si>
    <t>1/10 Loop</t>
  </si>
  <si>
    <t>3/8 Cut</t>
  </si>
  <si>
    <t>3/8 Loop</t>
  </si>
  <si>
    <t>1/4 Rev</t>
  </si>
  <si>
    <t>3/16 Cut</t>
  </si>
  <si>
    <t xml:space="preserve">VAPI Location </t>
  </si>
  <si>
    <t>Avg. area/Pcs</t>
  </si>
  <si>
    <t>PCS /DAY</t>
  </si>
  <si>
    <t>MTR/ DAY</t>
  </si>
  <si>
    <t>Lac SQM/ Month</t>
  </si>
  <si>
    <t>Cotton-M/C Tufting</t>
  </si>
  <si>
    <t>Cotton-Table Tufting</t>
  </si>
  <si>
    <t>Bath Rugs (Wash)</t>
  </si>
  <si>
    <t>Bath Rugs (Non- Wash with Tumble)</t>
  </si>
  <si>
    <t>Parameter</t>
  </si>
  <si>
    <t>Material</t>
  </si>
  <si>
    <t>Value</t>
  </si>
  <si>
    <t>Speed</t>
  </si>
  <si>
    <t>Utilisation</t>
  </si>
  <si>
    <t>Effective Production</t>
  </si>
  <si>
    <t>Required Production</t>
  </si>
  <si>
    <t>Machines Required</t>
  </si>
  <si>
    <t>Metric</t>
  </si>
  <si>
    <t>Production</t>
  </si>
  <si>
    <t>Cotton Dyeing (TT)</t>
  </si>
  <si>
    <t>Pcs/Day</t>
  </si>
  <si>
    <t>Pcs/Month</t>
  </si>
  <si>
    <t>Linear Mtr</t>
  </si>
  <si>
    <t>Mat</t>
  </si>
  <si>
    <t>Shape/Design</t>
  </si>
  <si>
    <t>Over Edging</t>
  </si>
  <si>
    <t>Cotton Dyeing (MT)</t>
  </si>
  <si>
    <t>Drylon (Washing)</t>
  </si>
  <si>
    <t>Drylon_Rugs (Non_Washing)</t>
  </si>
  <si>
    <t>Carpet_Rolling</t>
  </si>
  <si>
    <t>Total Pcs</t>
  </si>
  <si>
    <t>Total In SqMtr</t>
  </si>
  <si>
    <t>Machine</t>
  </si>
  <si>
    <t>Length Cutting M/C</t>
  </si>
  <si>
    <t>Existing Capacity/MC</t>
  </si>
  <si>
    <t>Requirements/day</t>
  </si>
  <si>
    <t>Total M/C Reqd</t>
  </si>
  <si>
    <t>Existing MCs available</t>
  </si>
  <si>
    <t>New M/C Reqd</t>
  </si>
  <si>
    <t>Cross cutting M/C</t>
  </si>
  <si>
    <t>Printed / Manual cutting</t>
  </si>
  <si>
    <t>Shape cutting M/C</t>
  </si>
  <si>
    <t>Length Over edging(Rugs)</t>
  </si>
  <si>
    <t>Length Over edging(carpet)</t>
  </si>
  <si>
    <t>Tape Binding</t>
  </si>
  <si>
    <t>Over edging for Rugs</t>
  </si>
  <si>
    <t>Bartack</t>
  </si>
  <si>
    <t>Over Lock</t>
  </si>
  <si>
    <t>Table Tufting (3/16)</t>
  </si>
  <si>
    <t>Table Tufting (Reversable)</t>
  </si>
  <si>
    <t>Manual Overlock</t>
  </si>
  <si>
    <t>Cross Over edging (carpet)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</si>
</sst>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 indent="1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15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3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199" Type="http://schemas.openxmlformats.org/officeDocument/2006/relationships/sharedStrings" Target="sharedString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190" Type="http://schemas.openxmlformats.org/officeDocument/2006/relationships/externalLink" Target="externalLinks/externalLink182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calcChain" Target="calcChain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theme" Target="theme/theme1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styles" Target="styles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DIA\Companies\DMGT\Models\DMGT-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A2\Comm_Report\Variable%20Cost\dyes%20&amp;%20chemic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a7510494/Desktop/pending%20pr%20upto%2030.06.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wil_accounts\Desktop\POP%20breakup%20as%20on%20march%2007ol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313\My%20Documents\My%20Documents\TT\Com_Reports\Nov\Reports\Com.Repo_Nov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Stores%20&amp;%20Spares\Stores%20&amp;%20Spares%20Aug.05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ac-023\SHARING\Documents%20and%20Settings\kamleshm\Desktop\Welspun%20-%20Tax%20Audit%202005\2004-05\DTA\Clause%2012%20(b)-%20D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Presentation\2006-07\Commercial%20Report\(12)%20March'07\Jobwork%20Expenses\Jobwork%20expense%20March%20-%20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578\Local%20Settings\Temporary%20Internet%20Files\OLKF\Job_Work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Comm_Report\Variable%20Cost\dyes%20&amp;%20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6-07\Commercial%20Report\(12)%20March'07\Jobwork%20Expenses\Jobwork%20expense%20March%20-%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MEDIA\Companies\DMGT\Models\DMGT-Mo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notes6030C8\OVHD_APRIL%20TO%20JUNE04_REGROUPED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TB%20as%20on%20%2015.5.04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MAY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%20Apr07%20to%20june-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AC\INFOBASE\DOCSOPEN\PROGS\DOCS\TRANSLIB\0001696.0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1999-00\Final%20Accounts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7-08\Commercial%20Report\(1)%20April%20'07\Key%20data%20%20Sales%20Analysis%20For%20%20YTD%20-%20April-20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kamleshm\Desktop\Welspun%20-%20Tax%20Audit%202005\2004-05\DTA\Clause%2012%20(b)-%20D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09\Comm_Report\Variable%20Cost\dyes%20&amp;%20chemic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YARN%20CONSUMPTION-APR-JUNE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serv\finance\Documents%20and%20Settings\a6510039\Local%20Settings\Temp\Wgsrl%20anjar%20Mar%2007ACCTS02-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wil_accounts\Desktop\POP%20breakup%20as%20on%20march%2007ol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-%20Daurala%20Suga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EDIA\Companies\DMGT\Models\DMGT-Mo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pcmacc-017\share\Documents%20and%20Settings\a4040069\My%20Documents\BUDGET%2012-13\Final%20PCMD%2012-13\Documents%20and%20Settings\a6510039\Local%20Settings\Temp\Wgsrl%20anjar%20Mar%2007ACCTS02-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dm\vol3\FINSTOCK\GCA\POLIC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661\Local%20Settings\Temporary%20Internet%20Files\OLK8E\OLDINSSTAT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67C3648\OLDINSSTAT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Banking\C%20L%20I%20E%20N%20T%20S\Handex(new)\Handex%20model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IT\i-Flex\IFLX_Model_Valerie's%20cas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SECTOR\TCOM\Comps\comps_over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COST\COST_INDIVIDUAL\Vishal\Packing%20Matl%20consump%20revised-Q-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l%20Drafts\Debt%20schedule-JK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h1100775/Local%20Settings/Temporary%20Internet%20Files/OLK108/final/Draft%20Balance%20Sheet%20June%202008%20220708vap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infosys_mode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FreshDirect%20Model%201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Public%20Companies\Check%20Point\Merger%20Mod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fieglein\Desktop\My%20Briefcase\My%20Documents\Work%20Projects\Peregrine\Ptarmigan%20model%200702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models-old\INFY_mode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vi\ravi\Ravi\QBRs\bg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nandu\LOCALS~1\Temp\notes6030C8\OVHD_APRIL%20TO%20JUNE04_REGROUPED_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rut\Celetronix\DOCUME~1\nandu\LOCALS~1\Temp\notes6030C8\OVHD_APRIL%20TO%20JUNE04_REGROUPED_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YLP4O248\B%20Plan%202012-13\Business%20Plan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chives\2001\11%2001\Results%20Review\Turnover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7510628\LOCALS~1\Temp\TEMP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Mar03\Mar'03_10K_Dist(N15.05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494\Desktop\pending%20pr%20upto%2030.06.200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RL-%20ICIC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goodson\Desktop\My%20Briefcase\My%20Documents\Security\Entrust\Entu_historical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T\Mahindra%20BT\GA%20Org\Comps\All%20Comps_combined_Jan%2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ngapor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s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B.Plan%202013-14\Rakholi%20B.%20Plan%202013-14%20(1st%20draft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DCX1RC4J\June-2013\Actual%20PL-Rakholi-POY%20%20TEX-June-2013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Documents%20and%20Settings\v1370860\Desktop\Monthly%20Works\Related%20Party%20Transactions\2007-03\WELSPUN_USA_31-12-2006%201%20poin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\c\Nitesh\FFB-Model\Valuation%20JKI%20Tyre%20-%20200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meghan\Temporary%20Internet%20Files\OLKCD\BudgetTem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5%2001\brazil%205%2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SATYAM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Finance%20NA\Financial%20Planning%20&amp;%20Analysis\FINPLAN\Budget\2004\Pass%201\2004%20Plan%20Template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Telecom\Idea\6.6.05%20Idea%20Model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jm\Desktop\060607%20-%20Project%20Bird%20Mode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y%20Documents\QBrick\AB.ROCK.LB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ive\plc\My%20Documents\Reporting\04%20April\April\April%20Group%20Consolidation%20Mode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Reports\BRM%202000\BRM%20(11)\Oct_Opex&amp;Cost_Analysi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s\Q300%20Fcst\Sam%20Q300%20Fcst%20NAopex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l2lezaa0\My%20Documents\Brazil%20Elias%20Version%2012%20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EYR_Mode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final_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%20Costing%20Bud%20F0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erlot%20-%20Napa%20(UBSW%20model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09\D\ajay%20data\d\ajay\RUNNING%20ORDER\SPRING400%20REPEAT\SPRING%20400-DPR%20IN%20SAP-REPEA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l\wil\05%2001\brazil%205%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g\tools\ESO\ESO%20Backu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gg\tools\ESO\ES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10\COSTING\COSTING\2004-2005\TARGET\SOLID%20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01\COSTING\COST\MIS\MIS2006\JUNE%20-06\Dyed%20Yarn%20Consumptio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10\Stock%20Valuation\(5)%20August%202009\Stock%20valuation%20for%20the%20month%20of%20Aug%202009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87\My%20Documents\MILIND%202008-09\MONTHLY%20BALANCE%20SHEET\SEPT%202008\FA%20SCHEDULE\FIXED%20ASSETS%20REGISTER%20-%2030.09.2008-AFTER%20WEL%20HOUSE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h2668\Desktop\Cost%20Sheet\Profit%20&amp;%20Loss%20Statement%20Advanced%20Textiles%20July'12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Simi\Outsourced%20Grey%20Fabric%20Consumption%20Dec%20'09\Feb'10\Freight%20&amp;%20Gain-Los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2%2002\conso%2002_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Documents%20and%20Settings\anrak179\Desktop\ravikiran\Skoda\Fixed%20Assets\Combined%20ToD%20Template%20-%20June%2020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tructured%20Balance%20Shee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it\c\Nitesh\DSIL\Files%20Came%20from%20DSIL\pvr-valu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vr-valu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June'03\OHDS_APP_JUN'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\tonite\Bb%20Budget%202002%20v1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machine%20wise%20product%20costing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FT2000\Billings\0600\Billing%20060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Local%20Settings\Temporary%20Internet%20Files\OLK2\Screamer_02_04_0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ORATLA\NEWFI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271\henrick_project%2022%20Mar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\DATA\USER\RATAN\PROJECT\APR200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MISSINGGROU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ion%20Budge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mohan\LOCALS~1\Temp\INS0404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NASH\Local%20Settings\Temporary%20Internet%20Files\OLK29\Xchanging%20Model_1April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~1\mmistry\LOCALS~1\Temp\minimerg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cpu022\e$\USER\RATAN\PROJECT\JAN_200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sltemp\dk\Business%20Plan%2012-13\Business%20Plan%20-%202010-1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DOCUME~1\nancy\LOCALS~1\Temp\notes968236\Mar%2004%20TB%20as%20on%20%2012.8.04%20for%20%2010K%20%20form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Business%20Plan%202016%2017\ATT\Wet%20Wipes%20Business%20Plan%20V1.17%20(1)%20(1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DA\Product%20Costing%20for%20RRM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7C9E9\03RebatesMthly_Regional%20Rp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Somani%20Ji%20WCPGL%201%20x%2080%20MW%20CPP%20-%20Fitchner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Egret%20Sparrow%20Analysis_v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plan\2005%20Plan\Final%20Pass\Board%20Book\2005%20Board%20Summary%20Scheds%20-%20Kent%20(Final%20Pass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2002-03\Final%20Accounts%2002-03%2030%25%20Div%20with%20incorrect%20related%20party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l\aruna\TRANSFER\graph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27.2.06\Prodn_VCost\Production%20Budge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a7510355\LOCALS~1\Temp\ANJAR%20BSPL%20JULY'06-fina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MANISH~1.CIP\LOCALS~1\Temp\notesFFF692\DOCUME~1\nancy\LOCALS~1\Temp\notes968236\Mar%2004%20TB%20as%20on%2011.9.04%20%20Indian%20Gaap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VNU%20Games\VUG-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bks01\ibkdgrp\Documents%20and%20Settings\sharad.kothari\My%20Documents\Budget\Budget%202003-04\Budget%20-%2003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amat\kama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cfsl\final\cashflow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OXFORD\canara\cmamiscellaniou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December%202003\TB%20%20Dec%20%20as%20on%2013.2.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B2Wmumvgaik\MIS\MAY'04\CIPL_TB_MAY'04_110604_M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FEBRUARY%202004\Feb%2004%20%20TB%20%20as%20%20on%20%2013.03.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%20TB%20%20as%20on%20%2015.4.0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19\ie5\Temporary%20Internet%20Files\OLK271\PeopleSoft%20-%20PSF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nov%2010%20meeting\short%20form%20lob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gela\05%2002\DB_LA_summary_0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Vireo%20-%20Model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ndrei\Local%20Settings\Temporary%20Internet%20Files\OLK150\8181%20Reforecast%2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gt9900_GE%20(1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WINDOWS\Desktop\kdbsdec99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OVHDS_REGROUPED_QI_REV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ING\COST\COST_INDIVIDUAL\Vishal\RAW%20MATERIAL%20YARN%20CONSUM-JULY-0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Financial%20Services\Misys\Copy%20of%20Misys%20Sum%20of%20the%20Parts%20Valuation,%20v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archives\RECS\RECS\RECS297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USGAAP_Final\CCWISE%20&amp;%20TB%20Working%20files\CIPL\October_%202003\OHDS_APP_OCT'03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AtlBusPlan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Revenue%20Plans\PCSBusPlan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databas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Health%20Market\HM%20Valuation%2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tob-004\share%20folder\DATA\PACKING%20&amp;%20BARCODES\JAN%202009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Regional%20Measurerment%20Center/Japan/P&amp;G/Compensation%20survey/Data%202001/PG&#29992;Dat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1184\Desktop\Dyes%20N%20Chemicals%20Working%20HITESH%20April\Printing%20April'0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my%20documents\Models\Returns%20Model%20Template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520\C$\DOCUME~1\mgb\LOCALS~1\Temp\Documents%20and%20Settings\Agiwal\Local%20Settings\Temporary%20Internet%20Files\OLK6\Worksheet%20in%20Basis%20(1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Buusiness%20Paln%2006_07\Version-5\Terry_Towel_2006-07_28.06.06_Version_V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0.2.06\Prodn_VCost\Production%20Budget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0.2.06\Prodn_VCost\Production%20Budget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Budget%20presentation\TTBplan_org_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SERVER\COSTUSERS\BRM%20FOLDER\LAL\CASHFLOW%20PROJECTIO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er1\share\Documents%20and%20Settings\h1120\Desktop\BP\Q2\Projn%20Q2...4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fxs01\Financials\05-03\02-05\Sap-927_%202%20May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DAILY%20REPORTS\GCIL_Daily%20Reports\GCIL%20DAILY%20REPORT-2007-08\08-NOVEMBER-2007\DPR-30.11.2007-REVISED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NA-MEN-01\Data\menlo\COMPANY\NORTEL\AMETHYST\MODELS\PPAID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ps-009\shared%20folder\Documents%20and%20Settings\A7510202.WELSPUNGRP\Local%20Settings\Temp\Estimated%20profitability%20of%20Running%20order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Sales_VME\Sales%20Budget%20F07_altI_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WINDOWS\TEMP\QDrive\march00\TIMI0300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53\Sharing%20Folder\DPR%20-2010\ORDER%20STATUS-15th%20FEB-2010\TARGET%2024th%20FEB%20VESSEL%20STATU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Planning\Plan%2002\Plan%20Banks%202002%20Q3A\corporate%20plan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f_fd\c\BCR\BCRTCFN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anagedCare\Boorady\Current%20Models\Company%20Info\AET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singh%20impotant%20file\Store%20&amp;%20Spares\Stores%20&amp;%20Spares%20March-09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WINDOWS/MASCOT/CORE2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July2000%20as%20of%2013.6.2000\Debt%20schedule-JK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nts%20and%20Settings\CNGupta\Local%20Settings\Temp\notesC6B872\CIPL_June_0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AMISH%20Share\FY-08\Stock%20Valuation\(9)%20Dec'07\Stock%20Valuation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1)%20April'08\Stock%20as%20on%2030.04.08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Documents%20and%20Settings\v1370393\Desktop\JUNE-JULY%2005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Stock%20Valuation\(3)%20June'08\Stock%20Valuation%20summary%20for%20the%20month%20of%20June%202008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2)%20May'08\Stock%20as%20on%2031st%20May.2008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1B4\Stock%20as%20on%2031st%20May.200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2\Miami%2007%200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1\conso%207_0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A%20Costing%20for%20Advanced%20Textiles\4%20Coating%20Line\Coating%20Line%20%20Costing%20format%20Dt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DOCUME~1\ANANDP~1\LOCALS~1\Temp\Temporary%20Directory%201%20for%20MIS%20up%20to%20Dec-Group.zip\MIS%20up%20to%20Dec-Grou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Quartely%20Details/SEPT'07/Corporate/essdata/mgmt/workbook/6310P09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rpgcable\finantes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wde\VG_Backup\Feb'04\CIPL_Feb%2004%20%20TB%20%20as%20%20on%20%2013.03.04(from%20MS)%20revised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FY%202017-18\9.%20Dec%202017\7.PBT\Qtr-III%20Needle%20Punch\Needle%20Punch%20Costing%20Master%20File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Users\kr01\AppData\Local\Microsoft\Windows\Temporary%20Internet%20Files\OLK71C5\CHRISTY-HLT18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20\Local%20Settings\Temporary%20Internet%20Files\OLK22\wusa19thapril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int01\itd\Impulse%20Reports\Jul-Aug\August%20Stock%20Valuation\Stockstatus-31%20Aug%20Market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Accounting\Fy2001\Gross%20Margin%20Analysis%20-%20Q4%20FY2001.xl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mbrish\Local%20Settings\Temporary%20Internet%20Files\OLK1A7A\SICAL%20Container%20Rail%20Movement%20Model%204Mar06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cmorris\Local%20Settings\Temporary%20Internet%20Files\OLK3\My%20Briefcase\My%20Documents\Portolio\Chordiant\My%20Briefcase\My%20Documen\Prime%20Response\Firepond\Merge_fire_str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  <sheetName val="Valit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  <sheetName val="pending_inden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  <sheetName val="pending indent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A_V"/>
      <sheetName val="Input_A_Q"/>
      <sheetName val="Input_B_V"/>
      <sheetName val="Ann-1"/>
      <sheetName val="Ann-2"/>
      <sheetName val="P&amp;L_CM"/>
      <sheetName val="P&amp;L_YTD"/>
      <sheetName val="Input_B_Q"/>
      <sheetName val="Ann-5"/>
      <sheetName val="Ann-6"/>
      <sheetName val="Ann-7"/>
      <sheetName val="Ann-8"/>
      <sheetName val="Ann-9"/>
      <sheetName val="Ann-10"/>
      <sheetName val="Ann11"/>
      <sheetName val="Ann-12"/>
      <sheetName val="Ann-1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TT YTD Presentation"/>
      <sheetName val=" Reco Acc"/>
      <sheetName val="For P&amp;L Aug"/>
      <sheetName val="Stock"/>
      <sheetName val="Working"/>
      <sheetName val="TQM"/>
      <sheetName val="Supply chain"/>
      <sheetName val="PPC"/>
      <sheetName val="HSGA"/>
      <sheetName val="Spinning by Deptt"/>
      <sheetName val="Spinning"/>
      <sheetName val="Cut &amp; Sew"/>
      <sheetName val="Processing"/>
      <sheetName val="Weaving"/>
      <sheetName val="Power Plant"/>
      <sheetName val="ETP"/>
      <sheetName val="Boiler"/>
      <sheetName val="Mech. cell"/>
      <sheetName val="Compr."/>
      <sheetName val="Elect. Cell"/>
      <sheetName val="Sheeting Weaving"/>
      <sheetName val="Cut &amp; Sew Sheetng"/>
      <sheetName val="Process Sheetng "/>
      <sheetName val="Process Sheetng"/>
      <sheetName val="Weav Sheetng"/>
      <sheetName val="TT_YTD_Presentation"/>
      <sheetName val="_Reco_Acc"/>
      <sheetName val="For_P&amp;L_Aug"/>
      <sheetName val="Supply_chain"/>
      <sheetName val="Spinning_by_Deptt"/>
      <sheetName val="Cut_&amp;_Sew"/>
      <sheetName val="Power_Plant"/>
      <sheetName val="Mech__cell"/>
      <sheetName val="Compr_"/>
      <sheetName val="Elect__Cell"/>
      <sheetName val="Sheeting_Weaving"/>
      <sheetName val="Cut_&amp;_Sew_Sheetng"/>
      <sheetName val="Process_Sheetng_"/>
      <sheetName val="Process_Sheetng"/>
      <sheetName val="Weav_Sheetng"/>
      <sheetName val="PPP 2023-2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  <sheetName val="DOWN PAYMENT SERVICE"/>
      <sheetName val="Clause_12_(b)"/>
      <sheetName val="Excise_on_RM"/>
      <sheetName val="DOWN_PAYMENT_SERVICE"/>
      <sheetName val="Clause_12_(b)1"/>
      <sheetName val="Excise_on_RM1"/>
      <sheetName val="DOWN_PAYMENT_SERVICE1"/>
      <sheetName val="Power&amp;Fuel"/>
      <sheetName val="Do not delete"/>
      <sheetName val="AS2003"/>
      <sheetName val="P&amp;LSC"/>
      <sheetName val="SALE"/>
      <sheetName val="Clause 12 (b)- DTA"/>
      <sheetName val="Loss on Sale FA"/>
      <sheetName val="Salary Outstanding"/>
      <sheetName val="Clause_12_(b)2"/>
      <sheetName val="Excise_on_RM2"/>
      <sheetName val="Clause_12_(b)3"/>
      <sheetName val="Excise_on_RM3"/>
      <sheetName val="Clause_12_(b)4"/>
      <sheetName val="Excise_on_RM4"/>
      <sheetName val="Clause_12_(b)5"/>
      <sheetName val="Excise_on_RM5"/>
      <sheetName val="Clause_12_(b)6"/>
      <sheetName val="Excise_on_RM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3"/>
      <sheetName val="Sheet2"/>
      <sheetName val="Sheet1"/>
      <sheetName val="Sheet3_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Bal_Sheet"/>
      <sheetName val="TB__Rupees__$"/>
      <sheetName val="TB___$"/>
      <sheetName val="TB__Rs"/>
      <sheetName val="TB_RS_$__feb"/>
      <sheetName val="CC APR04"/>
      <sheetName val="CC MAY04"/>
      <sheetName val="CC JUNE04"/>
      <sheetName val="Sheet1"/>
      <sheetName val="TRIAL BALANCE"/>
      <sheetName val="Korrektur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Bal_Sheet3"/>
      <sheetName val="TB__Rupees__$3"/>
      <sheetName val="TB___$3"/>
      <sheetName val="TB__Rs3"/>
      <sheetName val="TB_RS_$__feb3"/>
      <sheetName val="Bal_Sheet4"/>
      <sheetName val="TB__Rupees__$4"/>
      <sheetName val="TB___$4"/>
      <sheetName val="TB__Rs4"/>
      <sheetName val="TB_RS_$__feb4"/>
      <sheetName val="Bal_Sheet5"/>
      <sheetName val="TB__Rupees__$5"/>
      <sheetName val="TB___$5"/>
      <sheetName val="TB__Rs5"/>
      <sheetName val="TB_RS_$__feb5"/>
      <sheetName val="Bal_Sheet6"/>
      <sheetName val="TB__Rupees__$6"/>
      <sheetName val="TB___$6"/>
      <sheetName val="TB__Rs6"/>
      <sheetName val="TB_RS_$__feb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May-07"/>
      <sheetName val="PARTY WISE PACKING CONSUM"/>
      <sheetName val="Sheet1"/>
      <sheetName val="PACKING GL MAY-07"/>
      <sheetName val="ACTUALPACKING -MAY-07"/>
      <sheetName val="COST PER KG "/>
      <sheetName val="WORKING"/>
      <sheetName val="PAcking_May-07"/>
      <sheetName val="PARTY_WISE_PACKING_CONSUM"/>
      <sheetName val="PACKING_GL_MAY-07"/>
      <sheetName val="ACTUALPACKING_-MAY-07"/>
      <sheetName val="COST_PER_KG_"/>
      <sheetName val="Jul DP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ummary of packing"/>
      <sheetName val="PAcking JUNE-07 (2)"/>
      <sheetName val="PAcking JUNE-07"/>
      <sheetName val="PARTY WISE PACKING"/>
      <sheetName val="Sheet1"/>
      <sheetName val="PACKING APR-MAY -JUNE"/>
      <sheetName val="qtrly -packing "/>
      <sheetName val="Sheet5"/>
      <sheetName val="MASTER-01st qtr-packinggl"/>
      <sheetName val="Sheet2"/>
      <sheetName val="Sheet4"/>
      <sheetName val="Sheet6"/>
      <sheetName val="Sheet7"/>
      <sheetName val="MASTER-01st qtr-packinggl (2)"/>
      <sheetName val="July"/>
      <sheetName val="WORKING"/>
      <sheetName val="BS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TIC"/>
      <sheetName val="Domprice"/>
      <sheetName val="POP SALARY "/>
      <sheetName val="SALES"/>
      <sheetName val="M.I.S."/>
      <sheetName val="Stock &amp;D"/>
      <sheetName val="Share Price Data  (2) (2)"/>
      <sheetName val="Paint"/>
      <sheetName val="PVC FBD"/>
      <sheetName val="RM DHR"/>
      <sheetName val="Data"/>
      <sheetName val="Alloc"/>
      <sheetName val="Validate"/>
      <sheetName val="Справочник"/>
      <sheetName val="Sheet1"/>
      <sheetName val="SPT vs PHI"/>
      <sheetName val="ESOS"/>
      <sheetName val="Summary"/>
      <sheetName val="Index"/>
      <sheetName val="Inter Co Balances"/>
      <sheetName val="Material List "/>
      <sheetName val="BALANCE-IOTL "/>
      <sheetName val="CSR budget 2016-17"/>
      <sheetName val="Final"/>
      <sheetName val="synthgraph"/>
      <sheetName val="Power &amp; Fuel(c)"/>
      <sheetName val="TargIS"/>
      <sheetName val="TargBSCF"/>
      <sheetName val="MASTER"/>
      <sheetName val="Additions"/>
      <sheetName val="KISSAN"/>
      <sheetName val="Power_&amp;_Fuel(c)"/>
      <sheetName val="Share_Price_Data__(2)_(2)"/>
      <sheetName val="base sheet"/>
      <sheetName val="JSCPL"/>
      <sheetName val="Earnings model"/>
      <sheetName val="Template"/>
      <sheetName val="Sheet2"/>
      <sheetName val="Sch 5 to 8"/>
      <sheetName val="Feb 04"/>
      <sheetName val="ACCTS- FIN"/>
      <sheetName val="Masters"/>
      <sheetName val="Graph"/>
      <sheetName val="GER IFO vs Const"/>
      <sheetName val="Europe sales Graph"/>
      <sheetName val="EU Ind vs EU Cons"/>
      <sheetName val="Balance Sheet Details CMC"/>
      <sheetName val="analysis"/>
      <sheetName val="Dropdowns"/>
      <sheetName val="cpbl"/>
      <sheetName val="JAN"/>
      <sheetName val="RPT 71-VOLUME DATA-PCI "/>
      <sheetName val="RPT 72-VOLUME DATA-Industry"/>
      <sheetName val="BP 2001 rates"/>
      <sheetName val="Anx-M"/>
      <sheetName val="Main"/>
      <sheetName val="Share_Price_Data__(2)_(2)1"/>
      <sheetName val="ReworkLabour"/>
      <sheetName val="TBEAM"/>
      <sheetName val="Rate Analysis"/>
      <sheetName val="Mix Design"/>
      <sheetName val="std-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Inv Det"/>
      <sheetName val="BS Abs"/>
      <sheetName val="Ratio"/>
      <sheetName val="Ratio B"/>
      <sheetName val="GRAPH"/>
      <sheetName val="ED"/>
      <sheetName val="TDS"/>
      <sheetName val="Deb age"/>
      <sheetName val="D.R."/>
      <sheetName val="Mod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nn-1"/>
      <sheetName val="Ann-2"/>
      <sheetName val="Ann-3"/>
      <sheetName val="Ann-4"/>
      <sheetName val="Ann-5"/>
      <sheetName val="Ann-6"/>
      <sheetName val="Ann-7"/>
      <sheetName val="Ann-7a"/>
      <sheetName val="Ann-8"/>
      <sheetName val="Ann-9"/>
      <sheetName val="Ann-10"/>
      <sheetName val="Ann-11"/>
      <sheetName val="Ann-12"/>
      <sheetName val="Ann-13"/>
      <sheetName val="Ann-14"/>
      <sheetName val="Ann-15"/>
      <sheetName val="Ann-16"/>
      <sheetName val="Ann-17"/>
      <sheetName val="Ann-18"/>
      <sheetName val="Ann-19"/>
      <sheetName val="Ann-20"/>
      <sheetName val="Ann-21"/>
      <sheetName val="Ann-22"/>
      <sheetName val="Ann-23"/>
      <sheetName val="Ann-23A"/>
      <sheetName val="Ann-24"/>
      <sheetName val="Ann-25"/>
      <sheetName val="Ann-26"/>
      <sheetName val="Ann-27"/>
      <sheetName val="Ann-28"/>
      <sheetName val="Ann-29"/>
      <sheetName val="Ann-30"/>
      <sheetName val="Ann-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  <sheetName val="Should_BE"/>
      <sheetName val="Customer_Wise"/>
      <sheetName val="Order_Wise"/>
      <sheetName val="D_&amp;_C_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 SUMM-APR-JUNE"/>
      <sheetName val="final summ qtrly"/>
      <sheetName val="QTRLY FILE"/>
      <sheetName val="MASTER"/>
      <sheetName val="SUMM"/>
      <sheetName val="COST PER KG "/>
      <sheetName val="FINAL_SUMM-APR-JUNE"/>
      <sheetName val="final_summ_qtrly"/>
      <sheetName val="QTRLY_FILE"/>
      <sheetName val="COST_PER_KG_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Tax (2)"/>
      <sheetName val="Assumptions - Sugar"/>
      <sheetName val="Assumptions-Fancy Sugar"/>
      <sheetName val="Cons-P&amp;L"/>
      <sheetName val="Financials"/>
      <sheetName val="Ratios"/>
      <sheetName val="WC Estimates"/>
      <sheetName val="Power&amp;Fuel"/>
      <sheetName val="Power&amp;Fuel (2)"/>
      <sheetName val="Depreciation"/>
      <sheetName val="debt schedule"/>
      <sheetName val="Tax"/>
      <sheetName val="Valuation"/>
      <sheetName val="Power_Fuel"/>
      <sheetName val="_x0000__x0000__x0000__x0002__x0000__x0000__x0000__x0000_䀘_x0000__x0000__x0000__x0000__x0001__x0000_"/>
      <sheetName val="_x0000__x0000__x0000__x0002__x0000__x0000__x0000__x0000_䀦_x0000__x0000__x0000__x0000__x0001__x0000__x0000__x0000_㵈ˑ㵰㿪_x0000_"/>
      <sheetName val="Sheet1"/>
      <sheetName val="Dec"/>
      <sheetName val="COST PER KG  (Qtr)"/>
      <sheetName val=""/>
      <sheetName val="March.10"/>
      <sheetName val="???_x0002_????䀘????_x0001_?"/>
      <sheetName val="???_x0002_????䀦????_x0001_???㵈ˑ㵰㿪?"/>
      <sheetName val="MC.9 - ROH"/>
      <sheetName val="stores &amp; spares"/>
      <sheetName val="____x0002_____䀘_____x0001__"/>
      <sheetName val="____x0002_____䀦_____x0001____㵈ˑ㵰㿪_"/>
      <sheetName val="_x005f_x0000__x005f_x0000__x005f_x0000__x005f_x0002__x0"/>
      <sheetName val="____x005f_x0002_____䀘_____x005f_x0001__"/>
      <sheetName val="____x005f_x0002_____䀦_____x005f_x0001____㵈ˑ"/>
      <sheetName val="???_x005f_x0002_????䀘????_x005f_x0001_?"/>
      <sheetName val="???_x005f_x0002_????䀦????_x005f_x0001_???㵈ˑ"/>
      <sheetName val="_x005f_x005f_x005f_x0000__x005f_x005f_x005f_x0000__x005"/>
      <sheetName val="____x005f_x005f_x005f_x0002_____䀘_____x005f"/>
      <sheetName val="____x005f_x005f_x005f_x0002_____䀦_____x005f"/>
      <sheetName val="???_x005f_x005f_x005f_x0002_????䀘????_x005f"/>
      <sheetName val="???_x005f_x005f_x005f_x0002_????䀦????_x005f"/>
      <sheetName val="_x005f_x005f_x005f_x005f_x005f_x005f_x005f_x0000__x005f"/>
      <sheetName val="____x005f_x005f_x005f_x005f_x005f_x005f_x005f_x0002____"/>
      <sheetName val="???_x005f_x005f_x005f_x005f_x005f_x005f_x005f_x0002_???"/>
      <sheetName val="Excise on RM"/>
      <sheetName val="Computation"/>
      <sheetName val="Paramaters"/>
      <sheetName val="Do not delete"/>
      <sheetName val="ADDTIONS"/>
      <sheetName val="#REF"/>
      <sheetName val="Sheet2"/>
      <sheetName val="BS &amp; P&amp;L"/>
      <sheetName val="_x0000__x0000__x0000__x0002__x0"/>
      <sheetName val="____x0002_____䀦_____x0001____㵈ˑ"/>
      <sheetName val="???_x0002_????䀦????_x0001_???㵈ˑ"/>
      <sheetName val="_x005f_x0000__x005f_x0000__x005"/>
      <sheetName val="____x005f_x0002_____䀘_____x005f"/>
      <sheetName val="____x005f_x0002_____䀦_____x005f"/>
      <sheetName val="???_x005f_x0002_????䀘????_x005f"/>
      <sheetName val="???_x005f_x0002_????䀦????_x005f"/>
      <sheetName val="_x005f_x005f_x005f_x0000__x005f"/>
      <sheetName val="____x005f_x005f_x005f_x0002____"/>
      <sheetName val="???_x005f_x005f_x005f_x0002_???"/>
      <sheetName val="Balance regroupée"/>
      <sheetName val="Sheet-2"/>
      <sheetName val="Photocopy"/>
      <sheetName val="FA Register"/>
      <sheetName val="Costing-blk-B"/>
      <sheetName val="Assumptions"/>
      <sheetName val="PAP France"/>
      <sheetName val="???_x0002__x0"/>
      <sheetName val="POP SALARY "/>
      <sheetName val="Quarterly Scrap"/>
      <sheetName val="Raw Data"/>
      <sheetName val="Raw Mtls."/>
      <sheetName val="WIP"/>
      <sheetName val="Finished Goods"/>
      <sheetName val="GiaVL"/>
      <sheetName val="Cschedules"/>
      <sheetName val="CMA"/>
      <sheetName val="tb"/>
      <sheetName val="Breadown"/>
      <sheetName val="_x0002_䀘_x0001_"/>
      <sheetName val="_x0002_䀦_x0001_㵈ˑ㵰㿪"/>
      <sheetName val="_x0002__x0"/>
      <sheetName val="Country"/>
      <sheetName val="MaterialSelection"/>
      <sheetName val="MaterialGroup"/>
      <sheetName val="Currency"/>
      <sheetName val="SuppliersSelection"/>
      <sheetName val="BD"/>
      <sheetName val="ArticlesSelection"/>
      <sheetName val="ProductSelection"/>
      <sheetName val="RFQSelection"/>
      <sheetName val="Fixexp_analysis"/>
      <sheetName val="Key-Ind"/>
      <sheetName val="Rmvar"/>
      <sheetName val="Prov. Comm. Inv."/>
      <sheetName val="CASHFLOWS"/>
      <sheetName val="CO_1"/>
      <sheetName val="PREPAYMENTS"/>
      <sheetName val="Valuation - Daurala Sugar"/>
      <sheetName val="대차대조표-공시형"/>
      <sheetName val="Lookups"/>
      <sheetName val="CRITERIA1"/>
      <sheetName val="DLR-WK"/>
      <sheetName val="OTH-WK"/>
      <sheetName val="BLN Detail 2000"/>
      <sheetName val="CIP Summary 0012"/>
      <sheetName val="CIP Detail 0011"/>
      <sheetName val="VLOOK"/>
      <sheetName val="99 to 00 blns"/>
      <sheetName val="_x005f_x005f_x005f_x005f_x005f_x005f_x005f_x005f_x005f_x005f_"/>
      <sheetName val="____x005f_x005f_x005f_x005f_x005f_x005f_x005f_x005f_x00"/>
      <sheetName val="???_x005f_x005f_x005f_x005f_x005f_x005f_x005f_x005f_x00"/>
      <sheetName val="Invoice"/>
      <sheetName val="full-gl-fi"/>
      <sheetName val="Statements"/>
      <sheetName val="MUS Testing"/>
      <sheetName val="A"/>
      <sheetName val="Cash Flow"/>
      <sheetName val="I.Tax"/>
      <sheetName val="B"/>
      <sheetName val="D"/>
      <sheetName val="Inputs"/>
      <sheetName val="Keyratios"/>
      <sheetName val="Cntrl Sheet"/>
      <sheetName val="NFF"/>
      <sheetName val="Facility"/>
      <sheetName val="deb"/>
      <sheetName val="SPR"/>
      <sheetName val="PAP"/>
      <sheetName val="Old"/>
      <sheetName val="Internet"/>
      <sheetName val="Accounts"/>
      <sheetName val="INCOME "/>
      <sheetName val="5 Star Hotel"/>
      <sheetName val="TBLINKAGE"/>
      <sheetName val="Budget 2"/>
      <sheetName val="VS 3"/>
      <sheetName val="IST 2"/>
      <sheetName val="Ausgabe 1"/>
      <sheetName val="VS 1"/>
      <sheetName val="AP"/>
      <sheetName val="VS 2"/>
      <sheetName val="entitlements"/>
      <sheetName val="Cashflow with no investment"/>
      <sheetName val="analysis"/>
      <sheetName val="pending indent"/>
      <sheetName val=" Comp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ISD-MG"/>
      <sheetName val="Sheet1"/>
      <sheetName val="Sheet2"/>
      <sheetName val="ltr"/>
      <sheetName val="Sheet4"/>
      <sheetName val="data"/>
      <sheetName val="graph"/>
      <sheetName val="pol-depl"/>
      <sheetName val="temp"/>
      <sheetName val="fg-info"/>
      <sheetName val="L&amp;A"/>
      <sheetName val="Apr-Sep99"/>
      <sheetName val="Sep-Dec99"/>
      <sheetName val="Apr-dec99"/>
      <sheetName val="Gr"/>
      <sheetName val="Sheet15"/>
      <sheetName val="graph-M+G"/>
      <sheetName val="Sheet3"/>
      <sheetName val="ISD_M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IRR"/>
      <sheetName val="LTM 8-30"/>
      <sheetName val="LTM 6-30"/>
      <sheetName val="Covenants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Income Statement"/>
      <sheetName val="income"/>
      <sheetName val="valmat"/>
      <sheetName val="Returns "/>
      <sheetName val="P&amp;L(F)"/>
      <sheetName val="Revenue and Cost - Product"/>
      <sheetName val="P&amp;L-Products(F)"/>
      <sheetName val="P&amp;L-Services(F)"/>
      <sheetName val="BS(F)"/>
      <sheetName val="CF(F)"/>
      <sheetName val="sum of parts"/>
      <sheetName val="DCF-Products"/>
      <sheetName val="DCF-Services"/>
      <sheetName val="Main Data"/>
      <sheetName val="Qrly_Datasheet"/>
      <sheetName val="MainData_Qtr"/>
      <sheetName val="Quarterly"/>
      <sheetName val="Qtr-Products"/>
      <sheetName val="Qtr-Services"/>
      <sheetName val="SG&amp;A"/>
      <sheetName val="Estimates"/>
      <sheetName val="Qtr-Corp"/>
      <sheetName val="P&amp;L"/>
      <sheetName val="BS"/>
      <sheetName val="CF"/>
      <sheetName val="Order Size"/>
      <sheetName val="P&amp;L-Products"/>
      <sheetName val="P&amp;L-Services"/>
      <sheetName val="BS_Parameters"/>
      <sheetName val="Tax"/>
      <sheetName val="dupont"/>
      <sheetName val="DCF-back up"/>
      <sheetName val="returns"/>
      <sheetName val="Summarized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"/>
      <sheetName val="OverallComps"/>
      <sheetName val="Cellularcomps"/>
      <sheetName val="Calculations"/>
      <sheetName val="OverallComps incl new emeg"/>
      <sheetName val="FX"/>
      <sheetName val="BT"/>
      <sheetName val="DT"/>
      <sheetName val="EIR"/>
      <sheetName val="FT"/>
      <sheetName val="KPN"/>
      <sheetName val="PT"/>
      <sheetName val="SWCM"/>
      <sheetName val="TLD"/>
      <sheetName val="TI"/>
      <sheetName val="TI1"/>
      <sheetName val="TEF"/>
      <sheetName val="&lt;&gt;"/>
      <sheetName val="MTA"/>
      <sheetName val="OTE"/>
      <sheetName val="SPT"/>
      <sheetName val="TPSA"/>
      <sheetName val="CRAD"/>
      <sheetName val="VIP"/>
      <sheetName val="ROS"/>
      <sheetName val="ROSP"/>
      <sheetName val="EMOB"/>
      <sheetName val="&lt; &gt;"/>
      <sheetName val="VIV"/>
      <sheetName val="BOUY"/>
      <sheetName val="EUR"/>
      <sheetName val="LIB"/>
      <sheetName val="CRK"/>
      <sheetName val="ELEK"/>
      <sheetName val="MOB"/>
      <sheetName val="MNN"/>
      <sheetName val="NTC"/>
      <sheetName val="ORA"/>
      <sheetName val="PAN"/>
      <sheetName val="SON"/>
      <sheetName val="STET H"/>
      <sheetName val="TIM1"/>
      <sheetName val="TIM"/>
      <sheetName val="TLE"/>
      <sheetName val="VIMP"/>
      <sheetName val="VOD"/>
      <sheetName val=" &lt;&gt;"/>
      <sheetName val="CW"/>
      <sheetName val="CAR"/>
      <sheetName val="CLT"/>
      <sheetName val="CTEL"/>
      <sheetName val="CWC"/>
      <sheetName val="EQU"/>
      <sheetName val="EGS"/>
      <sheetName val="INET"/>
      <sheetName val="JAZZ"/>
      <sheetName val="KQWT"/>
      <sheetName val="TELE"/>
      <sheetName val="GTS"/>
      <sheetName val="VTEL"/>
      <sheetName val="VSTL"/>
      <sheetName val="Emg Mkt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2nd qtr"/>
      <sheetName val="sUMMARY"/>
      <sheetName val="BUYER WISE PACKING aug"/>
      <sheetName val="jan feb"/>
      <sheetName val="march"/>
      <sheetName val="COST PER KG "/>
      <sheetName val="July"/>
      <sheetName val="Packing_2nd_qtr"/>
      <sheetName val="BUYER_WISE_PACKING_aug"/>
      <sheetName val="jan_feb"/>
      <sheetName val="COST_PER_KG_"/>
      <sheetName val="DAILY LAY REPOR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 schedule-tyres"/>
      <sheetName val="debt schedule -sugar"/>
      <sheetName val="debt-IDBI"/>
      <sheetName val="debt -ICICI"/>
      <sheetName val="debt -IFCI"/>
      <sheetName val="debt-SBI"/>
      <sheetName val="debt schedule - Corpo"/>
      <sheetName val="debt schedule - JKDPL"/>
      <sheetName val="debt-sugar"/>
      <sheetName val="debt -tyres"/>
      <sheetName val="debt - Corp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CoverSheet"/>
      <sheetName val="debt_schedule"/>
      <sheetName val="debt_schedule-tyres"/>
      <sheetName val="debt_schedule_-sugar"/>
      <sheetName val="debt_-ICICI"/>
      <sheetName val="debt_-IFCI"/>
      <sheetName val="debt_schedule_-_Corpo"/>
      <sheetName val="debt_schedule_-_JKDPL"/>
      <sheetName val="debt_-tyres"/>
      <sheetName val="debt_-_Corp"/>
      <sheetName val="Head_Office-Bud"/>
      <sheetName val="aug stat 06 (2)"/>
      <sheetName val="14-17-23-25  "/>
      <sheetName val="debt_schedule1"/>
      <sheetName val="debt_schedule-tyres1"/>
      <sheetName val="debt_schedule_-sugar1"/>
      <sheetName val="debt_-ICICI1"/>
      <sheetName val="debt_-IFCI1"/>
      <sheetName val="debt_schedule_-_Corpo1"/>
      <sheetName val="debt_schedule_-_JKDPL1"/>
      <sheetName val="debt_-tyres1"/>
      <sheetName val="debt_-_Corp1"/>
      <sheetName val="Head_Office-Bud1"/>
      <sheetName val="aug_stat_06_(2)"/>
      <sheetName val="14-17-23-25__"/>
      <sheetName val="Ann -1"/>
      <sheetName val="Returns (2)"/>
      <sheetName val="Customers Wise"/>
      <sheetName val="OTY"/>
      <sheetName val="GL Tally UpTo Dec'19"/>
      <sheetName val="Sheet1"/>
      <sheetName val="Invoice wise Pivot"/>
      <sheetName val="Sheet3"/>
      <sheetName val="Sheet4"/>
      <sheetName val="Sheet5"/>
      <sheetName val="Master Reg"/>
      <sheetName val="Cut Off"/>
      <sheetName val="Sale Dumpsite Billing PvTable"/>
      <sheetName val="Liquidated Damages"/>
      <sheetName val="Sales-Rate Difference"/>
      <sheetName val="Bend Transfer To Job Work"/>
      <sheetName val="ANN 3"/>
      <sheetName val="Sheet2"/>
      <sheetName val="Chq Payout"/>
      <sheetName val="LOCAL RATES"/>
      <sheetName val="ANALYSIS"/>
      <sheetName val="Interest 30-11-01 not PA 7%"/>
      <sheetName val="x-rate"/>
      <sheetName val="bs &amp; P&amp;l (2)"/>
      <sheetName val="Assumptions"/>
      <sheetName val="Data"/>
      <sheetName val="IMPACT"/>
      <sheetName val="ACCOUNTS"/>
      <sheetName val="인사현황(부서)"/>
      <sheetName val="P&amp;LSC"/>
      <sheetName val="Itercompany"/>
      <sheetName val="CF"/>
      <sheetName val="15"/>
      <sheetName val="Additions9900"/>
      <sheetName val="Challan"/>
      <sheetName val="Macrow"/>
      <sheetName val="BSHEET"/>
      <sheetName val="NC"/>
      <sheetName val="Ageing Due Date"/>
      <sheetName val="Prov. Comm. Inv."/>
      <sheetName val="Cover Page"/>
      <sheetName val="Control"/>
      <sheetName val="PV"/>
      <sheetName val="427"/>
      <sheetName val=" new Codes used"/>
      <sheetName val="MASTER"/>
      <sheetName val="Trial - City"/>
      <sheetName val="Trial - Space"/>
      <sheetName val="Trial - VL"/>
      <sheetName val="gen"/>
      <sheetName val="Validate Circuits"/>
      <sheetName val="Introduction"/>
      <sheetName val="Lg"/>
      <sheetName val="ISO Currency Codes"/>
      <sheetName val="Do not delete"/>
      <sheetName val="Financial Codes"/>
      <sheetName val="Financials"/>
      <sheetName val="Cabinet details"/>
      <sheetName val="XLR_NoRangeSheet"/>
      <sheetName val="Input-Pack Level"/>
      <sheetName val="CII"/>
      <sheetName val="2300"/>
      <sheetName val="Route 1"/>
      <sheetName val="TBAL9697 -group wise  sdpl"/>
      <sheetName val="inputs"/>
      <sheetName val="BUSREP"/>
      <sheetName val="PL"/>
      <sheetName val="Settings"/>
      <sheetName val="#REF"/>
      <sheetName val="MODEL"/>
      <sheetName val="BBH"/>
      <sheetName val="Headcount"/>
      <sheetName val="SCEL Funding"/>
      <sheetName val="CC_map"/>
      <sheetName val="Class_map"/>
      <sheetName val="HOUSE RENT DEPO."/>
      <sheetName val="Bb+Hubs Costs Split NORMALISED"/>
      <sheetName val="Final"/>
      <sheetName val="Summary-Price_New"/>
      <sheetName val="AN-2K"/>
      <sheetName val="Switch V16"/>
      <sheetName val="pl-41a"/>
      <sheetName val="CHG97_98"/>
      <sheetName val="Categ"/>
      <sheetName val="WORKINGS"/>
      <sheetName val="Model (Telecorp)"/>
      <sheetName val="Regions"/>
      <sheetName val="cap"/>
      <sheetName val="Other Revenue Items"/>
      <sheetName val="Mapping-Table "/>
      <sheetName val="TG"/>
      <sheetName val="P&amp;L Input Sheet (TG)"/>
      <sheetName val="Debt schedule-JKI"/>
      <sheetName val="Sch4_14"/>
      <sheetName val="Sch1_3"/>
      <sheetName val="Bal.Sht.Sch."/>
      <sheetName val="Challan-Service"/>
      <sheetName val="SAP GL master"/>
      <sheetName val="Pg_6_7_8_9"/>
      <sheetName val="machines"/>
      <sheetName val="dbase"/>
      <sheetName val="Schedules"/>
      <sheetName val="2003 by Month"/>
      <sheetName val="Input-Pack_Level"/>
      <sheetName val="Debt_schedule-JKI"/>
      <sheetName val="Ann_-1"/>
      <sheetName val="debt_schedule2"/>
      <sheetName val="debt_schedule-tyres2"/>
      <sheetName val="debt_schedule_-sugar2"/>
      <sheetName val="debt_-ICICI2"/>
      <sheetName val="debt_-IFCI2"/>
      <sheetName val="debt_schedule_-_Corpo2"/>
      <sheetName val="debt_schedule_-_JKDPL2"/>
      <sheetName val="debt_-tyres2"/>
      <sheetName val="debt_-_Corp2"/>
      <sheetName val="Head_Office-Bud2"/>
      <sheetName val="Input-Pack_Level1"/>
      <sheetName val="Debt_schedule-JKI1"/>
      <sheetName val="14-17-23-25__1"/>
      <sheetName val="Ann_-11"/>
      <sheetName val="aug_stat_06_(2)1"/>
      <sheetName val="debt_schedule3"/>
      <sheetName val="debt_schedule-tyres3"/>
      <sheetName val="debt_schedule_-sugar3"/>
      <sheetName val="debt_-ICICI3"/>
      <sheetName val="debt_-IFCI3"/>
      <sheetName val="debt_schedule_-_Corpo3"/>
      <sheetName val="debt_schedule_-_JKDPL3"/>
      <sheetName val="debt_-tyres3"/>
      <sheetName val="debt_-_Corp3"/>
      <sheetName val="Head_Office-Bud3"/>
      <sheetName val="Input-Pack_Level2"/>
      <sheetName val="Debt_schedule-JKI2"/>
      <sheetName val="14-17-23-25__2"/>
      <sheetName val="Ann_-12"/>
      <sheetName val="aug_stat_06_(2)2"/>
      <sheetName val="debt_schedule4"/>
      <sheetName val="debt_schedule-tyres4"/>
      <sheetName val="debt_schedule_-sugar4"/>
      <sheetName val="debt_-ICICI4"/>
      <sheetName val="debt_-IFCI4"/>
      <sheetName val="debt_schedule_-_Corpo4"/>
      <sheetName val="debt_schedule_-_JKDPL4"/>
      <sheetName val="debt_-tyres4"/>
      <sheetName val="debt_-_Corp4"/>
      <sheetName val="Head_Office-Bud4"/>
      <sheetName val="Input-Pack_Level3"/>
      <sheetName val="Debt_schedule-JKI3"/>
      <sheetName val="14-17-23-25__3"/>
      <sheetName val="Ann_-13"/>
      <sheetName val="aug_stat_06_(2)3"/>
      <sheetName val="debt_schedule5"/>
      <sheetName val="debt_schedule-tyres5"/>
      <sheetName val="debt_schedule_-sugar5"/>
      <sheetName val="debt_-ICICI5"/>
      <sheetName val="debt_-IFCI5"/>
      <sheetName val="debt_schedule_-_Corpo5"/>
      <sheetName val="debt_schedule_-_JKDPL5"/>
      <sheetName val="debt_-tyres5"/>
      <sheetName val="debt_-_Corp5"/>
      <sheetName val="Head_Office-Bud5"/>
      <sheetName val="Input-Pack_Level4"/>
      <sheetName val="Debt_schedule-JKI4"/>
      <sheetName val="14-17-23-25__4"/>
      <sheetName val="Ann_-14"/>
      <sheetName val="aug_stat_06_(2)4"/>
      <sheetName val="debt_schedule6"/>
      <sheetName val="debt_schedule-tyres6"/>
      <sheetName val="debt_schedule_-sugar6"/>
      <sheetName val="debt_-ICICI6"/>
      <sheetName val="debt_-IFCI6"/>
      <sheetName val="debt_schedule_-_Corpo6"/>
      <sheetName val="debt_schedule_-_JKDPL6"/>
      <sheetName val="debt_-tyres6"/>
      <sheetName val="debt_-_Corp6"/>
      <sheetName val="Head_Office-Bud6"/>
      <sheetName val="Input-Pack_Level5"/>
      <sheetName val="Debt_schedule-JKI5"/>
      <sheetName val="14-17-23-25__5"/>
      <sheetName val="Ann_-15"/>
      <sheetName val="aug_stat_06_(2)5"/>
      <sheetName val="Lists (Hide)"/>
      <sheetName val="UBRS"/>
      <sheetName val="UBSR"/>
      <sheetName val="KPM DT"/>
      <sheetName val="PPAC 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PI P &amp; L total"/>
      <sheetName val="TT WITHOUT HO"/>
      <sheetName val="TT WITH HO"/>
      <sheetName val="SPG WITHOUT HO"/>
      <sheetName val="SPG WITH HO"/>
      <sheetName val="CFO BSHEET QTR"/>
      <sheetName val="Misc Exp Details"/>
      <sheetName val="BS YTD monthly Vapi"/>
      <sheetName val="BS YTD monthly"/>
      <sheetName val="Anjar Monthly"/>
      <sheetName val=" P&amp;L YTD Monthly"/>
      <sheetName val="CF PRESENTATION"/>
      <sheetName val="TT-SPG NEW"/>
      <sheetName val="Misc Income"/>
      <sheetName val="BS,P&amp;L conso"/>
      <sheetName val="BSSC conso"/>
      <sheetName val="P&amp;LSC conso"/>
      <sheetName val="P&amp;LSC2 conso"/>
      <sheetName val="ANJAR PNL"/>
      <sheetName val="SCHEDULE 6 A conso"/>
      <sheetName val="SCHEDULE 6 B conso"/>
      <sheetName val="Cash Flow Statement"/>
      <sheetName val="AS 15"/>
      <sheetName val="Adjustment Cash Flow"/>
      <sheetName val="Exch Gain-loss"/>
      <sheetName val="Seg reporting "/>
      <sheetName val="Conso Adv"/>
      <sheetName val="Other Income vapi"/>
      <sheetName val="BS,P&amp;L"/>
      <sheetName val="BSSC"/>
      <sheetName val="P&amp;LSC"/>
      <sheetName val="P&amp;LSC2"/>
      <sheetName val="Trend Chart"/>
      <sheetName val="Corporate exp"/>
      <sheetName val="vapi grouping"/>
      <sheetName val="Commission"/>
      <sheetName val="Provision details"/>
      <sheetName val="Exchange details"/>
      <sheetName val="Cost"/>
      <sheetName val="HO PL"/>
      <sheetName val="Conso Adv 2 vapi"/>
      <sheetName val="PR1"/>
      <sheetName val="SAP BS"/>
      <sheetName val="sap bs 1"/>
      <sheetName val="Rugs TB"/>
      <sheetName val="GCIL SAP"/>
      <sheetName val="PR2 TT"/>
      <sheetName val="PR2 SPG"/>
      <sheetName val="Leave &amp; Gratuity"/>
      <sheetName val="interest provision"/>
      <sheetName val="PR3"/>
      <sheetName val="PR 1 A"/>
      <sheetName val="PR5"/>
      <sheetName val="unrealised profit"/>
      <sheetName val="unrealised profit CALC"/>
      <sheetName val="deposits_linked sheet"/>
      <sheetName val="Deffered Tax 06"/>
      <sheetName val="IT Dep"/>
      <sheetName val="Computation"/>
      <sheetName val="Tax rate reco"/>
      <sheetName val="Tax Disallowances"/>
      <sheetName val="EPS"/>
      <sheetName val="WGSRL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results"/>
      <sheetName val="Main Data"/>
      <sheetName val="PL"/>
      <sheetName val="P&amp;L (cons)"/>
      <sheetName val="BS"/>
      <sheetName val="BS (Cons)"/>
      <sheetName val="CF (Cons)"/>
      <sheetName val="CF"/>
      <sheetName val="valuation"/>
      <sheetName val="expense recon"/>
      <sheetName val="quarterly"/>
      <sheetName val="quarter(cons)"/>
      <sheetName val="quarterly (progeon)"/>
      <sheetName val="estimates- quarterly"/>
      <sheetName val="estimates-progeon"/>
      <sheetName val="SOTP"/>
      <sheetName val="assumptions"/>
      <sheetName val="COR- Quarterly"/>
      <sheetName val="cost of revenues"/>
      <sheetName val="SG&amp;A"/>
      <sheetName val="COR-Progeon"/>
      <sheetName val="COR-quarter-cons"/>
      <sheetName val="p&amp;L"/>
      <sheetName val="S G &amp; A Quarterly"/>
      <sheetName val="SG &amp;A-Progeon"/>
      <sheetName val="SG&amp;A (cons)"/>
      <sheetName val="other income"/>
      <sheetName val="depreciation"/>
      <sheetName val="tax"/>
      <sheetName val="onsite offshore"/>
      <sheetName val="DCF- Infy"/>
      <sheetName val="DCF_Progeon"/>
      <sheetName val="Investments"/>
      <sheetName val="qtr_bs"/>
      <sheetName val="qtr_cf"/>
      <sheetName val="esops"/>
      <sheetName val="repeat business"/>
      <sheetName val="news"/>
      <sheetName val="rev-breakup"/>
      <sheetName val="Main_Quarterly"/>
      <sheetName val="quarterly data"/>
      <sheetName val="clients"/>
      <sheetName val="Main_Quarterly_ITES"/>
      <sheetName val="progeon-quarterly"/>
      <sheetName val="topclients_qtr"/>
      <sheetName val="clients-verticals"/>
      <sheetName val="topclients_annual"/>
      <sheetName val="Main_Annual"/>
      <sheetName val="annual data"/>
      <sheetName val="facilities"/>
      <sheetName val="holding"/>
      <sheetName val="Model"/>
      <sheetName val="DCF"/>
      <sheetName val="Reconciliation"/>
      <sheetName val="ESO"/>
      <sheetName val="Comp data"/>
      <sheetName val="GQ"/>
      <sheetName val="Rep Shet"/>
      <sheetName val="Estimates"/>
      <sheetName val="Model - US GAAP"/>
      <sheetName val="DCF - US GAAP"/>
      <sheetName val="P&amp;L (progeon)"/>
      <sheetName val="Estimates_Progeon"/>
      <sheetName val="datasheet"/>
      <sheetName val="infosys_model"/>
      <sheetName val="#REF"/>
      <sheetName val="teo model"/>
      <sheetName val="Summary Page_VDF"/>
      <sheetName val="Invested capital_VDF"/>
      <sheetName val="NOPAT_VDF"/>
      <sheetName val="WACC_VDF"/>
      <sheetName val="DCF_VDF"/>
      <sheetName val="PV of Op Leases_VDF"/>
      <sheetName val="DDETABLE "/>
      <sheetName val="EVA1"/>
      <sheetName val="F-DCF"/>
      <sheetName val="GS_DCF"/>
      <sheetName val="Rev sum"/>
      <sheetName val="Quarterly "/>
      <sheetName val="Dem-HH"/>
      <sheetName val="Calculation (2)"/>
      <sheetName val="Tech"/>
      <sheetName val="CF (F)"/>
      <sheetName val="eva"/>
      <sheetName val="Qrly_Datasheet"/>
      <sheetName val="coverpage2"/>
      <sheetName val="BPO"/>
      <sheetName val="BS (F)"/>
      <sheetName val="KSDatasheet"/>
      <sheetName val="MainData"/>
      <sheetName val="Quarterly- IT services"/>
      <sheetName val="PL_Sch"/>
      <sheetName val="coverpage1"/>
      <sheetName val="expert"/>
      <sheetName val="q-details"/>
      <sheetName val="exhibit 14"/>
      <sheetName val="exhibit 13"/>
      <sheetName val="exhibit12"/>
      <sheetName val="exhibit 15"/>
      <sheetName val="exhibit 1"/>
      <sheetName val="exhibit3"/>
      <sheetName val="exhibit4"/>
      <sheetName val="exhibit 5"/>
      <sheetName val="exhibit7 (2)"/>
      <sheetName val="exhibit 8"/>
      <sheetName val="exhibit 9"/>
      <sheetName val="exhibit 10"/>
      <sheetName val="exhibit 11"/>
      <sheetName val="exhibit7"/>
      <sheetName val="Header"/>
      <sheetName val="Sheet1"/>
      <sheetName val="PL(cons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GAP 4"/>
      <sheetName val="Mgmt and GAP1"/>
      <sheetName val="GAP2, GAP3"/>
      <sheetName val="Proposal Comparison"/>
      <sheetName val="Cap Table"/>
      <sheetName val="Capital Sources"/>
      <sheetName val="Capitalization Detail"/>
      <sheetName val="Capitalization"/>
      <sheetName val="Case Summary"/>
      <sheetName val="Assumptions"/>
      <sheetName val="Financials"/>
      <sheetName val="Customer Acquisition"/>
      <sheetName val="Summary Financials"/>
      <sheetName val="Quarterly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Options"/>
      <sheetName val="Factset"/>
      <sheetName val="SI"/>
      <sheetName val="TM"/>
      <sheetName val="ER"/>
      <sheetName val="RC"/>
      <sheetName val="SV-T"/>
      <sheetName val="DEVR-T"/>
      <sheetName val="DEV-T"/>
      <sheetName val="PF"/>
      <sheetName val="PF2"/>
      <sheetName val="BU"/>
      <sheetName val="AdditionalPrintCode"/>
      <sheetName val="MainPrintCode"/>
      <sheetName val="PI2"/>
      <sheetName val="PIR2"/>
      <sheetName val="Co A"/>
      <sheetName val="Co B"/>
      <sheetName val="DCF"/>
      <sheetName val="DCF Inputs"/>
      <sheetName val="Template"/>
      <sheetName val="Unused"/>
      <sheetName val="DEVR-A"/>
      <sheetName val="DEV-A"/>
      <sheetName val="Comp"/>
      <sheetName val="OSI"/>
      <sheetName val="TM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venues"/>
      <sheetName val="Income Statement (core)"/>
      <sheetName val="Income Statement (R-Co)"/>
      <sheetName val="Value Matrix"/>
      <sheetName val="Income Statement (output)"/>
      <sheetName val="Balance Sheet (total)"/>
      <sheetName val="Returns "/>
      <sheetName val="Data 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(F- Cons)"/>
      <sheetName val="P&amp;L(F)"/>
      <sheetName val="BS(F)"/>
      <sheetName val="CF(F)"/>
      <sheetName val="MainData"/>
      <sheetName val="Sum of Parts"/>
      <sheetName val="DCF_Infy_US Discount"/>
      <sheetName val="DCF_Infy"/>
      <sheetName val="DCF_Progeon"/>
      <sheetName val="Estimates_Progeon"/>
      <sheetName val="Estimates_Infy"/>
      <sheetName val="P&amp;L (Dec)"/>
      <sheetName val="P&amp;L (progeon)"/>
      <sheetName val="P&amp;L (cons)"/>
      <sheetName val="P&amp;L (infy)"/>
      <sheetName val="quarterly_US GAAP"/>
      <sheetName val="P&amp;L(US_gaap)"/>
      <sheetName val="balance sheet"/>
      <sheetName val="Datasheet"/>
      <sheetName val="MainData_Qtr"/>
      <sheetName val="Qrly_Datasheet"/>
      <sheetName val="quarterly"/>
      <sheetName val="quarterly(cons)"/>
      <sheetName val="quarterly(progeon)"/>
      <sheetName val="quarterly(BS)"/>
      <sheetName val="du pont analysis"/>
      <sheetName val="cash flow"/>
      <sheetName val="Schedules(BS)"/>
      <sheetName val="coverpage"/>
      <sheetName val="onsite-offshore"/>
      <sheetName val="COR"/>
      <sheetName val="SG&amp;A"/>
      <sheetName val="Other income"/>
      <sheetName val="Tax"/>
      <sheetName val="reconciliation(USvsIndian)"/>
      <sheetName val="BS(US_gaap)"/>
      <sheetName val="CF(US_gaap)"/>
      <sheetName val="Forex schedule"/>
      <sheetName val="depreciation"/>
      <sheetName val="sensitivity"/>
      <sheetName val="INFY_model"/>
      <sheetName val="#REF"/>
      <sheetName val="Invested capital_VDF"/>
      <sheetName val="NOPAT_VDF"/>
      <sheetName val="Rev sum"/>
      <sheetName val="Dem-HH"/>
      <sheetName val="Quarterly "/>
      <sheetName val="EVA1"/>
      <sheetName val="Calculation (2)"/>
      <sheetName val="Header"/>
      <sheetName val="Model"/>
      <sheetName val="Figures"/>
      <sheetName val="projections"/>
      <sheetName val="POP SAL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  <sheetName val="bg1"/>
      <sheetName val="BG3-O Exec"/>
      <sheetName val="#REF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  <sheetName val="ADCT"/>
      <sheetName val="Backup"/>
      <sheetName val="BNET"/>
      <sheetName val="COMS"/>
      <sheetName val="OVHD_APRIL TO JUNE04_REGROUPED_"/>
      <sheetName val="Input"/>
      <sheetName val="CC_JUNE04"/>
      <sheetName val="CC_MAY04"/>
      <sheetName val="CC_APR04"/>
      <sheetName val="Invoiced Only with Revenue Est"/>
      <sheetName val="COST1_12FINAL"/>
      <sheetName val="P&amp;M assets &gt; 7 lak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Sheet4"/>
      <sheetName val="P&amp;L Total-Summary"/>
      <sheetName val="P&amp;L Total"/>
      <sheetName val="P&amp;L-Business"/>
      <sheetName val="Contribution Summary"/>
      <sheetName val="Contribution - POY"/>
      <sheetName val="Contribution - TEX"/>
      <sheetName val="Nylon P&amp;L"/>
      <sheetName val="Sheet5"/>
      <sheetName val="Sheet2"/>
      <sheetName val="Prod Prog - POY"/>
      <sheetName val="Prod Prog - TEX"/>
      <sheetName val="Perf Target"/>
      <sheetName val="Packing Materials"/>
      <sheetName val="RM &amp; Prod statements"/>
      <sheetName val="Expenses Summary"/>
      <sheetName val="Assumption"/>
      <sheetName val="SAP Budget1"/>
      <sheetName val="Deptt Budget"/>
      <sheetName val="Employee Exp"/>
      <sheetName val="Allocations"/>
      <sheetName val="Direct Exp"/>
      <sheetName val="Factory admn exp"/>
      <sheetName val="SAP Budget"/>
      <sheetName val="Fund Budget"/>
      <sheetName val="Reconciliation"/>
      <sheetName val="Comp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vers"/>
      <sheetName val="Summary"/>
      <sheetName val="Imla"/>
      <sheetName val="Mexico"/>
      <sheetName val="Brazil"/>
      <sheetName val="Argentina"/>
      <sheetName val="Chile"/>
      <sheetName val="Peru"/>
      <sheetName val="Miami"/>
      <sheetName val="Equity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1"/>
      <sheetName val="e0604008"/>
      <sheetName val="i02010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ctuals (3)"/>
      <sheetName val="Actuals"/>
      <sheetName val="Sheet2"/>
      <sheetName val="Summary(2)"/>
      <sheetName val="Module1"/>
      <sheetName val="CC APR0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s"/>
      <sheetName val="Debt Sch"/>
      <sheetName val="Anupam"/>
      <sheetName val="Priya"/>
      <sheetName val="Corp"/>
      <sheetName val="ProjCosts"/>
      <sheetName val="Financials"/>
      <sheetName val="Lease Rent"/>
      <sheetName val="Valuation Corp"/>
      <sheetName val="Project summary"/>
      <sheetName val="Value PVRL (shares)"/>
      <sheetName val="Valuation Priya"/>
      <sheetName val="Valuation Anup"/>
      <sheetName val="BEP"/>
      <sheetName val="Value Priya (Cont Rent)"/>
      <sheetName val="Valuation PVRL"/>
      <sheetName val="Anup-depr"/>
      <sheetName val="Priya-depr"/>
      <sheetName val="AssumComp.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  <sheetName val="Sheet3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TB"/>
      <sheetName val="BL"/>
      <sheetName val="TM"/>
      <sheetName val="MS"/>
      <sheetName val="GW"/>
      <sheetName val="PL"/>
      <sheetName val="EP"/>
      <sheetName val="Head Office"/>
      <sheetName val="Consolidated"/>
      <sheetName val="Summary"/>
      <sheetName val="Bal.Sheet"/>
      <sheetName val="Bal.Sheet(2)"/>
      <sheetName val="Balance Sheet"/>
      <sheetName val="Cash Flow"/>
      <sheetName val="Capex"/>
      <sheetName val="Facilities4Funding"/>
      <sheetName val="Loan details"/>
      <sheetName val="YS-Bud"/>
      <sheetName val="BS-Bud"/>
      <sheetName val="TB-Bud"/>
      <sheetName val="BL-Bud"/>
      <sheetName val="TM-Bud"/>
      <sheetName val="MS-Bud"/>
      <sheetName val="GW-Bud"/>
      <sheetName val="PL-Bud"/>
      <sheetName val="EP-Bud"/>
      <sheetName val="Head Office-Bud"/>
      <sheetName val="YS_Bud"/>
      <sheetName val="BS_Bud"/>
      <sheetName val="TB_Bud"/>
      <sheetName val="BL_Bud"/>
      <sheetName val="TM_Bud"/>
      <sheetName val="MS_Bud"/>
      <sheetName val="GW_Bud"/>
      <sheetName val="PL_Bud"/>
      <sheetName val="Head Office_Bud"/>
      <sheetName val="Excise on RM"/>
      <sheetName val="Power&amp;Fuel"/>
      <sheetName val="MFG-EXP"/>
      <sheetName val="Debtor Ageing_31.12.2010"/>
      <sheetName val="Masters"/>
      <sheetName val="BRP&amp;L"/>
      <sheetName val="BS Summary"/>
      <sheetName val="Sheet1"/>
      <sheetName val="Cap"/>
      <sheetName val="NEW O.S. 06-07"/>
      <sheetName val="Macrow"/>
      <sheetName val="working"/>
      <sheetName val="#REF"/>
      <sheetName val="Head_Office"/>
      <sheetName val="Bal_Sheet"/>
      <sheetName val="Bal_Sheet(2)"/>
      <sheetName val="Balance_Sheet"/>
      <sheetName val="Cash_Flow"/>
      <sheetName val="Loan_details"/>
      <sheetName val="Head_Office-Bud"/>
      <sheetName val="Head_Office_Bud"/>
      <sheetName val="Excise_on_RM"/>
      <sheetName val="Debtor_Ageing_31_12_2010"/>
      <sheetName val="Support - US"/>
      <sheetName val="Dropdowns"/>
      <sheetName val="ADDNS"/>
      <sheetName val="SALES-VAL"/>
      <sheetName val="dhlrates (AOP 2008)"/>
      <sheetName val="dhlrates (NER 2009)"/>
      <sheetName val="UNIDADES"/>
      <sheetName val="spares"/>
      <sheetName val="Nskveh"/>
      <sheetName val="Pr.-hist."/>
      <sheetName val="Revenue-Invoicewise"/>
      <sheetName val="Mkt Cap"/>
      <sheetName val="e0604008"/>
      <sheetName val="pending indent"/>
      <sheetName val="Sch5TO10"/>
      <sheetName val="GROUPING"/>
      <sheetName val="1.0"/>
      <sheetName val="1.3"/>
      <sheetName val="2.0"/>
      <sheetName val="3.0"/>
      <sheetName val="8.0"/>
      <sheetName val="12.0"/>
      <sheetName val="13.1"/>
      <sheetName val="27.0"/>
      <sheetName val="27.1"/>
      <sheetName val="36.1"/>
      <sheetName val="38.0"/>
      <sheetName val="50.0"/>
      <sheetName val="50.1"/>
      <sheetName val="key parameter1st"/>
      <sheetName val="sales "/>
      <sheetName val="Stock"/>
      <sheetName val="liability"/>
      <sheetName val="Do not delete"/>
      <sheetName val="Sch"/>
      <sheetName val=" Peer Group Ps"/>
      <sheetName val="TRC Chart"/>
      <sheetName val="TC Chart"/>
      <sheetName val="GC Chart"/>
      <sheetName val="BS Chart"/>
      <sheetName val="Internal Fairness"/>
      <sheetName val="Market Data"/>
      <sheetName val="Market Data2"/>
      <sheetName val="Peer vs Gen Mkt"/>
      <sheetName val="Company Data"/>
      <sheetName val="Policy"/>
      <sheetName val="Matrix Summary"/>
      <sheetName val="1-Managerial"/>
      <sheetName val="2-Gen Staff"/>
      <sheetName val="4-Others2"/>
      <sheetName val="Parameter"/>
      <sheetName val="Total Haryana POs AMC Sheet 3%"/>
      <sheetName val="delhi 03-04AMC @ 3%"/>
      <sheetName val="itemsdetails"/>
      <sheetName val="Calendar year Summary Plan"/>
      <sheetName val="chiet tinh"/>
      <sheetName val="Forecast summary"/>
      <sheetName val="Groupings-final"/>
      <sheetName val="Sched"/>
      <sheetName val="Trial"/>
      <sheetName val="FA_Final"/>
      <sheetName val="debt schedule"/>
      <sheetName val="Exchange rate"/>
      <sheetName val="FA-LISTING"/>
      <sheetName val="FIX_INCOME"/>
      <sheetName val="Controls"/>
      <sheetName val="Print Controls"/>
      <sheetName val="Inputs"/>
      <sheetName val="Sheet2"/>
      <sheetName val="Banquet Equipment"/>
      <sheetName val="China Bqt RS ADD RM STAFF"/>
      <sheetName val="Cleaning Equipment"/>
      <sheetName val="Dining Accessories"/>
      <sheetName val="Engineering Tools"/>
      <sheetName val="Glassware BQT STAFF"/>
      <sheetName val="Minor Electrical Equipment"/>
      <sheetName val="Guestr.HSK Acc"/>
      <sheetName val="Material Trucks"/>
      <sheetName val="Office Furniture"/>
      <sheetName val="Recreational Equipment"/>
      <sheetName val="Shelving &amp; Lockers"/>
      <sheetName val="Silverware"/>
      <sheetName val="Uniforms"/>
      <sheetName val="Vehicles"/>
      <sheetName val="F&amp;B Special"/>
      <sheetName val="SAW"/>
      <sheetName val="Vendor"/>
      <sheetName val="Audit and Accounting Issues"/>
      <sheetName val="Variables"/>
      <sheetName val="Menu"/>
      <sheetName val="Assumptions"/>
      <sheetName val="Drivers"/>
      <sheetName val="Bid_Sheet"/>
      <sheetName val="LabourRates"/>
      <sheetName val="DATA"/>
      <sheetName val="Report Setup Sheet"/>
      <sheetName val="Prior Quarter Changes"/>
      <sheetName val="Country Total"/>
      <sheetName val="Apple"/>
      <sheetName val="Arcelor Mittal"/>
      <sheetName val="Barclays"/>
      <sheetName val="Bayer"/>
      <sheetName val="Bloomberg"/>
      <sheetName val="Daimler"/>
      <sheetName val="Deutsche Bank"/>
      <sheetName val="Deutsche Telecom"/>
      <sheetName val="DSM"/>
      <sheetName val="DuPont"/>
      <sheetName val="E-ON"/>
      <sheetName val="Exxon"/>
      <sheetName val="Fed Ex"/>
      <sheetName val="Fiserv"/>
      <sheetName val="Flextronics"/>
      <sheetName val="GEA Gruppe"/>
      <sheetName val="GSK"/>
      <sheetName val="Harris"/>
      <sheetName val="IKEA"/>
      <sheetName val="Imperial Tobacco"/>
      <sheetName val="ING"/>
      <sheetName val="Ingersoll Rand"/>
      <sheetName val="Jabil"/>
      <sheetName val="Kodak"/>
      <sheetName val="Kraft"/>
      <sheetName val="Linde AG"/>
      <sheetName val="Merck"/>
      <sheetName val="MMC"/>
      <sheetName val="Nestle"/>
      <sheetName val="Nike"/>
      <sheetName val="Pepsi"/>
      <sheetName val="Pfizer"/>
      <sheetName val="Reed"/>
      <sheetName val="Roche"/>
      <sheetName val="Sanofi Aventis"/>
      <sheetName val="SAP"/>
      <sheetName val="Siemens"/>
      <sheetName val="Societe Generale"/>
      <sheetName val="The Bosch Group"/>
      <sheetName val="Time Warner"/>
      <sheetName val="UBS"/>
      <sheetName val="Vestas"/>
      <sheetName val="Visa"/>
      <sheetName val="Walt Disney"/>
      <sheetName val="Wartsila"/>
      <sheetName val="World Bank"/>
      <sheetName val="Abbott"/>
      <sheetName val="Yahoo"/>
      <sheetName val="SW"/>
      <sheetName val="Total Data"/>
      <sheetName val="Offline and Online Breakdown"/>
      <sheetName val="data input list"/>
      <sheetName val="Country Input Sheet"/>
      <sheetName val="Market Workings"/>
      <sheetName val="Agency Imp Costs &amp; Sales Comm."/>
      <sheetName val="Fee Workings"/>
      <sheetName val="Internal P&amp;L"/>
      <sheetName val="Bundled Trx Fees"/>
      <sheetName val="Internal Summary-US"/>
      <sheetName val="EMEA Internal Summary"/>
      <sheetName val="Fully Bundled Fees"/>
      <sheetName val="Blended Bundled Fees"/>
      <sheetName val="Menu - Unbundled Trx Fees"/>
      <sheetName val="Mgmt Fee - One Voice"/>
      <sheetName val="Mgmt Fee - FS"/>
      <sheetName val="Bid Notes"/>
      <sheetName val="NSA Strategy"/>
      <sheetName val="US - Information"/>
      <sheetName val="Bln Sh"/>
      <sheetName val="Fn Anl"/>
      <sheetName val="Inc St"/>
      <sheetName val="Prf-Exp"/>
      <sheetName val="PARTS"/>
      <sheetName val="A0744339"/>
      <sheetName val="Outgoing"/>
      <sheetName val="Incoming"/>
      <sheetName val="Returns Backup"/>
      <sheetName val="Int Rates"/>
      <sheetName val="macros"/>
      <sheetName val="BASE REAL"/>
      <sheetName val="NTA"/>
      <sheetName val="OBC"/>
      <sheetName val="SCEL Funding"/>
      <sheetName val="Parameters and Tables"/>
      <sheetName val="EPS"/>
      <sheetName val="Alok"/>
      <sheetName val="Amol"/>
      <sheetName val="Anand"/>
      <sheetName val="Anindya "/>
      <sheetName val="Chetan"/>
      <sheetName val="Chitnis"/>
      <sheetName val="Deepak"/>
      <sheetName val="R. Devarajan"/>
      <sheetName val="Girish"/>
      <sheetName val="Harry"/>
      <sheetName val="Jeetu"/>
      <sheetName val="Kuldeepak"/>
      <sheetName val="Mahesh "/>
      <sheetName val="Mandar"/>
      <sheetName val="Manoj"/>
      <sheetName val="Milind Acharya"/>
      <sheetName val="Milind Pande"/>
      <sheetName val="MLMahindra"/>
      <sheetName val="Mohan"/>
      <sheetName val="Navjit"/>
      <sheetName val="Nozer"/>
      <sheetName val="Ram Pattabhi"/>
      <sheetName val="Prabhanjan"/>
      <sheetName val="Revati"/>
      <sheetName val="R Chatterjee"/>
      <sheetName val="Roy"/>
      <sheetName val="Sagar"/>
      <sheetName val="salaj"/>
      <sheetName val="Sameer"/>
      <sheetName val="Sandeep C"/>
      <sheetName val="Sandeep Tulshyan"/>
      <sheetName val="Sanjay"/>
      <sheetName val="Santosh"/>
      <sheetName val="Shardul"/>
      <sheetName val="Shivkumar"/>
      <sheetName val="Subir "/>
      <sheetName val="Suman"/>
      <sheetName val="Swami"/>
      <sheetName val="Vighnesh"/>
      <sheetName val="Vishal"/>
      <sheetName val="Market"/>
      <sheetName val="MTS_comp_out of SAP"/>
      <sheetName val="Trial Balance"/>
      <sheetName val="Stock Chart"/>
      <sheetName val="Library Procedures"/>
      <sheetName val="Codes"/>
      <sheetName val="master_booking_lost"/>
      <sheetName val="Interest"/>
      <sheetName val="Ring Details"/>
      <sheetName val="Location"/>
      <sheetName val="Table"/>
      <sheetName val="Options"/>
      <sheetName val=""/>
      <sheetName val="Singapore"/>
      <sheetName val="Cover"/>
      <sheetName val="Notes"/>
      <sheetName val="Sum"/>
      <sheetName val="Revenues"/>
      <sheetName val="Direct"/>
      <sheetName val="Allocated"/>
      <sheetName val="Headcount"/>
      <sheetName val="AUM"/>
      <sheetName val="AYU PM-rates"/>
      <sheetName val="AYU RM-RATES"/>
      <sheetName val="외화금융(97-03)"/>
      <sheetName val="Listing"/>
      <sheetName val="NLD - Assum"/>
      <sheetName val="Capex-fixed"/>
      <sheetName val="Stock-06"/>
      <sheetName val="STORE NAME"/>
      <sheetName val="Control"/>
      <sheetName val="FX Rates"/>
      <sheetName val="Print_Controls"/>
      <sheetName val="NEW_O_S__06-07"/>
      <sheetName val="Total_Haryana_POs_AMC_Sheet_3%"/>
      <sheetName val="delhi_03-04AMC_@_3%"/>
      <sheetName val="STORE_NAME"/>
      <sheetName val="FX_Rates"/>
      <sheetName val="Head_Office1"/>
      <sheetName val="Bal_Sheet1"/>
      <sheetName val="Bal_Sheet(2)1"/>
      <sheetName val="Balance_Sheet1"/>
      <sheetName val="Cash_Flow1"/>
      <sheetName val="Loan_details1"/>
      <sheetName val="Head_Office-Bud1"/>
      <sheetName val="Head_Office_Bud1"/>
      <sheetName val="Debtor_Ageing_31_12_20101"/>
      <sheetName val="Excise_on_RM1"/>
      <sheetName val="Print_Controls1"/>
      <sheetName val="BASE_REAL"/>
      <sheetName val="Bln_Sh"/>
      <sheetName val="Fn_Anl"/>
      <sheetName val="Inc_St"/>
      <sheetName val="sales_"/>
      <sheetName val="price vs.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1"/>
      <sheetName val="Output2"/>
      <sheetName val="Input"/>
      <sheetName val="QCOM"/>
      <sheetName val="GEMS"/>
      <sheetName val="ADCT"/>
      <sheetName val="ALA"/>
      <sheetName val="ADTN"/>
      <sheetName val="BBTK"/>
      <sheetName val="DIGI"/>
      <sheetName val="ERIC"/>
      <sheetName val="GIC"/>
      <sheetName val="MOT"/>
      <sheetName val="NN"/>
      <sheetName val="NOK"/>
      <sheetName val="NT"/>
      <sheetName val="PRMS"/>
      <sheetName val="SFA"/>
      <sheetName val="SIE"/>
      <sheetName val="LU"/>
      <sheetName val="AFCI"/>
      <sheetName val="TLAB"/>
      <sheetName val="Sensitivity"/>
      <sheetName val="Merger (2)"/>
      <sheetName val="Output2 (2)"/>
      <sheetName val="Output1 (3)"/>
      <sheetName val="ADC2"/>
      <sheetName val="Merger"/>
      <sheetName val="PresentationNormal (2)"/>
      <sheetName val="ADC1"/>
      <sheetName val="Sheet1 (2)"/>
      <sheetName val="PresentationWide"/>
      <sheetName val="Sheet2"/>
      <sheetName val="Output1 (2)"/>
      <sheetName val="Lunet Operating"/>
      <sheetName val="Backup"/>
      <sheetName val="ASND"/>
      <sheetName val="BNET"/>
      <sheetName val="COMS"/>
      <sheetName val="csc"/>
      <sheetName val="Consolidated"/>
      <sheetName val="Essbase"/>
      <sheetName val="Account"/>
      <sheetName val="FF_Build_Actual_Fcst"/>
      <sheetName val="Merger_(2)"/>
      <sheetName val="Output2_(2)"/>
      <sheetName val="Output1_(3)"/>
      <sheetName val="PresentationNormal_(2)"/>
      <sheetName val="Sheet1_(2)"/>
      <sheetName val="Output1_(2)"/>
      <sheetName val="Lunet_Operating"/>
      <sheetName val="Acct Recv-5"/>
      <sheetName val="Aging Receivables - 5b"/>
      <sheetName val="ALC-10"/>
      <sheetName val="ALNC-11"/>
      <sheetName val="BS-4"/>
      <sheetName val="CA-6"/>
      <sheetName val="cover"/>
      <sheetName val="Interco- 22"/>
      <sheetName val="Misc Income-14"/>
      <sheetName val="NCA-9"/>
      <sheetName val="NSOI-18"/>
      <sheetName val="Other Exp -13"/>
      <sheetName val="P&amp;L-3"/>
      <sheetName val="US$ BS-2"/>
      <sheetName val="US$ P&amp;L-1"/>
      <sheetName val="CS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lon P&amp;L"/>
      <sheetName val="Perf Target"/>
      <sheetName val="Sheet3"/>
      <sheetName val="P&amp;L-Divwise"/>
      <sheetName val="P&amp;L-Qrt. wise"/>
      <sheetName val="Contribution - POY "/>
      <sheetName val="Contribution - TEX"/>
      <sheetName val="Direct Exp"/>
      <sheetName val="Power"/>
      <sheetName val="BCF"/>
      <sheetName val="Assumption"/>
      <sheetName val="Expenses details"/>
      <sheetName val="Prod Prog - POY"/>
      <sheetName val="Prod Prog - TEX"/>
      <sheetName val="Expenses comparison"/>
      <sheetName val="Factory admn exp"/>
      <sheetName val="Oil Con"/>
      <sheetName val="Allocations"/>
      <sheetName val="Packing"/>
      <sheetName val="Packing Materials"/>
      <sheetName val="Employee Exp"/>
      <sheetName val="Expenses Summary"/>
      <sheetName val="RM &amp; Prod statements"/>
      <sheetName val="Presentation"/>
      <sheetName val="Local Rate"/>
      <sheetName val="SAP Budget"/>
      <sheetName val="Deptt Budget"/>
      <sheetName val="SAP Budget1"/>
      <sheetName val="Fund Budget"/>
      <sheetName val="Reconciliation"/>
      <sheetName val="Comp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"/>
      <sheetName val="Comparison"/>
      <sheetName val="Trading Export profitability"/>
      <sheetName val="Conversion cost"/>
      <sheetName val="New Mac. P&amp;L"/>
      <sheetName val="AT-Machinewise"/>
      <sheetName val="Productwise P&amp;L"/>
      <sheetName val="Nylon P&amp;L"/>
      <sheetName val="Polyester P&amp;L"/>
      <sheetName val="Export P&amp;L"/>
      <sheetName val="Local P&amp;L"/>
      <sheetName val="Total P&amp;L"/>
      <sheetName val="DETAILS"/>
      <sheetName val="Stock"/>
      <sheetName val="Captive"/>
      <sheetName val="FG 31-01-2013"/>
      <sheetName val="B.Plan Exps"/>
      <sheetName val="Stock 30-04-2013"/>
      <sheetName val="Stock 31-03-2013"/>
      <sheetName val="BCF FG"/>
      <sheetName val="B.Plan Q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"/>
      <sheetName val="INTERCO"/>
      <sheetName val="DEBTORS_FIN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Dep"/>
      <sheetName val="debt -Tyre "/>
      <sheetName val="KTP,BTP,TCIL,Comb"/>
      <sheetName val="Valuation - Existing JKI"/>
      <sheetName val="Asm-BS"/>
      <sheetName val="P&amp;L "/>
      <sheetName val="Book Depr"/>
      <sheetName val="Tax-JKI"/>
      <sheetName val="Financials - Existing"/>
      <sheetName val="Book Depr post split"/>
      <sheetName val="Financial Vikrant"/>
      <sheetName val="Financial Post SPLIT"/>
      <sheetName val="Financial Post MERGER"/>
      <sheetName val="Tax- VTL"/>
      <sheetName val="Tax-Post Merger"/>
      <sheetName val="Multiple Valuation"/>
      <sheetName val="Tax(co. format)"/>
      <sheetName val="Dep -Tax - VTL"/>
      <sheetName val="Dep book VTL"/>
      <sheetName val="Book Depr post MERGER"/>
      <sheetName val="Tax Depr (prev)"/>
      <sheetName val="KTP P&amp;L Asmp"/>
      <sheetName val="BTP P&amp;L Asmp"/>
      <sheetName val="debt -Tyre - Print"/>
      <sheetName val="P_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udget 1"/>
      <sheetName val="CRITERIA1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TD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Quarterly"/>
      <sheetName val="Model"/>
      <sheetName val="POP SAL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"/>
      <sheetName val="IS_BS_US"/>
      <sheetName val="IS_BS_CN"/>
      <sheetName val="Rev Detail Inputs"/>
      <sheetName val="Hyp US BS Load"/>
      <sheetName val="Hyp US BS Ret"/>
      <sheetName val="Margin Q1"/>
      <sheetName val="Margin Q2"/>
      <sheetName val="Margin Q3"/>
      <sheetName val="Margin Q4"/>
      <sheetName val="Margin Summary"/>
      <sheetName val="Opex Forecast"/>
      <sheetName val="Bal Sheet"/>
      <sheetName val="CalcRatios"/>
      <sheetName val="BD"/>
      <sheetName val="Hyp BD Load"/>
      <sheetName val="Hyp Mgmt Fee Load"/>
      <sheetName val="Interest"/>
      <sheetName val="CalcBalanceSheet"/>
      <sheetName val="Marketing Budget"/>
      <sheetName val="Hyp Sales COS Load"/>
      <sheetName val="Hyp Mktng Load"/>
      <sheetName val="Hyp Config Load"/>
      <sheetName val="Hyp Etlize Load"/>
      <sheetName val="Hyp IML Load"/>
      <sheetName val="Hyp IFSC Load"/>
      <sheetName val="Hyp Other Load"/>
      <sheetName val="Hyp Tech Load"/>
      <sheetName val="Hyperion Margin Load"/>
      <sheetName val="Hyp Tax Load"/>
      <sheetName val="Sandy Capital"/>
      <sheetName val="PL_04USD-Budget 2004"/>
      <sheetName val="BS_04USD-Budget 2004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eturns"/>
      <sheetName val="Financial Model"/>
      <sheetName val="Val Mtx"/>
      <sheetName val="Comps"/>
      <sheetName val="Capitalisation table"/>
      <sheetName val="To be pasted "/>
      <sheetName val="Returns (2)"/>
      <sheetName val="Detail Break up of Market share"/>
      <sheetName val="To be Pasted"/>
      <sheetName val="Returns -11 cir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Mgmt Returns"/>
      <sheetName val="Cost Savings"/>
      <sheetName val="Module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PrintCode"/>
      <sheetName val="MainPrintCode"/>
      <sheetName val="CAPITAL"/>
      <sheetName val="COLO"/>
      <sheetName val="COLO_Schedules"/>
      <sheetName val="SegmentMerg"/>
      <sheetName val="RecapAssump"/>
      <sheetName val="Credit"/>
      <sheetName val="TransInputs"/>
      <sheetName val="Summary"/>
      <sheetName val="ValMatrix"/>
      <sheetName val="Balance"/>
      <sheetName val="Merger"/>
      <sheetName val="RecapBS"/>
      <sheetName val="PFBS"/>
      <sheetName val="CapComp"/>
      <sheetName val="PayDown"/>
      <sheetName val="WorkCap"/>
      <sheetName val="Contrib"/>
      <sheetName val="Calcs"/>
      <sheetName val="F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Financial Summary"/>
      <sheetName val="Forex Chart"/>
      <sheetName val="Headcount"/>
      <sheetName val="Group PnL"/>
      <sheetName val="Group BS"/>
      <sheetName val="Group CF"/>
      <sheetName val="Consolidation Q1"/>
      <sheetName val="Consolidated CF"/>
      <sheetName val="Consolidation April"/>
      <sheetName val="Consolidation May"/>
      <sheetName val="Goodwill calculations"/>
      <sheetName val="Exchange Working"/>
      <sheetName val="SA BS Working"/>
      <sheetName val="AUS-Graphs"/>
      <sheetName val="AUS-P&amp;L"/>
      <sheetName val="AUS-Qtr P&amp;L"/>
      <sheetName val="AUS-BS"/>
      <sheetName val="AUS-CF"/>
      <sheetName val="AUS -HC"/>
      <sheetName val="AUS-OP"/>
      <sheetName val="AUS-A"/>
      <sheetName val="AUS-B"/>
      <sheetName val="AUS-PY"/>
      <sheetName val="AUS-FC"/>
      <sheetName val="AUS-RA"/>
      <sheetName val="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. By Concept r&amp;d"/>
      <sheetName val="Exp. By Funct"/>
      <sheetName val="Exp. By Concept"/>
      <sheetName val="HC By Funct"/>
      <sheetName val="Run Rate"/>
      <sheetName val="HC Goingc"/>
      <sheetName val="Opex"/>
      <sheetName val="b_UP LOBS"/>
      <sheetName val="buc up cocte by concept"/>
      <sheetName val="buck up run rate l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01"/>
      <sheetName val="TOTAL NA"/>
      <sheetName val="NA Mktg (605)"/>
      <sheetName val="NA Prod Mktg (608)"/>
      <sheetName val="NA SALES"/>
      <sheetName val="NA Sales Admin 505"/>
      <sheetName val="Sales FS 510"/>
      <sheetName val="NA field sales 511"/>
      <sheetName val="Sales Consulting 520"/>
      <sheetName val="Alliances 530"/>
      <sheetName val="Sales Comp Plan"/>
      <sheetName val="NA SERVICES"/>
      <sheetName val="Services Admin"/>
      <sheetName val="Delivery - US"/>
      <sheetName val="Training - US"/>
      <sheetName val="Support - US"/>
      <sheetName val="NA ENG"/>
      <sheetName val="CTO"/>
      <sheetName val="Eng Admin"/>
      <sheetName val="White Spider"/>
      <sheetName val="Eng Staff"/>
      <sheetName val="QA"/>
      <sheetName val="Operations"/>
      <sheetName val="App Dev"/>
      <sheetName val="Tech Comm"/>
      <sheetName val="Config Mgt"/>
      <sheetName val="Sustaining"/>
      <sheetName val="Process Office"/>
      <sheetName val="NA G&amp;A"/>
      <sheetName val="CEO"/>
      <sheetName val="Finance"/>
      <sheetName val="Legal"/>
      <sheetName val="HR"/>
      <sheetName val="IS"/>
      <sheetName val="Facilities"/>
      <sheetName val="Housing"/>
      <sheetName val="Benefits"/>
      <sheetName val="depreciation 1999"/>
      <sheetName val="New Hires"/>
      <sheetName val="Allocations"/>
      <sheetName val="Headcount"/>
      <sheetName val="Capital Additions - NA"/>
      <sheetName val="Capital Additions WW"/>
      <sheetName val="Rents"/>
      <sheetName val="Consultants - Eng"/>
      <sheetName val="[Sa"/>
      <sheetName val="Add-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HR"/>
      <sheetName val="Ven Fdng"/>
      <sheetName val="Cash Flow"/>
      <sheetName val="Var Sum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cap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PL"/>
      <sheetName val="BS"/>
      <sheetName val="CF"/>
      <sheetName val="ENGINE"/>
      <sheetName val="Price Target"/>
      <sheetName val="DCF"/>
      <sheetName val="Charts"/>
      <sheetName val="CUS Image"/>
      <sheetName val="Interactive Model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"/>
      <sheetName val="XXXXXXXXXXX0"/>
      <sheetName val="Scheme"/>
      <sheetName val="querries"/>
      <sheetName val="p&amp;l"/>
      <sheetName val="BS"/>
      <sheetName val="Cashflow"/>
      <sheetName val="WCL"/>
      <sheetName val="repayment"/>
      <sheetName val="p_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Costing"/>
      <sheetName val="D&amp;C_Pkg"/>
      <sheetName val="CostDetails"/>
      <sheetName val="sortpart"/>
      <sheetName val="Yarn Rates"/>
      <sheetName val="QUATERLY YARN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Analyst model output"/>
      <sheetName val="Analyst data"/>
      <sheetName val="Sheet1"/>
      <sheetName val="Contribution"/>
      <sheetName val="sortpart"/>
      <sheetName val="CostDetails"/>
      <sheetName val="D&amp;C_Pkg"/>
      <sheetName val="Yarn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.CODE"/>
      <sheetName val="CUTTING"/>
      <sheetName val="SEWING"/>
      <sheetName val="PACKING"/>
      <sheetName val="Sheet1"/>
      <sheetName val="FAB_CODE"/>
      <sheetName val="FAB_CODE1"/>
      <sheetName val="sortpart"/>
      <sheetName val="CostDetails"/>
      <sheetName val="D&amp;C_Pkg"/>
      <sheetName val="Yarn Rates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 End Stock Prices"/>
      <sheetName val="PBI ESO"/>
      <sheetName val="ANC ESO"/>
      <sheetName val="ANT ESO New"/>
      <sheetName val="ANT-ESO"/>
      <sheetName val="Black-Scholes"/>
      <sheetName val="ANT ESO 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ly Stock Prices"/>
      <sheetName val="PBI ESO"/>
      <sheetName val="Black-Scholes"/>
      <sheetName val="PBI ESO -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WARP"/>
      <sheetName val="Sheet1 (2)"/>
      <sheetName val="WEFT"/>
      <sheetName val="Sheet5"/>
      <sheetName val="Sheet4"/>
      <sheetName val="Sheet7"/>
      <sheetName val="Sheet1"/>
      <sheetName val="ACT PROD"/>
      <sheetName val="Sheet3"/>
      <sheetName val="OH"/>
      <sheetName val="Sheet8"/>
      <sheetName val="ACTUAL P&amp;L"/>
      <sheetName val="Sheet1_(2)"/>
      <sheetName val="ACT_PROD"/>
      <sheetName val="ACTUAL_P&amp;L"/>
      <sheetName val="CUTTING"/>
      <sheetName val="SEWING"/>
      <sheetName val="Sheet1_(2)1"/>
      <sheetName val="ACT_PROD1"/>
      <sheetName val="ACTUAL_P&amp;L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heet"/>
      <sheetName val="Sale of dyed yarn"/>
      <sheetName val="Sheet5"/>
      <sheetName val="Dyed Yarn jw"/>
      <sheetName val="Sheet2"/>
      <sheetName val="Sheet3"/>
      <sheetName val="cost_sheet"/>
      <sheetName val="Sale_of_dyed_yarn"/>
      <sheetName val="Dyed_Yarn_jw"/>
      <sheetName val="TBLINKAGE"/>
      <sheetName val="WEFT"/>
      <sheetName val="cost_sheet1"/>
      <sheetName val="Sale_of_dyed_yarn1"/>
      <sheetName val="Dyed_Yarn_j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-Decerease"/>
      <sheetName val="Summary "/>
      <sheetName val="2805-06"/>
      <sheetName val="2810-11-15"/>
      <sheetName val="2825"/>
      <sheetName val="looms"/>
      <sheetName val="2835-40"/>
      <sheetName val="2841-42-44-45-46-47-48-56-60-75"/>
      <sheetName val="2861-62"/>
      <sheetName val="2871"/>
      <sheetName val="2863-65"/>
      <sheetName val="2866-67"/>
      <sheetName val="2824"/>
      <sheetName val="28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"/>
      <sheetName val="Sheet1 (2)"/>
      <sheetName val="Sheet1"/>
      <sheetName val="SCHEDULE VI"/>
      <sheetName val="SEPT 08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&amp; L"/>
      <sheetName val="Tally"/>
      <sheetName val="Sales &amp; RM"/>
      <sheetName val="RM Con."/>
      <sheetName val="Inland &amp; Ocean Frt"/>
      <sheetName val="GIT"/>
      <sheetName val="Stock"/>
      <sheetName val="Dyes &amp; Packing"/>
      <sheetName val="Production"/>
      <sheetName val="Waste Sales"/>
      <sheetName val="Power"/>
      <sheetName val="Salary"/>
      <sheetName val="POP TEC. TEX JULY'12"/>
      <sheetName val="Stores &amp; Spares"/>
      <sheetName val="Interest &amp; Dep."/>
      <sheetName val="Corporate Ex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1_(2)"/>
    </sheetNames>
    <sheetDataSet>
      <sheetData sheetId="0" refreshError="1"/>
      <sheetData sheetId="1" refreshError="1"/>
      <sheetData sheetId="2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  <sheetName val="Black-Scho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-1"/>
      <sheetName val="Non-Statistical Sampling-1"/>
      <sheetName val="Accept Reject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.Sheet- Split"/>
      <sheetName val="B.Sheet- Projected"/>
      <sheetName val="debt  - Copany"/>
      <sheetName val="debt -Tyre"/>
      <sheetName val="debt-Sugar"/>
      <sheetName val="Dep - Book"/>
      <sheetName val="Sheet3"/>
      <sheetName val="debt  _ Copan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  <sheetName val="comp_rev_exp"/>
      <sheetName val="Excise_on_RM"/>
      <sheetName val="HOUSE_RENT_DEPO_"/>
      <sheetName val="debt schedule"/>
      <sheetName val="comp_rev_exp1"/>
      <sheetName val="Excise_on_RM1"/>
      <sheetName val="HOUSE_RENT_DEPO_1"/>
      <sheetName val="DATA"/>
      <sheetName val="ecc_res"/>
      <sheetName val="Sheet1"/>
      <sheetName val="V.master Oct10"/>
      <sheetName val="Assumptions"/>
      <sheetName val="P&amp;LG"/>
      <sheetName val="Intaccrual"/>
      <sheetName val="SBU"/>
      <sheetName val="Department"/>
      <sheetName val="Designation"/>
      <sheetName val="Group"/>
      <sheetName val="WorkState"/>
      <sheetName val="BS"/>
      <sheetName val="Ind AS Actng Entries"/>
      <sheetName val="Trial Balance"/>
      <sheetName val="para"/>
      <sheetName val="CUTTING"/>
      <sheetName val="SEWING"/>
      <sheetName val="Glnk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tdint"/>
      <sheetName val="P&amp;LSC"/>
      <sheetName val="Ageing Due Date"/>
      <sheetName val="pvr-value"/>
      <sheetName val="Dep"/>
      <sheetName val="Rate analysis"/>
      <sheetName val="Input"/>
      <sheetName val="HOUSE RENT DEPO_"/>
      <sheetName val="Annexure 3A"/>
      <sheetName val="debt_schedule"/>
      <sheetName val="Fill this out first..."/>
      <sheetName val="Loan Data"/>
      <sheetName val="June 03"/>
      <sheetName val="icici"/>
      <sheetName val="Web Rate Query"/>
      <sheetName val="comp_rev_exp2"/>
      <sheetName val="Excise_on_RM2"/>
      <sheetName val="HOUSE_RENT_DEPO_2"/>
      <sheetName val="comp_rev_exp3"/>
      <sheetName val="Excise_on_RM3"/>
      <sheetName val="HOUSE_RENT_DEPO_3"/>
      <sheetName val="debt_schedule1"/>
      <sheetName val="comp_rev_exp4"/>
      <sheetName val="Excise_on_RM4"/>
      <sheetName val="HOUSE_RENT_DEPO_4"/>
      <sheetName val="debt_schedule2"/>
      <sheetName val="comp_rev_exp5"/>
      <sheetName val="Excise_on_RM5"/>
      <sheetName val="HOUSE_RENT_DEPO_5"/>
      <sheetName val="debt_schedule3"/>
      <sheetName val="comp_rev_exp6"/>
      <sheetName val="Excise_on_RM6"/>
      <sheetName val="HOUSE_RENT_DEPO_6"/>
      <sheetName val="debt_schedule4"/>
      <sheetName val="Textile P&amp;L"/>
      <sheetName val="Do not delete"/>
      <sheetName val="Ledger"/>
      <sheetName val="para4"/>
      <sheetName val="TBAL Dahej"/>
      <sheetName val="TBAL DAP"/>
      <sheetName val="Net T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"/>
      <sheetName val="2002-03"/>
      <sheetName val="Index (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and Rollforward"/>
      <sheetName val="Title"/>
      <sheetName val="Summary"/>
      <sheetName val="Income Statement - MGMT"/>
      <sheetName val="Income Statement - Detail"/>
      <sheetName val="Cash Flow"/>
      <sheetName val="Balance Sheet"/>
      <sheetName val="Visibility"/>
      <sheetName val="Sales - Total"/>
      <sheetName val="COGS - Gross Margins"/>
      <sheetName val="COGS - Products"/>
      <sheetName val="COGS - Services"/>
      <sheetName val="Headcount"/>
      <sheetName val="Summary - Headcounts"/>
      <sheetName val="Summary - Expenses"/>
      <sheetName val="Operating Model - All"/>
      <sheetName val="Operating Model - DC"/>
      <sheetName val="Operating Model - AZ"/>
      <sheetName val="Expenses All - Begin"/>
      <sheetName val="Expenses DC - Begin"/>
      <sheetName val="Corp - Mgmt"/>
      <sheetName val="Corp - G&amp;A"/>
      <sheetName val="Corp - Strat Dev"/>
      <sheetName val="Corp - Finance"/>
      <sheetName val="Corp - Legal"/>
      <sheetName val="Corp - Marketing"/>
      <sheetName val="Corp - ASP Hosting"/>
      <sheetName val="C&amp;P - Sales"/>
      <sheetName val="C&amp;P - CRM"/>
      <sheetName val="C&amp;P - SW Eng"/>
      <sheetName val="C&amp;P - QA"/>
      <sheetName val="C&amp;P - PM"/>
      <sheetName val="C&amp;P - Consulting"/>
      <sheetName val="C&amp;P - Support"/>
      <sheetName val="Intl - Sales"/>
      <sheetName val="Intl - PM "/>
      <sheetName val="Expenses DC - End"/>
      <sheetName val="Expenses AZ - Begin"/>
      <sheetName val="C&amp;A - Sales"/>
      <sheetName val="C&amp;A - Mgmt"/>
      <sheetName val="C&amp;A - Marketing"/>
      <sheetName val="C&amp;A - SW Eng"/>
      <sheetName val="C&amp;A - Finance"/>
      <sheetName val="C&amp;A - G&amp;A"/>
      <sheetName val="C&amp;A - PM"/>
      <sheetName val="C&amp;A - QA"/>
      <sheetName val="C&amp;A - Card Services"/>
      <sheetName val="C&amp;A - Consulting"/>
      <sheetName val="C&amp;A - Production"/>
      <sheetName val="C&amp;A - Support"/>
      <sheetName val="Expenses AZ - End"/>
      <sheetName val="Expenses All - End"/>
      <sheetName val="Manager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nning"/>
      <sheetName val="Tex"/>
      <sheetName val="Airtex"/>
      <sheetName val="Splitting"/>
      <sheetName val="Twisting"/>
      <sheetName val="Sale Rate"/>
      <sheetName val="RM"/>
      <sheetName val="Prod Prog - TEX"/>
      <sheetName val="Tex-Exps."/>
      <sheetName val="Sheet6"/>
      <sheetName val="POY cost"/>
      <sheetName val="Prod-12-13"/>
      <sheetName val="POY-Exps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List"/>
      <sheetName val="Level 1 Summary"/>
      <sheetName val="Equipment Needs"/>
      <sheetName val="Summary"/>
      <sheetName val="Fee Summary"/>
      <sheetName val="Forecast Variance"/>
      <sheetName val="DSR"/>
      <sheetName val="Refusals"/>
      <sheetName val="Storage"/>
      <sheetName val="Activity Summary"/>
      <sheetName val="Supplies 07-07-07 billing"/>
      <sheetName val="July  FY 07 Wkly Vendor iPod"/>
      <sheetName val="July FY 07 Wk iPhone"/>
      <sheetName val="Start-Up fees"/>
      <sheetName val="Receipt Detail"/>
      <sheetName val="SKUs with 99999_not billed"/>
      <sheetName val="Sheet2"/>
      <sheetName val="Sheet3"/>
      <sheetName val="IS_CF"/>
      <sheetName val="OPEX_Data"/>
      <sheetName val="Income"/>
      <sheetName val="C&amp;P - CRM"/>
      <sheetName val="C&amp;P - PM"/>
      <sheetName val="C&amp;P - Sales"/>
      <sheetName val="Corp - Finance"/>
      <sheetName val="Intl - PM "/>
      <sheetName val="Intl - Sales"/>
      <sheetName val="Corp - Mgmt"/>
      <sheetName val="Sales - Tota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CELL__"/>
      <sheetName val="__FDSCACHE__"/>
      <sheetName val="IS"/>
      <sheetName val="3YrReturns"/>
      <sheetName val="5YrReturns"/>
      <sheetName val="ADV_Analysis"/>
      <sheetName val="Ownership"/>
      <sheetName val="PV"/>
      <sheetName val="Graph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file"/>
      <sheetName val="Cost of the Project"/>
      <sheetName val="Means of Finance"/>
      <sheetName val="profitability statement"/>
      <sheetName val="Projected Balance Sheet"/>
      <sheetName val="Cash Flow statement"/>
      <sheetName val="Working capital requirement"/>
      <sheetName val="BEP Analysis"/>
      <sheetName val="Senstivity Analysis"/>
      <sheetName val="Schedule-senstivity analysis1"/>
      <sheetName val="Schedule-senstivity analysis2"/>
      <sheetName val="Ratio analysis"/>
      <sheetName val="form-ii"/>
      <sheetName val="form-iii"/>
      <sheetName val="form-iv"/>
      <sheetName val="form-v"/>
      <sheetName val="form-vi"/>
      <sheetName val="NEW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bout"/>
      <sheetName val="controlbar"/>
      <sheetName val="BS"/>
      <sheetName val="LayOut"/>
      <sheetName val="henrick_project 22 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MP10"/>
      <sheetName val="ScenarioAuxiliar"/>
    </sheetNames>
    <sheetDataSet>
      <sheetData sheetId="0"/>
      <sheetData sheetId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PEC"/>
      <sheetName val="WGSRL"/>
      <sheetName val="pending indent"/>
    </sheetNames>
    <sheetDataSet>
      <sheetData sheetId="0" refreshError="1"/>
      <sheetData sheetId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GRP-NS"/>
      <sheetName val="P&amp;L GRP-S"/>
      <sheetName val="INPUTS"/>
      <sheetName val="P&amp;L INTL"/>
      <sheetName val="P&amp;L UK"/>
      <sheetName val="CFS - Summ"/>
      <sheetName val="DISTN"/>
      <sheetName val="DIV SUMM"/>
      <sheetName val="X LF &amp; Tax"/>
      <sheetName val="CPX &amp; WC"/>
      <sheetName val="X IMPL CALC"/>
      <sheetName val="P&amp;L Ins"/>
      <sheetName val="P&amp;L REB"/>
      <sheetName val="Pres"/>
      <sheetName val="--Inactive Pages-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 A"/>
      <sheetName val="Co B"/>
      <sheetName val="Co C"/>
      <sheetName val="Co D"/>
      <sheetName val="Co E"/>
      <sheetName val="Options"/>
      <sheetName val="Factset"/>
      <sheetName val="SI"/>
      <sheetName val="TM"/>
      <sheetName val="ER"/>
      <sheetName val="RC"/>
      <sheetName val="SumVal-T"/>
      <sheetName val="DEVR-T"/>
      <sheetName val="DEV-T"/>
      <sheetName val="PFEPS"/>
      <sheetName val="PFR"/>
      <sheetName val="AdditionalPrintCode"/>
      <sheetName val="MainPrintCode"/>
      <sheetName val="PIEPS"/>
      <sheetName val="PIR"/>
      <sheetName val="PIRS"/>
      <sheetName val="DEVR-A"/>
      <sheetName val="DEV-A"/>
      <sheetName val="Unu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WISE"/>
      <sheetName val="SUMMARY OF CONTR.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Profit &amp; Loss - Business"/>
      <sheetName val="Profit &amp; Loss - Product"/>
      <sheetName val="Nylon"/>
      <sheetName val="Conversion Cost"/>
      <sheetName val="SAP UPLOAD"/>
      <sheetName val="SAP Budget"/>
      <sheetName val="Factory Admn Exp"/>
      <sheetName val="Packing Details"/>
      <sheetName val="Fund Budget"/>
      <sheetName val="Employee Exp"/>
      <sheetName val="Dept Budget"/>
      <sheetName val="Expenses Summary"/>
      <sheetName val="Contribution - TEX - Own POY"/>
      <sheetName val="Contribution Summary"/>
      <sheetName val="Contribution - TEX"/>
      <sheetName val="Contribution - POY"/>
      <sheetName val="RM &amp; Prod Statements"/>
      <sheetName val="Prod Prog - POY"/>
      <sheetName val="Direct Exp"/>
      <sheetName val="Reconciliation"/>
      <sheetName val="Prod Prog - TEX"/>
      <sheetName val="Assumption"/>
      <sheetName val="Perf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Rs"/>
      <sheetName val="TB $"/>
      <sheetName val="TB RS $  feb"/>
      <sheetName val="CONVERSION"/>
      <sheetName val="Instructions"/>
      <sheetName val="input forecast"/>
      <sheetName val="Bal_Sheet"/>
      <sheetName val="TB_Rs_$"/>
      <sheetName val="TB_Rs"/>
      <sheetName val="TB_$"/>
      <sheetName val="TB_RS_$__feb"/>
      <sheetName val="Bal_Sheet1"/>
      <sheetName val="TB_Rs_$1"/>
      <sheetName val="TB_Rs1"/>
      <sheetName val="TB_$1"/>
      <sheetName val="TB_RS_$__feb1"/>
      <sheetName val="Bal_Sheet2"/>
      <sheetName val="TB_Rs_$2"/>
      <sheetName val="TB_Rs2"/>
      <sheetName val="TB_$2"/>
      <sheetName val="TB_RS_$__feb2"/>
      <sheetName val="Bal_Sheet3"/>
      <sheetName val="TB_Rs_$3"/>
      <sheetName val="TB_Rs3"/>
      <sheetName val="TB_$3"/>
      <sheetName val="TB_RS_$__feb3"/>
      <sheetName val="Bal_Sheet4"/>
      <sheetName val="TB_Rs_$4"/>
      <sheetName val="TB_Rs4"/>
      <sheetName val="TB_$4"/>
      <sheetName val="TB_RS_$__feb4"/>
      <sheetName val="Bal_Sheet5"/>
      <sheetName val="TB_Rs_$5"/>
      <sheetName val="TB_Rs5"/>
      <sheetName val="TB_$5"/>
      <sheetName val="TB_RS_$__feb5"/>
      <sheetName val="Bal_Sheet6"/>
      <sheetName val="TB_Rs_$6"/>
      <sheetName val="TB_Rs6"/>
      <sheetName val="TB_$6"/>
      <sheetName val="TB_RS_$__feb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"/>
      <sheetName val="P &amp; L"/>
      <sheetName val="Production Data"/>
      <sheetName val="Market Size"/>
      <sheetName val="Sales Plan Working"/>
      <sheetName val="Monthwise"/>
      <sheetName val="Sheet4"/>
      <sheetName val="Interdivision"/>
      <sheetName val="Transp"/>
      <sheetName val="Packing Material"/>
      <sheetName val="Fixed Cost"/>
      <sheetName val="TL WC Loan"/>
      <sheetName val="Sales Plan"/>
      <sheetName val="Invst &amp; Dep"/>
      <sheetName val="Lotion"/>
      <sheetName val="Sheet1"/>
      <sheetName val="Wet Wipes Business Plan V1"/>
    </sheetNames>
    <definedNames>
      <definedName name="STA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 Rates B07"/>
      <sheetName val="Product Specification (2)"/>
      <sheetName val="CPLD_ACTUAL"/>
      <sheetName val="Fixed Cost"/>
      <sheetName val="Final Summary"/>
      <sheetName val="CPLD_Full Cost"/>
      <sheetName val="Working of Full Cost"/>
      <sheetName val="Product Specification"/>
      <sheetName val="PM_D_C"/>
      <sheetName val="Yarn Rates"/>
      <sheetName val="Yarn Cost Details"/>
      <sheetName val="Product Profitabil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GL)"/>
      <sheetName val="Backend Rebates 2003"/>
      <sheetName val="Freight-OverUnder WrtBck 2003"/>
      <sheetName val="Freight-RMA 2003"/>
      <sheetName val="CIA 2003"/>
      <sheetName val="Gross Margin Analysis"/>
      <sheetName val="Vlookup-Frt"/>
      <sheetName val="Vlookup-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5B (Millions) (3)"/>
      <sheetName val="Form 5B (Millions) (2)"/>
      <sheetName val="Form 5B (Millions)"/>
      <sheetName val="Assumption"/>
      <sheetName val="summary financing"/>
      <sheetName val="CMA - Existing"/>
      <sheetName val="profit"/>
      <sheetName val="idc"/>
      <sheetName val="tariff-fixed"/>
      <sheetName val="tariff-energy"/>
      <sheetName val="norm_genrn"/>
      <sheetName val="cashflo"/>
      <sheetName val="blncesheet"/>
      <sheetName val="IRR"/>
      <sheetName val="dscr"/>
      <sheetName val="norm_wrkcap"/>
      <sheetName val="depreciation"/>
      <sheetName val="loanrepa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GRET P&amp;L"/>
      <sheetName val="SPARROW P&amp;L"/>
      <sheetName val="EGRET Pro Forma P&amp;L"/>
      <sheetName val="PFBS"/>
      <sheetName val="AccDil &amp; Returns"/>
      <sheetName val="ValMat"/>
      <sheetName val="Contribution Analysis"/>
      <sheetName val="Premium-Discoun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3-R"/>
      <sheetName val="P19-R"/>
      <sheetName val="P20-R"/>
      <sheetName val="P21a-R"/>
      <sheetName val="P21b-R"/>
      <sheetName val="P17-R"/>
      <sheetName val="P14-R"/>
      <sheetName val="P22-R"/>
      <sheetName val="P18b-R"/>
      <sheetName val="P24-R"/>
      <sheetName val="P25-RR"/>
      <sheetName val="CASHFLOW"/>
      <sheetName val="P23-R"/>
      <sheetName val="P26-R"/>
      <sheetName val="P25-R"/>
      <sheetName val="P17-R (NoAmer)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Rel Party"/>
      <sheetName val="Inv Det"/>
      <sheetName val="cash flow"/>
      <sheetName val="JV Detail"/>
      <sheetName val="Working"/>
      <sheetName val="Related party"/>
      <sheetName val="grouping"/>
      <sheetName val="Mar03"/>
      <sheetName val="Mar02"/>
      <sheetName val="BS Abs"/>
      <sheetName val="Ratio"/>
      <sheetName val="Ratio B"/>
      <sheetName val="GRAPH"/>
      <sheetName val="ED"/>
      <sheetName val="TDS"/>
      <sheetName val="Deb age"/>
      <sheetName val="D.R."/>
      <sheetName val="212st"/>
      <sheetName val="Summary for Segment"/>
      <sheetName val="Controls"/>
      <sheetName val="Details"/>
      <sheetName val="Existing"/>
      <sheetName val="Sheet1"/>
      <sheetName val="TBAL9697 -group wise  sdpl"/>
      <sheetName val="EXIS-COMBINED"/>
      <sheetName val="CAPI_01-02"/>
      <sheetName val="Ins &amp; Bonds"/>
      <sheetName val="Site facilities"/>
      <sheetName val="Clients Requirements"/>
      <sheetName val="BOQ"/>
      <sheetName val="HEAD"/>
      <sheetName val="재1"/>
      <sheetName val="Load Details(B2)"/>
      <sheetName val="SILICATE"/>
      <sheetName val="Site Dev BOQ"/>
      <sheetName val="Headings"/>
      <sheetName val="월선수금"/>
      <sheetName val="VCH-SLC"/>
      <sheetName val="Basement Budget"/>
      <sheetName val="FORM7"/>
      <sheetName val="X rate"/>
      <sheetName val="GF Columns"/>
      <sheetName val="Supplier"/>
      <sheetName val="Labour"/>
      <sheetName val="gen ledger data"/>
      <sheetName val="K-PIS"/>
      <sheetName val="Data"/>
      <sheetName val="Shivaji"/>
      <sheetName val="CMA"/>
      <sheetName val="Bal Sheet"/>
      <sheetName val="defaults"/>
      <sheetName val="header"/>
      <sheetName val="Report"/>
      <sheetName val="beam-reinft"/>
      <sheetName val="電気設備表"/>
      <sheetName val="Sheet6"/>
      <sheetName val="Original policy"/>
      <sheetName val="Ten_Year"/>
      <sheetName val="S_&amp;_A"/>
      <sheetName val="Balance_Sheet"/>
      <sheetName val="P_&amp;_L"/>
      <sheetName val="S_1_to_4"/>
      <sheetName val="S_5_to_6"/>
      <sheetName val="S_7_to_9"/>
      <sheetName val="S_10_to_12"/>
      <sheetName val="S_13_to_16"/>
      <sheetName val="S_17_to_18"/>
      <sheetName val="S_19_to_21"/>
      <sheetName val="S_22_to_24"/>
      <sheetName val="add_info"/>
      <sheetName val="Rel_Party"/>
      <sheetName val="Inv_Det"/>
      <sheetName val="cash_flow"/>
      <sheetName val="JV_Detail"/>
      <sheetName val="Related_party"/>
      <sheetName val="BS_Abs"/>
      <sheetName val="Ratio_B"/>
      <sheetName val="Deb_age"/>
      <sheetName val="D_R_"/>
      <sheetName val="Summary_for_Segment"/>
      <sheetName val="Master"/>
      <sheetName val="data 3A|6A"/>
      <sheetName val="EAW Final Accounts - 99"/>
      <sheetName val="BS"/>
      <sheetName val="Sch 14 to 20"/>
      <sheetName val="PI"/>
      <sheetName val="Sheet2"/>
      <sheetName val="BUDGET"/>
      <sheetName val="Schedules 1-15 (BIW)"/>
      <sheetName val="Schedules 16-22 (BIW)"/>
      <sheetName val="Trial Balance for Schedules"/>
      <sheetName val="RO Graf"/>
      <sheetName val="MCIPL, Gurgaon"/>
      <sheetName val="Other notes"/>
      <sheetName val="YTD"/>
      <sheetName val="Gr Data"/>
      <sheetName val="PL"/>
      <sheetName val="BalSht"/>
      <sheetName val="Tables"/>
      <sheetName val="KDS"/>
      <sheetName val="income-tax"/>
      <sheetName val="P&amp;L"/>
      <sheetName val="H"/>
      <sheetName val="Param"/>
      <sheetName val="BUDGET-IMPORT"/>
      <sheetName val="Ten_Year1"/>
      <sheetName val="S_&amp;_A1"/>
      <sheetName val="Balance_Sheet1"/>
      <sheetName val="P_&amp;_L1"/>
      <sheetName val="S_1_to_41"/>
      <sheetName val="S_5_to_61"/>
      <sheetName val="S_7_to_91"/>
      <sheetName val="S_10_to_121"/>
      <sheetName val="S_13_to_161"/>
      <sheetName val="S_17_to_181"/>
      <sheetName val="S_19_to_211"/>
      <sheetName val="S_22_to_241"/>
      <sheetName val="add_info1"/>
      <sheetName val="Rel_Party1"/>
      <sheetName val="Inv_Det1"/>
      <sheetName val="cash_flow1"/>
      <sheetName val="JV_Detail1"/>
      <sheetName val="Related_party1"/>
      <sheetName val="BS_Abs1"/>
      <sheetName val="Ratio_B1"/>
      <sheetName val="Deb_age1"/>
      <sheetName val="D_R_1"/>
      <sheetName val="Summary_for_Segment1"/>
      <sheetName val="Ten_Year2"/>
      <sheetName val="S_&amp;_A2"/>
      <sheetName val="Balance_Sheet2"/>
      <sheetName val="P_&amp;_L2"/>
      <sheetName val="S_1_to_42"/>
      <sheetName val="S_5_to_62"/>
      <sheetName val="S_7_to_92"/>
      <sheetName val="S_10_to_122"/>
      <sheetName val="S_13_to_162"/>
      <sheetName val="S_17_to_182"/>
      <sheetName val="S_19_to_212"/>
      <sheetName val="S_22_to_242"/>
      <sheetName val="add_info2"/>
      <sheetName val="Rel_Party2"/>
      <sheetName val="Inv_Det2"/>
      <sheetName val="cash_flow2"/>
      <sheetName val="JV_Detail2"/>
      <sheetName val="Related_party2"/>
      <sheetName val="BS_Abs2"/>
      <sheetName val="Ratio_B2"/>
      <sheetName val="Deb_age2"/>
      <sheetName val="D_R_2"/>
      <sheetName val="Summary_for_Segment2"/>
      <sheetName val="Ten_Year3"/>
      <sheetName val="S_&amp;_A3"/>
      <sheetName val="Balance_Sheet3"/>
      <sheetName val="P_&amp;_L3"/>
      <sheetName val="S_1_to_43"/>
      <sheetName val="S_5_to_63"/>
      <sheetName val="S_7_to_93"/>
      <sheetName val="S_10_to_123"/>
      <sheetName val="S_13_to_163"/>
      <sheetName val="S_17_to_183"/>
      <sheetName val="S_19_to_213"/>
      <sheetName val="S_22_to_243"/>
      <sheetName val="add_info3"/>
      <sheetName val="Rel_Party3"/>
      <sheetName val="Inv_Det3"/>
      <sheetName val="cash_flow3"/>
      <sheetName val="JV_Detail3"/>
      <sheetName val="Related_party3"/>
      <sheetName val="BS_Abs3"/>
      <sheetName val="Ratio_B3"/>
      <sheetName val="Deb_age3"/>
      <sheetName val="D_R_3"/>
      <sheetName val="Summary_for_Segment3"/>
      <sheetName val="NEW-PANEL"/>
      <sheetName val="Nº DIASOP2001"/>
      <sheetName val="intfirm"/>
      <sheetName val="KEY INDICATORS"/>
      <sheetName val="TB"/>
      <sheetName val="Eq. Mobilization"/>
      <sheetName val="Target Grid"/>
      <sheetName val="FORM-16"/>
      <sheetName val="Rate Analysis"/>
      <sheetName val="Intro."/>
      <sheetName val="1"/>
      <sheetName val="PRELIM5"/>
      <sheetName val="SPT vs PHI"/>
      <sheetName val="FMT 14 -VOLUME BY BRANDS"/>
      <sheetName val="FMT 13-VOLUME BY MARKET"/>
      <sheetName val="cap01"/>
      <sheetName val="GPIN-KEY"/>
      <sheetName val="92期"/>
      <sheetName val="ocean voyage"/>
      <sheetName val="COAT&amp;WRAP-QIOT-#3"/>
      <sheetName val="PNT-QUOT-#3"/>
      <sheetName val="DGP-2002"/>
      <sheetName val="XLR_NoRangeSheet"/>
      <sheetName val="SAR.05"/>
      <sheetName val="Attribute Worksheet"/>
      <sheetName val="Input"/>
      <sheetName val="segment_topsheet"/>
      <sheetName val="Summary KPI"/>
      <sheetName val="S80-MP"/>
      <sheetName val="Annexure 5"/>
      <sheetName val="標準単価ﾏｽﾀ"/>
      <sheetName val="Project Cost"/>
      <sheetName val="Op_Costs"/>
      <sheetName val="Contents"/>
      <sheetName val="Product Cost"/>
      <sheetName val="Amortization Table"/>
      <sheetName val="SUM14ZC1"/>
      <sheetName val="ASSUM"/>
      <sheetName val="Form"/>
      <sheetName val="Challan"/>
      <sheetName val="共振周波数"/>
      <sheetName val="Sheet3"/>
      <sheetName val="DATA 91-98"/>
      <sheetName val="list"/>
      <sheetName val="NOVEMBER SWAMY ORG-I"/>
      <sheetName val="annBF"/>
      <sheetName val="1072"/>
      <sheetName val="TBAL9697_-group_wise__sdpl"/>
      <sheetName val="Ins_&amp;_Bonds"/>
      <sheetName val="Site_facilities"/>
      <sheetName val="Clients_Requirements"/>
      <sheetName val="Load_Details(B2)"/>
      <sheetName val="Site_Dev_BOQ"/>
      <sheetName val="Basement_Budget"/>
      <sheetName val="X_rate"/>
      <sheetName val="GF_Columns"/>
      <sheetName val="gen_ledger_data"/>
      <sheetName val="Bal_Sheet"/>
      <sheetName val="data_3A|6A"/>
      <sheetName val="EAW_Final_Accounts_-_99"/>
      <sheetName val="Sch_14_to_20"/>
      <sheetName val="Schedules_1-15_(BIW)"/>
      <sheetName val="Schedules_16-22_(BIW)"/>
      <sheetName val="Trial_Balance_for_Schedules"/>
      <sheetName val="RO_Graf"/>
      <sheetName val="MCIPL,_Gurgaon"/>
      <sheetName val="RA"/>
      <sheetName val="EXPENSES"/>
      <sheetName val="Other_notes"/>
      <sheetName val="FMT_14_-VOLUME_BY_BRANDS"/>
      <sheetName val="FMT_13-VOLUME_BY_MARKET"/>
      <sheetName val="Original_policy"/>
      <sheetName val="Scenario"/>
      <sheetName val="Main"/>
      <sheetName val="TB trend"/>
      <sheetName val="cashbook"/>
      <sheetName val="PointNo.5"/>
      <sheetName val="Financials"/>
      <sheetName val="Feb'03"/>
      <sheetName val="T"/>
      <sheetName val="EVA"/>
      <sheetName val="Cons"/>
      <sheetName val="118.세금과공과"/>
      <sheetName val="Excess Calc"/>
      <sheetName val="Mfg OH "/>
      <sheetName val="BdData"/>
      <sheetName val="Set"/>
      <sheetName val="Basic Rate"/>
      <sheetName val="Gr_Data"/>
      <sheetName val="workings"/>
      <sheetName val="ACK-NEW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"/>
      <sheetName val="data graph"/>
      <sheetName val="Stock"/>
      <sheetName val="graph_"/>
      <sheetName val="data_graph"/>
      <sheetName val="Opex"/>
      <sheetName val="Fixed Cost"/>
      <sheetName val="WGSRL"/>
      <sheetName val="pending inden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  <sheetName val="Working"/>
      <sheetName val="debt schedule"/>
      <sheetName val="Excise on RM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,P&amp;L"/>
      <sheetName val="BSSC"/>
      <sheetName val="P&amp;LSC"/>
      <sheetName val="P&amp;LSC2"/>
      <sheetName val="WTT grouping"/>
      <sheetName val="MIS-ANJAR TT"/>
      <sheetName val="MIS-ANJAR SHEETING"/>
      <sheetName val="MIS-ANJAR SPG"/>
      <sheetName val="Mis TT Spg &amp; Sht"/>
      <sheetName val="Anjar Balance Sheet"/>
      <sheetName val="Anjar Profit &amp; Loss"/>
      <sheetName val="Sap TB "/>
      <sheetName val="MIS-TT"/>
      <sheetName val="MIS-SHT"/>
      <sheetName val="MIS-SPG"/>
      <sheetName val="Manpower"/>
      <sheetName val="For Costing"/>
      <sheetName val="Abnormal Transaction"/>
      <sheetName val="ABNORMAL 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</sheetNames>
    <sheetDataSet>
      <sheetData sheetId="0"/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Returns"/>
      <sheetName val="R&amp;D Detail"/>
      <sheetName val="__FDSCACHE__"/>
      <sheetName val="P&amp;L Detail"/>
      <sheetName val="Historical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I"/>
      <sheetName val="Assumptions"/>
      <sheetName val="Scenario"/>
      <sheetName val="Top Down Model"/>
      <sheetName val="Budget FY04"/>
      <sheetName val="Ch_Profitability"/>
      <sheetName val="Valuation - MP"/>
      <sheetName val="Valuation"/>
      <sheetName val="Operations"/>
      <sheetName val="Summ8"/>
      <sheetName val="Year-0"/>
      <sheetName val="Financials"/>
      <sheetName val="KRA"/>
      <sheetName val="Output"/>
      <sheetName val="BP"/>
      <sheetName val="BP_1"/>
      <sheetName val="BP_2"/>
      <sheetName val="Summ"/>
      <sheetName val="FinStat"/>
      <sheetName val="Summ1"/>
      <sheetName val="Summ2"/>
      <sheetName val="Summ3"/>
      <sheetName val="Summ4"/>
      <sheetName val="Summ5"/>
      <sheetName val="Summ6"/>
      <sheetName val="Summ7"/>
      <sheetName val="Interest"/>
      <sheetName val="Industry"/>
      <sheetName val="Bharti"/>
      <sheetName val="Sheet1"/>
      <sheetName val="Actual FY03"/>
      <sheetName val="Actual FY02"/>
      <sheetName val="Budget FY03"/>
      <sheetName val="BS - Actual 02_03"/>
      <sheetName val="Trends"/>
      <sheetName val="Check"/>
      <sheetName val="Input_0"/>
      <sheetName val="Input_01"/>
      <sheetName val="Input_02"/>
      <sheetName val="Input_03"/>
      <sheetName val="Input_04"/>
      <sheetName val="Input_05"/>
      <sheetName val="Industry Research"/>
      <sheetName val="NSDP"/>
      <sheetName val="Circle Economics"/>
      <sheetName val="Input_06"/>
      <sheetName val="Input_07"/>
      <sheetName val="Input_08"/>
      <sheetName val="Input_09"/>
      <sheetName val="Circle Share"/>
      <sheetName val="Summary Options"/>
      <sheetName val="Input"/>
      <sheetName val="calc"/>
      <sheetName val="Budget - 0304"/>
      <sheetName val="P&amp;LSC"/>
      <sheetName val="Funding"/>
      <sheetName val="Quantity"/>
      <sheetName val="Top_Down_Model"/>
      <sheetName val="Budget_FY04"/>
      <sheetName val="Valuation_-_MP"/>
      <sheetName val="Actual_FY03"/>
      <sheetName val="Actual_FY02"/>
      <sheetName val="Budget_FY03"/>
      <sheetName val="BS_-_Actual_02_03"/>
      <sheetName val="Industry_Research"/>
      <sheetName val="Circle_Economics"/>
      <sheetName val="Circle_Share"/>
      <sheetName val="Summary_Options"/>
      <sheetName val="Budget_-_0304"/>
      <sheetName val="Summary"/>
      <sheetName val="16.IC-RP list"/>
      <sheetName val="Page 5"/>
      <sheetName val="Assumption"/>
      <sheetName val="IC-RP list"/>
      <sheetName val="Fin"/>
      <sheetName val="Area"/>
      <sheetName val="Intro"/>
      <sheetName val="Ent"/>
      <sheetName val="CALCULATIONS"/>
      <sheetName val="DSM checkbook"/>
      <sheetName val="BS"/>
      <sheetName val="15"/>
      <sheetName val="mancount"/>
      <sheetName val="PRESFMS"/>
      <sheetName val="DCF Output"/>
      <sheetName val="Instructions-Defaults"/>
      <sheetName val="Top_Down_Model1"/>
      <sheetName val="Budget_FY041"/>
      <sheetName val="Valuation_-_MP1"/>
      <sheetName val="Actual_FY031"/>
      <sheetName val="Actual_FY021"/>
      <sheetName val="Budget_FY031"/>
      <sheetName val="BS_-_Actual_02_031"/>
      <sheetName val="Industry_Research1"/>
      <sheetName val="Circle_Economics1"/>
      <sheetName val="Circle_Shar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repaymentsch"/>
      <sheetName val="idbi"/>
      <sheetName val="idbi-FCL"/>
      <sheetName val="idbi-RTL-2"/>
      <sheetName val="sicom"/>
      <sheetName val="sicom-RTL2"/>
      <sheetName val="indusind"/>
      <sheetName val="ncd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ash Flow"/>
      <sheetName val="Repaymentschedule"/>
      <sheetName val="summary"/>
      <sheetName val="repayment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"/>
      <sheetName val="Monthly Sales and Production"/>
      <sheetName val="production"/>
      <sheetName val="rm consumed"/>
      <sheetName val="charge details"/>
      <sheetName val="security"/>
      <sheetName val="Principal Repayment"/>
      <sheetName val="interest "/>
      <sheetName val="ICICI-LR"/>
      <sheetName val="Cash Flow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 "/>
      <sheetName val="TB  $ Rs  Final"/>
      <sheetName val="TB US $ Rs."/>
      <sheetName val="Baan TB  Rs."/>
      <sheetName val="Baan TB  $"/>
      <sheetName val="  TB YTD oct "/>
      <sheetName val=" EEFC ac"/>
      <sheetName val="P&amp;LSC"/>
      <sheetName val="kolibri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CIPL"/>
      <sheetName val="TB Rs  $"/>
      <sheetName val="TB  Rupees "/>
      <sheetName val="TB  $"/>
      <sheetName val="TB   Rs  $  APR"/>
      <sheetName val="Wages"/>
      <sheetName val="Salaries"/>
      <sheetName val="Returns"/>
      <sheetName val="Consolidated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Sheet1"/>
      <sheetName val="US P&amp;L"/>
      <sheetName val="Bal_Sheet"/>
      <sheetName val="TB_RS_$"/>
      <sheetName val="TB_Baan__$"/>
      <sheetName val="TB_Baan_RS"/>
      <sheetName val="TB_Rs_$_Baan__4_3_"/>
      <sheetName val="dBase"/>
      <sheetName val="Non-Statistical Sampling"/>
      <sheetName val="DropDown"/>
      <sheetName val="TB  $ Rs  Final"/>
      <sheetName val="DHANBAD"/>
      <sheetName val="inventories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Summary Output"/>
      <sheetName val="FGMAR05"/>
      <sheetName val="Bal_Sheet"/>
      <sheetName val="TB__Rupees__$"/>
      <sheetName val="TB___$"/>
      <sheetName val="TB__Rs"/>
      <sheetName val="TB_RS_$__feb"/>
      <sheetName val="TB RS $"/>
      <sheetName val="Non-Statistical Sampling"/>
      <sheetName val="DHANBAD"/>
      <sheetName val="sum"/>
      <sheetName val="Summary Statements"/>
      <sheetName val="DETAIL.XLS"/>
      <sheetName val="Local Data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Summary_Statements"/>
      <sheetName val="DETAIL_XLS"/>
      <sheetName val="Bal_Sheet3"/>
      <sheetName val="TB__Rupees__$3"/>
      <sheetName val="TB___$3"/>
      <sheetName val="TB__Rs3"/>
      <sheetName val="TB_RS_$__feb3"/>
      <sheetName val="Summary_Statements1"/>
      <sheetName val="DETAIL_XLS1"/>
      <sheetName val="Bal_Sheet4"/>
      <sheetName val="TB__Rupees__$4"/>
      <sheetName val="TB___$4"/>
      <sheetName val="TB__Rs4"/>
      <sheetName val="TB_RS_$__feb4"/>
      <sheetName val="Summary_Statements2"/>
      <sheetName val="DETAIL_XLS2"/>
      <sheetName val="Bal_Sheet5"/>
      <sheetName val="TB__Rupees__$5"/>
      <sheetName val="TB___$5"/>
      <sheetName val="TB__Rs5"/>
      <sheetName val="TB_RS_$__feb5"/>
      <sheetName val="Summary_Statements3"/>
      <sheetName val="DETAIL_XLS3"/>
      <sheetName val="Bal_Sheet6"/>
      <sheetName val="TB__Rupees__$6"/>
      <sheetName val="TB___$6"/>
      <sheetName val="TB__Rs6"/>
      <sheetName val="TB_RS_$__feb6"/>
      <sheetName val="Summary_Statements4"/>
      <sheetName val="DETAIL_XLS4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rol"/>
      <sheetName val="DataTemplate"/>
      <sheetName val="MasterFinancials"/>
      <sheetName val="Earnings"/>
      <sheetName val="Balance"/>
      <sheetName val="Valuation"/>
      <sheetName val="Link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 form lobo"/>
    </sheetNames>
    <definedNames>
      <definedName name="ModelType"/>
      <definedName name="NewPrint"/>
      <definedName name="SelectSheet"/>
    </defined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Graphs"/>
      <sheetName val="QTD Graphs"/>
      <sheetName val="Month Graphs"/>
      <sheetName val="Grainger Summary"/>
      <sheetName val="Europe V Summary"/>
      <sheetName val="Mexico"/>
      <sheetName val="Miami"/>
      <sheetName val="Brazil w_C"/>
      <sheetName val="Chile"/>
      <sheetName val="Peru"/>
      <sheetName val="Argentina"/>
      <sheetName val="Others"/>
      <sheetName val="POP SAL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P&amp;L"/>
      <sheetName val="P&amp;L hist"/>
      <sheetName val="Returns 5yr"/>
      <sheetName val="Returns 5yr (2)"/>
      <sheetName val="Returns 3yr"/>
      <sheetName val="Cap table"/>
      <sheetName val="__FDSCACHE__"/>
      <sheetName val="GAP case"/>
      <sheetName val="Mgmt case"/>
      <sheetName val="Val Mat"/>
      <sheetName val="Trading Stats"/>
      <sheetName val="Comps raw data (values)"/>
      <sheetName val="Comps raw data (formulas)"/>
      <sheetName val="Op Stats"/>
      <sheetName val="Op Stats raw data"/>
      <sheetName val="Trading Stats OLD"/>
      <sheetName val="Cap table raw data"/>
      <sheetName val="Base Salary"/>
      <sheetName val="Options &amp; Warrants"/>
      <sheetName val="Market Size"/>
      <sheetName val="Mgmt Cas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t and Loss"/>
      <sheetName val="Cash Flo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GW"/>
      <sheetName val="Head office"/>
      <sheetName val="consolidated"/>
      <sheetName val="Consolidated excl pz&amp;gw"/>
      <sheetName val="Financials"/>
      <sheetName val="trial_HO"/>
      <sheetName val="trial_Plant"/>
      <sheetName val="U-4_Investments &amp; FD"/>
      <sheetName val="Stock St."/>
      <sheetName val="TOTAL GP"/>
      <sheetName val="Head_office"/>
      <sheetName val="Consolidated_excl_pz&amp;gw"/>
      <sheetName val="U-4_Investments_&amp;_FD"/>
      <sheetName val="TB   Rs  $  APR"/>
      <sheetName val="TB  Rupees "/>
      <sheetName val="P&amp;LSC"/>
      <sheetName val="dump"/>
      <sheetName val="MCCW"/>
      <sheetName val="PO"/>
      <sheetName val="A"/>
      <sheetName val="SUMMARY SHEET"/>
      <sheetName val="Sales inputs "/>
      <sheetName val="Grey Prodn"/>
      <sheetName val="Sales Budget"/>
      <sheetName val="Inputs"/>
      <sheetName val="KPMG-Balance Sheet_EXAMPLE"/>
      <sheetName val="ROIC - NWA"/>
      <sheetName val="43B"/>
      <sheetName val="INV"/>
      <sheetName val="Monat"/>
      <sheetName val="Ref"/>
      <sheetName val="sales "/>
      <sheetName val="Do not delete"/>
      <sheetName val="Financial Codes"/>
      <sheetName val="mgt9900_GE (1)"/>
      <sheetName val="V_Assum"/>
      <sheetName val="GraphData"/>
      <sheetName val="1-2-1"/>
      <sheetName val="FXRATES"/>
      <sheetName val="BALANCE SHEET"/>
      <sheetName val="Links"/>
      <sheetName val="Lead"/>
      <sheetName val="Sheet1"/>
      <sheetName val="COST"/>
      <sheetName val="Rules"/>
      <sheetName val="POP SALARY "/>
      <sheetName val="cell rel"/>
      <sheetName val="Contract Details"/>
      <sheetName val="rawmat break up"/>
      <sheetName val="General Model Upload"/>
      <sheetName val="coa_ramco_168"/>
      <sheetName val="Listing"/>
      <sheetName val="M2M Rates"/>
      <sheetName val="Licences"/>
      <sheetName val="Mexico"/>
      <sheetName val="Personal"/>
      <sheetName val="Improvements"/>
      <sheetName val="SCPC Profile"/>
      <sheetName val="MultipleSecurities"/>
      <sheetName val="FA(Apr 07)"/>
      <sheetName val="Reco O.S"/>
      <sheetName val="WTB"/>
      <sheetName val="Data"/>
      <sheetName val="Cover Page"/>
      <sheetName val="schedules"/>
      <sheetName val="Memphis"/>
      <sheetName val="Lookup"/>
      <sheetName val="Control"/>
      <sheetName val="DRS"/>
      <sheetName val="TB FOR MIS"/>
      <sheetName val="Production &amp; Revenue Schedules"/>
      <sheetName val="Parameter"/>
      <sheetName val="P&amp;L February"/>
      <sheetName val="P&amp;L Feb 2001 cumulative"/>
      <sheetName val="sEP2003"/>
      <sheetName val="TaxComputn"/>
      <sheetName val="(M+L)"/>
      <sheetName val="Performance Summary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MONTHLY"/>
      <sheetName val="15"/>
      <sheetName val="Profit and Loss"/>
      <sheetName val="Transaction Inputs"/>
      <sheetName val="Target 1"/>
      <sheetName val="Share Calculations"/>
      <sheetName val="Transaction Calculations"/>
      <sheetName val="Sheet3 (2)"/>
      <sheetName val="Set"/>
      <sheetName val="LBO"/>
      <sheetName val="FA"/>
      <sheetName val="F.01 - June 2005"/>
      <sheetName val="Form"/>
      <sheetName val="Challan"/>
      <sheetName val="FORM-16"/>
      <sheetName val="Intaccrual"/>
      <sheetName val="Cash Flow "/>
      <sheetName val="Design"/>
      <sheetName val="Assumptions"/>
      <sheetName val="Sch5TO10"/>
      <sheetName val="Temp"/>
      <sheetName val="Reference"/>
      <sheetName val="Power_Fuel"/>
      <sheetName val="Support"/>
      <sheetName val="N-LIABIL"/>
      <sheetName val="Master (2)"/>
      <sheetName val="Portfolio Summary"/>
      <sheetName val="Standalone"/>
      <sheetName val="entitlements"/>
      <sheetName val="RetailExpenses-Input"/>
      <sheetName val="2003-04"/>
      <sheetName val="INVENTORY"/>
      <sheetName val="lot no 86"/>
      <sheetName val="Users Authorisations"/>
      <sheetName val="Feuil1"/>
      <sheetName val="OFICIAL"/>
      <sheetName val="Revenue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99"/>
      <sheetName val="MAR00"/>
      <sheetName val="B (3)"/>
      <sheetName val="MRRV"/>
      <sheetName val="JUN00"/>
      <sheetName val="JNQTR"/>
      <sheetName val="A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come (2)"/>
      <sheetName val="Income NT"/>
      <sheetName val="CIPL JULY04"/>
      <sheetName val="CPIPL JULY 04"/>
      <sheetName val="Income"/>
      <sheetName val="TB RS 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mary"/>
      <sheetName val="YARN PIVOT"/>
      <sheetName val="Sheet1"/>
      <sheetName val="Sheet2"/>
      <sheetName val="YARN CONSUMP-JULY-06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Inputs"/>
      <sheetName val="Banking &amp; Securities"/>
      <sheetName val="Healthcare"/>
      <sheetName val="Financial Services"/>
      <sheetName val="Consolidated Net Income"/>
      <sheetName val="Cash Flow and Debt Schedule"/>
      <sheetName val="Balance Sheet"/>
      <sheetName val="Returns"/>
      <sheetName val="Valuation Matrix"/>
      <sheetName val="Earnings Valuation"/>
      <sheetName val="EBITA Valuation"/>
      <sheetName val="Two Pager Work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kg fees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 OCT"/>
      <sheetName val="2002-03"/>
      <sheetName val="Mexico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umm Eff &amp; Rev FMRO"/>
      <sheetName val="INSTRUCTIONS"/>
      <sheetName val="Sheet1"/>
      <sheetName val="EFFORT_INPUT"/>
      <sheetName val="PERCENTAGE"/>
      <sheetName val="CONSOLRO"/>
      <sheetName val="CUSTSORATE"/>
      <sheetName val="REVENUE"/>
      <sheetName val="SORATE"/>
      <sheetName val="Module1"/>
      <sheetName val="Instruction - RPT"/>
      <sheetName val="Reports"/>
      <sheetName val="Efforts_2004"/>
      <sheetName val="Rate_2004"/>
      <sheetName val="Current Kintana"/>
      <sheetName val="Opportunities Kintan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heet4"/>
      <sheetName val="Summ Eff &amp; Rev FMRO"/>
      <sheetName val="INSTRUCTIONS"/>
      <sheetName val="Sheet1"/>
      <sheetName val="Sheet2"/>
      <sheetName val="EFFORT_INPUT"/>
      <sheetName val="PERCENTAGE"/>
      <sheetName val="CONSOLRO"/>
      <sheetName val="CUSTSORATE"/>
      <sheetName val="Sheet3"/>
      <sheetName val="ESD Revenue"/>
      <sheetName val="ESD Efforts"/>
      <sheetName val="REVENUE"/>
      <sheetName val="SORATE"/>
      <sheetName val="Regionwise Executing SBU Effort"/>
      <sheetName val="Regionwise Controlling SBU Effo"/>
      <sheetName val="Regionwise Execu SBU Rev."/>
      <sheetName val="Regionwise Control SBU Rev."/>
      <sheetName val="GE - NON-GE REVENUE"/>
      <sheetName val="GE - NON-GE EFFORTS"/>
      <sheetName val="Module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1"/>
    </sheetNames>
    <definedNames>
      <definedName name="Output2"/>
    </defined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History"/>
      <sheetName val="__FDSCACHE__"/>
      <sheetName val="Waterfall"/>
      <sheetName val="Ownership Scenario Detail"/>
      <sheetName val="GA Output"/>
      <sheetName val="Budget"/>
      <sheetName val="Members"/>
      <sheetName val="Revenue"/>
      <sheetName val="EBITDA"/>
      <sheetName val="Summary"/>
      <sheetName val="Dilution"/>
      <sheetName val="Ownership Scenarios"/>
      <sheetName val="CON IS"/>
      <sheetName val="CON BS"/>
      <sheetName val="CON CF"/>
      <sheetName val="HMI IS"/>
      <sheetName val="HMI BS"/>
      <sheetName val="HMI CF"/>
      <sheetName val="ATAC IS"/>
      <sheetName val="ATAC BS"/>
      <sheetName val="ATAC CF"/>
      <sheetName val="Budget Mem"/>
      <sheetName val="High Mem"/>
      <sheetName val="Low Mem"/>
      <sheetName val="Month to bud"/>
      <sheetName val="Year to Bud"/>
      <sheetName val="Mont to Aug BOD"/>
      <sheetName val="Year to Aug BOD"/>
      <sheetName val="Description"/>
      <sheetName val="Warnings"/>
      <sheetName val="Output"/>
      <sheetName val="IS and BS Standard Inputs"/>
      <sheetName val="Anthem_Trigon"/>
      <sheetName val="Equity Research"/>
      <sheetName val="Automatic Updates"/>
      <sheetName val="Update Macro"/>
      <sheetName val="FX"/>
      <sheetName val="Multi-ID Lookup"/>
      <sheetName val="Industry-Specific Inputs"/>
      <sheetName val="Returns-Rev&amp;EBITDA"/>
      <sheetName val="Returns- Membership (old)"/>
      <sheetName val="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summary"/>
      <sheetName val="PRODUCTION WORKING FILE"/>
      <sheetName val="Sheet2"/>
      <sheetName val="Sheet4"/>
      <sheetName val="Sheet1"/>
      <sheetName val="PRODUCTION"/>
      <sheetName val="Sheet3"/>
      <sheetName val="repacking"/>
      <sheetName val="THREAD CUTTING "/>
      <sheetName val="B GREAD"/>
      <sheetName val="OT"/>
      <sheetName val="Sheet5"/>
      <sheetName val="SK"/>
      <sheetName val="bill_summary"/>
      <sheetName val="PRODUCTION_WORKING_FILE"/>
      <sheetName val="THREAD_CUTTING_"/>
      <sheetName val="B_GR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給与データ"/>
      <sheetName val="Emp data"/>
      <sheetName val="DATA ENTRY-2"/>
      <sheetName val="Emp_data"/>
      <sheetName val="DATA_ENTRY-2"/>
      <sheetName val="prod"/>
      <sheetName val="YARN CONSUMP-JULY-06"/>
      <sheetName val="weft (2)"/>
      <sheetName val="jan 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PIVOT"/>
      <sheetName val="PEST SPECIAL"/>
      <sheetName val="W"/>
      <sheetName val="FINAL PEST SPECIAL (2)"/>
      <sheetName val="FINAL_PIVOT"/>
      <sheetName val="PEST_SPECIAL"/>
      <sheetName val="FINAL_PEST_SPECIAL_(2)"/>
      <sheetName val="P&amp;LSC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Returns"/>
      <sheetName val="Valma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endor"/>
    </sheetNames>
    <sheetDataSet>
      <sheetData sheetId="0" refreshError="1"/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Assumptions"/>
      <sheetName val="2.Profit Reco from Version V"/>
      <sheetName val="3.P&amp;L_Comp_F06&amp;F07"/>
      <sheetName val="4.Qtrly P&amp;L Reduced Volume"/>
      <sheetName val="5.Qtrly P&amp;L Full Volume"/>
      <sheetName val="6.Yarn Reqmt_Full Volume"/>
      <sheetName val="7Yarn Reqmt_Reduced Volume"/>
      <sheetName val="3.Activiy Cost"/>
      <sheetName val="8 Monthly Sales"/>
      <sheetName val="9 Sales Price in $"/>
      <sheetName val="8.Buyerwise Contribution"/>
      <sheetName val="9.Product Profitability"/>
      <sheetName val="10Yarn Rates"/>
      <sheetName val="11Yarn Recovery"/>
      <sheetName val="12 P&amp;L_F07 old"/>
      <sheetName val="WGSR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</sheetNames>
    <sheetDataSet>
      <sheetData sheetId="0"/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  <sheetName val="Capacity"/>
      <sheetName val="9 Sales Price in $"/>
      <sheetName val="Fixed Cos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Sheet1"/>
      <sheetName val="Working"/>
      <sheetName val="debt schedule"/>
      <sheetName val="Excise on RM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Yarn Rates"/>
      <sheetName val="P&amp;L_F07"/>
      <sheetName val="Loom Utilisation"/>
      <sheetName val="Final Sales Summary"/>
      <sheetName val="Mthly Sales Budget"/>
      <sheetName val="Prodn Budget"/>
      <sheetName val="Production Planning"/>
      <sheetName val="Product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jkbra"/>
      <sheetName val="SALES BASIS (2)"/>
      <sheetName val="SALES BASIS"/>
      <sheetName val="MONTHLY -P&amp;L"/>
      <sheetName val="Sheet3"/>
      <sheetName val="invoiced"/>
      <sheetName val="Sheet4"/>
      <sheetName val="JKBRA"/>
      <sheetName val="Sheet5"/>
      <sheetName val="Bias -Opt1"/>
      <sheetName val="Sheet2"/>
      <sheetName val="Radial -Opt1"/>
      <sheetName val="Outsourcing -Opt-1"/>
      <sheetName val="Summary"/>
      <sheetName val="p&amp;l-Opt1"/>
      <sheetName val="reconcilattion"/>
      <sheetName val="Sheet6"/>
      <sheetName val="Working Capital"/>
      <sheetName val="Assum"/>
      <sheetName val="MDP&amp;L"/>
      <sheetName val="10한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S"/>
      <sheetName val="SUMMARY COMBINED"/>
      <sheetName val="Actual vs Plan Q2"/>
      <sheetName val="COMBINE ANJAR_DAHEJ"/>
      <sheetName val="LD Bharuch"/>
      <sheetName val="LD Anjar"/>
      <sheetName val="KUTCH INCENTIVE"/>
      <sheetName val="FOREX GAIN-LOSS"/>
      <sheetName val="COMBINE ANJAR"/>
      <sheetName val="COMBINE dahej"/>
      <sheetName val="LONGI-DAHEJ"/>
      <sheetName val="SPIRAL-DAHEJ"/>
      <sheetName val="Coating - Dahej"/>
      <sheetName val="Rates-Spiral-Dahej"/>
      <sheetName val="Finance_spiral dahej"/>
      <sheetName val="Finance Cost_Longi"/>
      <sheetName val="Prod_Plan Longi-Dahej"/>
      <sheetName val="Assumptions_Longi- Dahej"/>
      <sheetName val="SPII ANJAR"/>
      <sheetName val="LONGI-ANJAR"/>
      <sheetName val="Rates-Longi-Anjar"/>
      <sheetName val="PP-Longi_Anjar"/>
      <sheetName val="SPIRAL-1 ANJAR"/>
      <sheetName val="direct variables sp 2"/>
      <sheetName val="F.COST-LONG.ANJAR"/>
      <sheetName val="Finance Cost-LONG.ANJAR"/>
      <sheetName val="D.VAR -O.D.VAR LONG ANJAR"/>
      <sheetName val="Rates-Spiral-1 anjar"/>
      <sheetName val="Spiral 1 Anjar pp"/>
      <sheetName val="RECO - BHURATNAM"/>
      <sheetName val="PP-Spiral-Anjar"/>
      <sheetName val="FINANCE COST SPIRAL - 1"/>
      <sheetName val="FIXED COST - SPIRAL -1"/>
      <sheetName val="D.VARIB. - O.D. VAR - SPIRAL 1 "/>
      <sheetName val="Coating - Anjar"/>
      <sheetName val="ERW-Half-6"/>
      <sheetName val="ERW-6-16"/>
      <sheetName val="Rates-ERW-6-16"/>
      <sheetName val="ERW 16  "/>
      <sheetName val="PP-ERW-6-16"/>
      <sheetName val="ERW - 16 OTHER D.V."/>
      <sheetName val="Finance-ERW 6'' &amp;16&quot;"/>
      <sheetName val="DIRECT VARIABLE ERW 16"/>
      <sheetName val="DIRECT VARIABLE ERW 6"/>
      <sheetName val="Rates-ERW-half-4"/>
      <sheetName val="PP-ERW-half-4"/>
      <sheetName val="Fixed Cost-ERW"/>
      <sheetName val="Anjar-Ext-1600"/>
      <sheetName val="EXT COAT ANJAR"/>
      <sheetName val="Coating-Working"/>
      <sheetName val="ACTUAL COATING - GAIL"/>
      <sheetName val="ACTUAL COATING - SONAL GAZ "/>
      <sheetName val="finance cost tm"/>
      <sheetName val="galvanizing"/>
      <sheetName val="stock deatils"/>
      <sheetName val="LD - LOCAL"/>
      <sheetName val="LD -PGN"/>
      <sheetName val="LD - STG"/>
      <sheetName val="FIXED EXP. (2)"/>
      <sheetName val="LONGI_DAHEJ"/>
      <sheetName val="Pareto Analysis"/>
      <sheetName val="BAL0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ap_927_Vdr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-1"/>
      <sheetName val="PRODN"/>
      <sheetName val="DATA ENTRY-2"/>
      <sheetName val="Produ.&amp;Stk-Report"/>
      <sheetName val="Inventory-Trend"/>
      <sheetName val="EXPORT EXCISE"/>
      <sheetName val="EXPORT COMM"/>
      <sheetName val="CLS GIT"/>
      <sheetName val="DEEM"/>
      <sheetName val="sample"/>
      <sheetName val="DTA"/>
      <sheetName val="ANJAR"/>
      <sheetName val="WTT"/>
      <sheetName val="SALE SUMMARY"/>
      <sheetName val="RG-1"/>
      <sheetName val="COUNT-PROFIT"/>
      <sheetName val="Packing Rate"/>
      <sheetName val="WASTE"/>
      <sheetName val="Index-New"/>
      <sheetName val="Summary"/>
      <sheetName val="mnthly act spg"/>
      <sheetName val="DPR-TAR-ACT(R)"/>
      <sheetName val="DPR-B.PLAN"/>
      <sheetName val="Bplan-Act-QTLY"/>
      <sheetName val="PLANT PERFOMANCE"/>
      <sheetName val="Power"/>
      <sheetName val="worked person"/>
      <sheetName val="data entry-Prod. Loss"/>
      <sheetName val="DATA_ENTRY-1"/>
      <sheetName val="DATA_ENTRY-2"/>
      <sheetName val="Produ_&amp;Stk-Report"/>
      <sheetName val="EXPORT_EXCISE"/>
      <sheetName val="EXPORT_COMM"/>
      <sheetName val="CLS_GIT"/>
      <sheetName val="SALE_SUMMARY"/>
      <sheetName val="Packing_Rate"/>
      <sheetName val="mnthly_act_spg"/>
      <sheetName val="DPR-B_PLAN"/>
      <sheetName val="PLANT_PERFOMANCE"/>
      <sheetName val="worked_person"/>
      <sheetName val="data_entry-Prod__Loss"/>
      <sheetName val="Yarn Rate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Network"/>
      <sheetName val="Network_Comments"/>
      <sheetName val="M&amp;A Comments"/>
      <sheetName val="Semiconductors"/>
      <sheetName val="SemiCap"/>
      <sheetName val="Software"/>
      <sheetName val="Internet"/>
      <sheetName val="EDA"/>
      <sheetName val="Services"/>
      <sheetName val="Processing"/>
      <sheetName val="Peripherals"/>
      <sheetName val="Hardware"/>
      <sheetName val="Contract"/>
      <sheetName val="Highgrowth"/>
      <sheetName val="Low_Premium"/>
      <sheetName val="Goodwill"/>
      <sheetName val="Price_Impact"/>
      <sheetName val="Expenses"/>
      <sheetName val="Macros"/>
      <sheetName val="Star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ohl's Bigone"/>
      <sheetName val="Kohl's Bigone Stripe"/>
      <sheetName val="Kohl's Sonama Solid"/>
      <sheetName val="Kohl's Sonama Stripe"/>
      <sheetName val="Target Field Crust"/>
      <sheetName val="Target New Egy Wavrly"/>
      <sheetName val="Target jaquard"/>
      <sheetName val="Target Organic"/>
      <sheetName val="Target Contemporary"/>
      <sheetName val="K-mart Cannon Solid"/>
      <sheetName val="K-mart Cannnon stripe"/>
      <sheetName val="K-mart JS Tradition"/>
      <sheetName val="Sears Cannon"/>
      <sheetName val=" JCP"/>
      <sheetName val="JCP Quick Dry"/>
      <sheetName val="JCP Quick Dry Stripe"/>
      <sheetName val="Walmart 6PC"/>
      <sheetName val="Walmart ASD"/>
      <sheetName val="TJ Max"/>
      <sheetName val="TJ Max EGY Waverly"/>
      <sheetName val="Ross (LNT)"/>
      <sheetName val="Costco "/>
      <sheetName val="BBB"/>
      <sheetName val="Yar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ales Summary"/>
      <sheetName val="Sales inputs "/>
      <sheetName val="Net Realisation"/>
      <sheetName val="Sales Value"/>
      <sheetName val="VME inputs"/>
      <sheetName val="Shadewise Sales"/>
      <sheetName val="ShadeMixRatio"/>
      <sheetName val="Typemix"/>
      <sheetName val="Typewise Sales"/>
      <sheetName val="Inputs_old budg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4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jan"/>
      <sheetName val="TA-325TC-564"/>
      <sheetName val="TA-325TC -310"/>
      <sheetName val="TA-600TC-254"/>
      <sheetName val="TA-325TC_-310"/>
      <sheetName val="CUTTING"/>
      <sheetName val="SEW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P&amp;L"/>
      <sheetName val="A Payable"/>
      <sheetName val="Cost of Licenses"/>
      <sheetName val="VAT"/>
      <sheetName val="S&amp;W"/>
      <sheetName val="summary"/>
      <sheetName val="G&amp;A"/>
      <sheetName val="R&amp;D"/>
      <sheetName val="corp. other"/>
      <sheetName val="old input"/>
      <sheetName val="old HC plan 2"/>
      <sheetName val="input"/>
      <sheetName val="HC  R&amp;D"/>
      <sheetName val="Costes medios"/>
      <sheetName val="Assumptions"/>
      <sheetName val="Deferred Revenue"/>
      <sheetName val="Account Receivable"/>
      <sheetName val="cyborg"/>
      <sheetName val="sev."/>
      <sheetName val="general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"/>
      <sheetName val="Index"/>
      <sheetName val="KI"/>
      <sheetName val="incst_pyr0001"/>
      <sheetName val="BCR_INPUT"/>
      <sheetName val="Hi-lites"/>
      <sheetName val="Key-Ind"/>
      <sheetName val="Incst"/>
      <sheetName val="bcr (15)"/>
      <sheetName val="prodn"/>
      <sheetName val="bcr (14)"/>
      <sheetName val="Prices"/>
      <sheetName val="NEWFORM"/>
      <sheetName val="WCAPL"/>
      <sheetName val="ISDM-var-mth"/>
      <sheetName val="ISDM-var-ytd"/>
      <sheetName val="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irections"/>
      <sheetName val="Company Fact Sheet"/>
      <sheetName val="Equity Valuation -Linear"/>
      <sheetName val="EBO Valuation"/>
      <sheetName val="Data Download"/>
      <sheetName val="Price Target"/>
      <sheetName val="Industry Plowba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Working"/>
      <sheetName val="Pivot"/>
      <sheetName val="Consumption"/>
      <sheetName val="Qtr-IV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EQUIV"/>
      <sheetName val="Dir"/>
      <sheetName val="HOD"/>
      <sheetName val="SrMgr"/>
      <sheetName val="Mgr"/>
      <sheetName val="AM"/>
      <sheetName val="Dirwhere"/>
      <sheetName val="HODwhere"/>
      <sheetName val="SrMgrwhere"/>
      <sheetName val="Mgrwhere"/>
      <sheetName val="AMwhere"/>
      <sheetName val="rank"/>
      <sheetName val="WGSRL"/>
      <sheetName val="Shadewise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-sugar"/>
      <sheetName val="debt -tyres"/>
      <sheetName val="debt - Corp"/>
      <sheetName val="debt-IDBI"/>
      <sheetName val="debt -ICICI"/>
      <sheetName val="debt -IFCI"/>
      <sheetName val="debt-SBI"/>
      <sheetName val="debt schedule - JKD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Income (2)"/>
      <sheetName val="TB Rs. $"/>
      <sheetName val="TB Rs."/>
      <sheetName val="TB $"/>
      <sheetName val="TB Rs  $  may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arn"/>
      <sheetName val="Warp"/>
      <sheetName val="Weft"/>
      <sheetName val="Sizing"/>
      <sheetName val="Remnant"/>
      <sheetName val="Looms"/>
      <sheetName val="Grey"/>
      <sheetName val="Processing"/>
      <sheetName val="Cut &amp; Sew"/>
      <sheetName val="Only for F Part 2856-60"/>
      <sheetName val="Finish Ware House"/>
      <sheetName val="RTF"/>
      <sheetName val="GIT"/>
      <sheetName val="All Loc"/>
      <sheetName val="Shadewise 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T APRIL 2008"/>
      <sheetName val="Summary"/>
      <sheetName val="Auditor March 08"/>
      <sheetName val="WIP "/>
      <sheetName val=" FG"/>
      <sheetName val="WIP"/>
      <sheetName val="Sheet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3120"/>
      <sheetName val="Sheet1"/>
      <sheetName val="3150"/>
      <sheetName val="Sheet5"/>
      <sheetName val="Sheet2"/>
      <sheetName val="Sheet3"/>
      <sheetName val="m02010003"/>
      <sheetName val="Dyed Yarn jw"/>
      <sheetName val="lt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w"/>
      <sheetName val="GIT of June 2008"/>
      <sheetName val="Halb,Job"/>
      <sheetName val="Fert"/>
      <sheetName val="7200"/>
      <sheetName val="Exc 7200Total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HR"/>
      <sheetName val="Vnd Fdng"/>
      <sheetName val="GM"/>
      <sheetName val="MKTG"/>
      <sheetName val="Alloc"/>
      <sheetName val="Cash Flow"/>
      <sheetName val="Var Sum"/>
      <sheetName val="Var Dtl"/>
      <sheetName val="AGING"/>
      <sheetName val="Vend Debits"/>
      <sheetName val="R-RF"/>
      <sheetName val="RMA"/>
      <sheetName val="LA"/>
      <sheetName val="17"/>
      <sheetName val="L9"/>
      <sheetName val="LC-Puerto Rico"/>
      <sheetName val="conso IMpulse"/>
      <sheetName val="Panama"/>
      <sheetName val="C Rica"/>
      <sheetName val="conso"/>
      <sheetName val="Argentina"/>
      <sheetName val="Peru"/>
      <sheetName val="Conso Total"/>
      <sheetName val="conso w_o L9"/>
      <sheetName val="FSC Calc"/>
      <sheetName val="Plan conso"/>
      <sheetName val="FC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Activity Cost"/>
      <sheetName val="Spunlace Costing"/>
      <sheetName val="2.Process Flow"/>
      <sheetName val="Summary"/>
      <sheetName val="Chemical Cost"/>
      <sheetName val="Costing 150 GSM"/>
      <sheetName val="Spunlace Fixed Cost"/>
      <sheetName val="Assumptions"/>
      <sheetName val="260 GSM Cost Sheet"/>
      <sheetName val="1. Machine Cost"/>
      <sheetName val="6.Manpower for NP project"/>
      <sheetName val="SAP MAPING"/>
      <sheetName val="10. 11 W.C &amp; T Loan"/>
      <sheetName val="Sheet1"/>
      <sheetName val="Sheet2"/>
      <sheetName val="Sheet7"/>
      <sheetName val="Plant &amp; Machinery"/>
      <sheetName val="Co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ndate details"/>
      <sheetName val="Sheet4"/>
      <sheetName val="Noting"/>
      <sheetName val="Ann B-1 Business Placed"/>
      <sheetName val="Ann B-2 Others"/>
      <sheetName val="Ann C Payment"/>
      <sheetName val="Ann E segment"/>
      <sheetName val="Ann F Pipeline"/>
      <sheetName val="Ann G payment receipt report"/>
      <sheetName val="Ann I risk insp rep"/>
      <sheetName val="Ann J Ins. Co. Wise OS"/>
      <sheetName val="Validatio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Data Input"/>
      <sheetName val="ICB"/>
      <sheetName val="Exceptional Provision"/>
      <sheetName val="Cost Analysis"/>
      <sheetName val="Headcount Analysis"/>
      <sheetName val="Validation"/>
      <sheetName val="Reference1"/>
      <sheetName val="Reference2"/>
      <sheetName val="Hist_Data"/>
      <sheetName val="Extract-Main"/>
      <sheetName val="Extract-ICB"/>
      <sheetName val="Dialog3"/>
      <sheetName val="Dialog4"/>
      <sheetName val="Module1"/>
      <sheetName val="PACKING GL MAY-07"/>
      <sheetName val="Data_Input"/>
      <sheetName val="Exceptional_Provision"/>
      <sheetName val="Cost_Analysis"/>
      <sheetName val="Headcount_Analysis"/>
      <sheetName val="PACKING_GL_MAY-07"/>
      <sheetName val="sheet1"/>
      <sheetName val="3150"/>
      <sheetName val="receipt of stores &amp; spares_26"/>
      <sheetName val="data"/>
      <sheetName val="graph"/>
      <sheetName val="ISD-MG"/>
      <sheetName val="Data_Input1"/>
      <sheetName val="Exceptional_Provision1"/>
      <sheetName val="Cost_Analysis1"/>
      <sheetName val="Headcount_Analysis1"/>
      <sheetName val="PACKING_GL_MAY-071"/>
      <sheetName val="No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mortisation Schedule"/>
      <sheetName val="finacials"/>
      <sheetName val="Debt Profile"/>
      <sheetName val="finantest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Bal_Sheet"/>
      <sheetName val="TB_RS_$"/>
      <sheetName val="TB_Baan__$"/>
      <sheetName val="TB_Baan_RS"/>
      <sheetName val="TB_Rs_$_Baan__4_3_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osting"/>
      <sheetName val="Fiber Rate"/>
      <sheetName val="Activity Cost"/>
      <sheetName val="Technical Specification"/>
      <sheetName val="Term Loan &amp;  Working Cap Int"/>
      <sheetName val="Working"/>
      <sheetName val="Needle Punch Plant &amp; Mc List"/>
      <sheetName val="Corporate Exp"/>
      <sheetName val="Coating Job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heet1"/>
    </sheetNames>
    <sheetDataSet>
      <sheetData sheetId="0"/>
      <sheetData sheetId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Ac"/>
      <sheetName val="WUSA INT. CALC - REVISED"/>
      <sheetName val="WUSA INT. CALC"/>
      <sheetName val="Advance ac"/>
      <sheetName val="RS. 1731774.07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_status2001"/>
      <sheetName val="worksheet"/>
      <sheetName val="Summary"/>
      <sheetName val="FINAL"/>
      <sheetName val="On Cost Credited to GM"/>
      <sheetName val="ON COST TO BE MAINTAINED"/>
      <sheetName val="WORKING PUP746"/>
      <sheetName val="WORKING PPPUP746"/>
      <sheetName val="VENDORWISE LISTING"/>
      <sheetName val="CL BAL ON COST FEB 12"/>
      <sheetName val="STOCK AGEING"/>
      <sheetName val="IN TRANSIT"/>
      <sheetName val="STOCK DEFERRAL%"/>
      <sheetName val="VDR_CODES"/>
      <sheetName val="Latest Vendor Code "/>
      <sheetName val="Charts"/>
      <sheetName val="TDS 11-12"/>
      <sheetName val="Comp"/>
      <sheetName val="Währungsschlüssel"/>
      <sheetName val="CF"/>
      <sheetName val="DCF"/>
      <sheetName val="Sheet14"/>
      <sheetName val="Sheet2"/>
      <sheetName val="Stockstatus-31 Aug Market"/>
      <sheetName val="P &amp; L"/>
      <sheetName val="Bal Sheet"/>
      <sheetName val="defaults"/>
      <sheetName val="header"/>
      <sheetName val="Grunddaten"/>
      <sheetName val="Rates"/>
      <sheetName val="Stockstatus-31_Aug_Market"/>
      <sheetName val="P_&amp;_L"/>
      <sheetName val="Bal_Sheet"/>
      <sheetName val="Design devlopment &amp; testingexp."/>
      <sheetName val="tables"/>
      <sheetName val="Global Assmptions"/>
      <sheetName val="P&amp;L-"/>
      <sheetName val="Asset Consolidated"/>
      <sheetName val="TrialBal"/>
      <sheetName val="BS Sch"/>
      <sheetName val="BS-203"/>
      <sheetName val="CRITERIA1"/>
      <sheetName val="Setup"/>
      <sheetName val="DATA"/>
      <sheetName val="entitlements"/>
      <sheetName val="Assumptions"/>
      <sheetName val="DRI RELAY J"/>
      <sheetName val="Tools "/>
      <sheetName val="Customize Your Purchase Order"/>
      <sheetName val="RPT 11-VOLUME BY BRANDS"/>
      <sheetName val="Hidden"/>
      <sheetName val="Mapping table"/>
      <sheetName val="Consolidation _Rs"/>
      <sheetName val="Sheet1"/>
      <sheetName val="PL Groupings"/>
      <sheetName val="BS Groupings"/>
      <sheetName val="현금흐름표"/>
      <sheetName val="P&amp;L-Rptg format"/>
      <sheetName val="Sheet3"/>
      <sheetName val="Determination of Threshold"/>
      <sheetName val="cap2002-03"/>
      <sheetName val="STD2001"/>
      <sheetName val="Master"/>
      <sheetName val="VPP Matrix"/>
      <sheetName val="P&amp;L-BS_&amp; Groupings"/>
      <sheetName val="REV_1702"/>
      <sheetName val="Del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Analysis- Jul"/>
      <sheetName val="Sales Analysis-Aug"/>
      <sheetName val="Sales Analysis-Se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Reports"/>
      <sheetName val="Assumptions"/>
      <sheetName val="Traffic-Revenue"/>
      <sheetName val="Financial-Consol"/>
      <sheetName val="Financials-JNPT"/>
      <sheetName val="Financial-Ludh"/>
      <sheetName val="Financials-Blr"/>
      <sheetName val="Loans-JNPT"/>
      <sheetName val="Loans-Ludh"/>
      <sheetName val="Loans-Blr"/>
      <sheetName val="Counters"/>
      <sheetName val="IRR"/>
      <sheetName val="Circ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rgerAnalysis"/>
      <sheetName val="Contribution"/>
      <sheetName val="AcqShares"/>
      <sheetName val="TgtShares"/>
      <sheetName val="Acq IS"/>
      <sheetName val="Tgt IS"/>
      <sheetName val="PFIS"/>
      <sheetName val="SumStat"/>
      <sheetName val="BlankPage"/>
      <sheetName val="Coun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F3FF-09E8-4E66-BECE-1D31467DDFDB}">
  <dimension ref="A1:U198"/>
  <sheetViews>
    <sheetView tabSelected="1" topLeftCell="A153" zoomScale="55" zoomScaleNormal="62" workbookViewId="0">
      <selection activeCell="N2" sqref="N2"/>
    </sheetView>
  </sheetViews>
  <sheetFormatPr defaultRowHeight="14.45"/>
  <cols>
    <col min="1" max="1" width="9.140625" bestFit="1" customWidth="1"/>
    <col min="2" max="2" width="10" bestFit="1" customWidth="1"/>
    <col min="3" max="3" width="20.28515625" bestFit="1" customWidth="1"/>
    <col min="4" max="4" width="6.85546875" bestFit="1" customWidth="1"/>
    <col min="5" max="5" width="29.85546875" bestFit="1" customWidth="1"/>
    <col min="6" max="6" width="76.42578125" bestFit="1" customWidth="1"/>
    <col min="7" max="7" width="16.140625" bestFit="1" customWidth="1"/>
    <col min="8" max="8" width="40.28515625" bestFit="1" customWidth="1"/>
    <col min="9" max="9" width="29.140625" bestFit="1" customWidth="1"/>
    <col min="10" max="10" width="25.28515625" bestFit="1" customWidth="1"/>
    <col min="11" max="11" width="15.28515625" bestFit="1" customWidth="1"/>
    <col min="12" max="12" width="11.7109375" bestFit="1" customWidth="1"/>
    <col min="13" max="13" width="20.5703125" bestFit="1" customWidth="1"/>
    <col min="14" max="14" width="20.85546875" bestFit="1" customWidth="1"/>
    <col min="15" max="15" width="7.7109375" bestFit="1" customWidth="1"/>
    <col min="16" max="16" width="14.28515625" bestFit="1" customWidth="1"/>
    <col min="17" max="19" width="8.28515625" bestFit="1" customWidth="1"/>
    <col min="20" max="20" width="8.7109375" bestFit="1" customWidth="1"/>
    <col min="21" max="21" width="9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>
        <v>3</v>
      </c>
      <c r="H2" t="s">
        <v>26</v>
      </c>
      <c r="I2" t="s">
        <v>27</v>
      </c>
      <c r="J2">
        <v>18</v>
      </c>
      <c r="K2" t="s">
        <v>28</v>
      </c>
      <c r="L2">
        <v>0</v>
      </c>
      <c r="M2">
        <v>18</v>
      </c>
      <c r="N2">
        <v>18</v>
      </c>
      <c r="O2">
        <v>3</v>
      </c>
      <c r="P2">
        <v>0</v>
      </c>
      <c r="Q2">
        <v>6</v>
      </c>
      <c r="R2">
        <v>6</v>
      </c>
      <c r="S2">
        <v>6</v>
      </c>
      <c r="T2">
        <v>0</v>
      </c>
      <c r="U2" t="s">
        <v>29</v>
      </c>
    </row>
    <row r="3" spans="1:21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30</v>
      </c>
      <c r="G3">
        <v>1</v>
      </c>
      <c r="H3" t="s">
        <v>31</v>
      </c>
      <c r="I3" t="s">
        <v>32</v>
      </c>
      <c r="J3">
        <v>3</v>
      </c>
      <c r="K3" t="s">
        <v>29</v>
      </c>
      <c r="L3">
        <v>0</v>
      </c>
      <c r="M3">
        <v>3</v>
      </c>
      <c r="N3">
        <v>3</v>
      </c>
      <c r="O3">
        <v>3</v>
      </c>
      <c r="P3">
        <v>0</v>
      </c>
      <c r="Q3">
        <v>1</v>
      </c>
      <c r="R3">
        <v>1</v>
      </c>
      <c r="S3">
        <v>1</v>
      </c>
      <c r="T3">
        <v>0</v>
      </c>
      <c r="U3" t="s">
        <v>29</v>
      </c>
    </row>
    <row r="4" spans="1:21">
      <c r="A4" t="s">
        <v>21</v>
      </c>
      <c r="B4" t="s">
        <v>22</v>
      </c>
      <c r="C4" t="s">
        <v>23</v>
      </c>
      <c r="D4">
        <v>3</v>
      </c>
      <c r="E4" t="s">
        <v>24</v>
      </c>
      <c r="F4" t="s">
        <v>33</v>
      </c>
      <c r="G4">
        <v>1</v>
      </c>
      <c r="H4" t="s">
        <v>34</v>
      </c>
      <c r="I4" t="s">
        <v>32</v>
      </c>
      <c r="J4">
        <v>3</v>
      </c>
      <c r="K4" t="s">
        <v>29</v>
      </c>
      <c r="L4">
        <v>0</v>
      </c>
      <c r="M4">
        <v>3</v>
      </c>
      <c r="N4">
        <v>3</v>
      </c>
      <c r="O4">
        <v>3</v>
      </c>
      <c r="P4">
        <v>0</v>
      </c>
      <c r="Q4">
        <v>1</v>
      </c>
      <c r="R4">
        <v>1</v>
      </c>
      <c r="S4">
        <v>1</v>
      </c>
      <c r="T4">
        <v>0</v>
      </c>
      <c r="U4" t="s">
        <v>29</v>
      </c>
    </row>
    <row r="5" spans="1:21">
      <c r="A5" t="s">
        <v>21</v>
      </c>
      <c r="B5" t="s">
        <v>22</v>
      </c>
      <c r="C5" t="s">
        <v>23</v>
      </c>
      <c r="D5">
        <v>4</v>
      </c>
      <c r="E5" t="s">
        <v>24</v>
      </c>
      <c r="F5" t="s">
        <v>35</v>
      </c>
      <c r="G5">
        <v>3</v>
      </c>
      <c r="H5" t="s">
        <v>36</v>
      </c>
      <c r="I5" t="s">
        <v>37</v>
      </c>
      <c r="J5">
        <v>0</v>
      </c>
      <c r="K5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29</v>
      </c>
    </row>
    <row r="6" spans="1:21">
      <c r="A6" t="s">
        <v>21</v>
      </c>
      <c r="B6" t="s">
        <v>22</v>
      </c>
      <c r="C6" t="s">
        <v>23</v>
      </c>
      <c r="D6">
        <v>5</v>
      </c>
      <c r="E6" t="s">
        <v>24</v>
      </c>
      <c r="F6" t="s">
        <v>38</v>
      </c>
      <c r="G6">
        <v>1</v>
      </c>
      <c r="H6" t="s">
        <v>39</v>
      </c>
      <c r="I6" t="s">
        <v>32</v>
      </c>
      <c r="J6">
        <v>3</v>
      </c>
      <c r="K6" t="s">
        <v>29</v>
      </c>
      <c r="L6">
        <v>3</v>
      </c>
      <c r="M6">
        <v>0</v>
      </c>
      <c r="N6">
        <v>3</v>
      </c>
      <c r="O6">
        <v>3</v>
      </c>
      <c r="P6">
        <v>0</v>
      </c>
      <c r="Q6">
        <v>1</v>
      </c>
      <c r="R6">
        <v>1</v>
      </c>
      <c r="S6">
        <v>1</v>
      </c>
      <c r="T6">
        <v>0</v>
      </c>
      <c r="U6" t="s">
        <v>29</v>
      </c>
    </row>
    <row r="7" spans="1:21">
      <c r="A7" t="s">
        <v>21</v>
      </c>
      <c r="B7" t="s">
        <v>22</v>
      </c>
      <c r="C7" t="s">
        <v>40</v>
      </c>
      <c r="D7">
        <v>1</v>
      </c>
      <c r="E7" t="s">
        <v>41</v>
      </c>
      <c r="F7" t="s">
        <v>42</v>
      </c>
      <c r="G7">
        <v>0</v>
      </c>
      <c r="H7" t="s">
        <v>43</v>
      </c>
      <c r="I7" t="s">
        <v>44</v>
      </c>
      <c r="J7">
        <v>0</v>
      </c>
      <c r="L7">
        <v>0</v>
      </c>
      <c r="M7">
        <v>0</v>
      </c>
      <c r="N7">
        <v>0</v>
      </c>
      <c r="O7" s="1">
        <v>3</v>
      </c>
      <c r="P7">
        <v>0</v>
      </c>
      <c r="Q7">
        <v>0</v>
      </c>
      <c r="R7">
        <v>0</v>
      </c>
      <c r="S7">
        <v>0</v>
      </c>
      <c r="T7">
        <v>0</v>
      </c>
    </row>
    <row r="8" spans="1:21">
      <c r="A8" t="s">
        <v>21</v>
      </c>
      <c r="B8" t="s">
        <v>22</v>
      </c>
      <c r="C8" t="s">
        <v>40</v>
      </c>
      <c r="D8">
        <v>2</v>
      </c>
      <c r="E8" t="s">
        <v>41</v>
      </c>
      <c r="F8" t="s">
        <v>45</v>
      </c>
      <c r="G8">
        <v>1</v>
      </c>
      <c r="H8" t="s">
        <v>46</v>
      </c>
      <c r="I8" t="s">
        <v>47</v>
      </c>
      <c r="J8">
        <v>6</v>
      </c>
      <c r="L8">
        <v>6</v>
      </c>
      <c r="M8">
        <v>0</v>
      </c>
      <c r="N8">
        <v>6</v>
      </c>
      <c r="O8" s="1">
        <v>3</v>
      </c>
      <c r="P8">
        <v>0</v>
      </c>
      <c r="Q8">
        <v>2</v>
      </c>
      <c r="R8">
        <v>2</v>
      </c>
      <c r="S8">
        <v>2</v>
      </c>
      <c r="T8">
        <v>0</v>
      </c>
    </row>
    <row r="9" spans="1:21">
      <c r="A9" t="s">
        <v>21</v>
      </c>
      <c r="B9" t="s">
        <v>22</v>
      </c>
      <c r="C9" t="s">
        <v>48</v>
      </c>
      <c r="D9">
        <v>1</v>
      </c>
      <c r="E9" t="s">
        <v>49</v>
      </c>
      <c r="F9" t="s">
        <v>50</v>
      </c>
      <c r="G9" s="1">
        <v>1</v>
      </c>
      <c r="H9" s="2" t="s">
        <v>36</v>
      </c>
      <c r="I9" t="s">
        <v>51</v>
      </c>
      <c r="J9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1">
      <c r="A10" t="s">
        <v>21</v>
      </c>
      <c r="B10" t="s">
        <v>22</v>
      </c>
      <c r="C10" t="s">
        <v>48</v>
      </c>
      <c r="D10">
        <v>2</v>
      </c>
      <c r="E10" t="s">
        <v>49</v>
      </c>
      <c r="F10" t="s">
        <v>33</v>
      </c>
      <c r="G10" s="1">
        <v>1</v>
      </c>
      <c r="H10" s="2" t="s">
        <v>52</v>
      </c>
      <c r="I10" t="s">
        <v>53</v>
      </c>
      <c r="J10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</row>
    <row r="11" spans="1:21">
      <c r="A11" t="s">
        <v>21</v>
      </c>
      <c r="B11" t="s">
        <v>22</v>
      </c>
      <c r="C11" t="s">
        <v>54</v>
      </c>
      <c r="D11">
        <v>1</v>
      </c>
      <c r="E11" t="s">
        <v>54</v>
      </c>
      <c r="F11" t="s">
        <v>50</v>
      </c>
      <c r="G11">
        <v>2</v>
      </c>
      <c r="H11" t="s">
        <v>26</v>
      </c>
      <c r="I11" t="s">
        <v>55</v>
      </c>
      <c r="J11">
        <v>8</v>
      </c>
      <c r="L11">
        <v>0</v>
      </c>
      <c r="M11">
        <v>8</v>
      </c>
      <c r="N11">
        <v>8</v>
      </c>
      <c r="O11">
        <v>2</v>
      </c>
      <c r="P11">
        <v>0</v>
      </c>
      <c r="Q11">
        <v>4</v>
      </c>
      <c r="R11">
        <v>4</v>
      </c>
      <c r="S11" s="1">
        <v>0</v>
      </c>
      <c r="T11">
        <v>0</v>
      </c>
    </row>
    <row r="12" spans="1:21">
      <c r="A12" t="s">
        <v>21</v>
      </c>
      <c r="B12" t="s">
        <v>22</v>
      </c>
      <c r="C12" t="s">
        <v>54</v>
      </c>
      <c r="D12">
        <v>2</v>
      </c>
      <c r="E12" t="s">
        <v>54</v>
      </c>
      <c r="F12" t="s">
        <v>56</v>
      </c>
      <c r="G12">
        <v>1</v>
      </c>
      <c r="H12" t="s">
        <v>57</v>
      </c>
      <c r="I12" t="s">
        <v>58</v>
      </c>
      <c r="J12">
        <v>2</v>
      </c>
      <c r="L12">
        <v>0</v>
      </c>
      <c r="M12">
        <v>2</v>
      </c>
      <c r="N12">
        <v>2</v>
      </c>
      <c r="O12">
        <v>2</v>
      </c>
      <c r="P12">
        <v>0</v>
      </c>
      <c r="Q12">
        <v>1</v>
      </c>
      <c r="R12">
        <v>1</v>
      </c>
      <c r="S12" s="1">
        <v>0</v>
      </c>
      <c r="T12">
        <v>0</v>
      </c>
    </row>
    <row r="13" spans="1:21">
      <c r="A13" t="s">
        <v>21</v>
      </c>
      <c r="B13" t="s">
        <v>22</v>
      </c>
      <c r="C13" t="s">
        <v>54</v>
      </c>
      <c r="D13">
        <v>3</v>
      </c>
      <c r="E13" t="s">
        <v>54</v>
      </c>
      <c r="F13" t="s">
        <v>59</v>
      </c>
      <c r="G13">
        <v>2</v>
      </c>
      <c r="H13" t="s">
        <v>46</v>
      </c>
      <c r="I13" t="s">
        <v>55</v>
      </c>
      <c r="J13">
        <v>8</v>
      </c>
      <c r="L13">
        <v>8</v>
      </c>
      <c r="M13">
        <v>0</v>
      </c>
      <c r="N13">
        <v>8</v>
      </c>
      <c r="O13">
        <v>2</v>
      </c>
      <c r="P13">
        <v>0</v>
      </c>
      <c r="Q13">
        <v>4</v>
      </c>
      <c r="R13">
        <v>4</v>
      </c>
      <c r="S13" s="1">
        <v>0</v>
      </c>
      <c r="T13">
        <v>0</v>
      </c>
    </row>
    <row r="14" spans="1:21">
      <c r="A14" t="s">
        <v>21</v>
      </c>
      <c r="B14" t="s">
        <v>22</v>
      </c>
      <c r="C14" t="s">
        <v>54</v>
      </c>
      <c r="D14">
        <v>4</v>
      </c>
      <c r="E14" t="s">
        <v>60</v>
      </c>
      <c r="F14" t="s">
        <v>50</v>
      </c>
      <c r="G14">
        <v>1</v>
      </c>
      <c r="H14" t="s">
        <v>31</v>
      </c>
      <c r="I14" t="s">
        <v>58</v>
      </c>
      <c r="J14">
        <v>2</v>
      </c>
      <c r="L14">
        <v>0</v>
      </c>
      <c r="M14">
        <v>2</v>
      </c>
      <c r="N14">
        <v>2</v>
      </c>
      <c r="O14">
        <v>2</v>
      </c>
      <c r="P14">
        <v>0</v>
      </c>
      <c r="Q14">
        <v>1</v>
      </c>
      <c r="R14">
        <v>1</v>
      </c>
      <c r="S14" s="1">
        <v>0</v>
      </c>
      <c r="T14">
        <v>0</v>
      </c>
    </row>
    <row r="15" spans="1:21">
      <c r="A15" t="s">
        <v>21</v>
      </c>
      <c r="B15" t="s">
        <v>22</v>
      </c>
      <c r="C15" t="s">
        <v>54</v>
      </c>
      <c r="D15">
        <v>5</v>
      </c>
      <c r="E15" t="s">
        <v>61</v>
      </c>
      <c r="F15" t="s">
        <v>35</v>
      </c>
      <c r="G15">
        <v>1</v>
      </c>
      <c r="H15" t="s">
        <v>62</v>
      </c>
      <c r="I15" t="s">
        <v>58</v>
      </c>
      <c r="J15">
        <v>2</v>
      </c>
      <c r="L15">
        <v>0</v>
      </c>
      <c r="M15">
        <v>2</v>
      </c>
      <c r="N15">
        <v>2</v>
      </c>
      <c r="O15">
        <v>2</v>
      </c>
      <c r="P15">
        <v>0</v>
      </c>
      <c r="Q15">
        <v>1</v>
      </c>
      <c r="R15">
        <v>1</v>
      </c>
      <c r="S15" s="1">
        <v>0</v>
      </c>
      <c r="T15">
        <v>0</v>
      </c>
    </row>
    <row r="16" spans="1:21">
      <c r="A16" t="s">
        <v>21</v>
      </c>
      <c r="B16" t="s">
        <v>22</v>
      </c>
      <c r="C16" t="s">
        <v>63</v>
      </c>
      <c r="D16">
        <v>1</v>
      </c>
      <c r="E16" t="s">
        <v>64</v>
      </c>
      <c r="F16" t="s">
        <v>65</v>
      </c>
      <c r="G16">
        <v>1</v>
      </c>
      <c r="H16" t="s">
        <v>39</v>
      </c>
      <c r="I16" t="s">
        <v>53</v>
      </c>
      <c r="J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>
      <c r="A17" t="s">
        <v>21</v>
      </c>
      <c r="B17" t="s">
        <v>22</v>
      </c>
      <c r="C17" t="s">
        <v>63</v>
      </c>
      <c r="D17">
        <v>2</v>
      </c>
      <c r="E17" t="s">
        <v>64</v>
      </c>
      <c r="F17" t="s">
        <v>66</v>
      </c>
      <c r="G17">
        <v>1</v>
      </c>
      <c r="H17" t="s">
        <v>39</v>
      </c>
      <c r="I17" t="s">
        <v>53</v>
      </c>
      <c r="J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>
      <c r="A18" t="s">
        <v>21</v>
      </c>
      <c r="B18" t="s">
        <v>22</v>
      </c>
      <c r="C18" t="s">
        <v>63</v>
      </c>
      <c r="D18">
        <v>3</v>
      </c>
      <c r="E18" t="s">
        <v>64</v>
      </c>
      <c r="F18" t="s">
        <v>67</v>
      </c>
      <c r="G18">
        <v>1</v>
      </c>
      <c r="H18" t="s">
        <v>46</v>
      </c>
      <c r="I18" t="s">
        <v>68</v>
      </c>
      <c r="J18">
        <v>2</v>
      </c>
      <c r="L18">
        <v>2</v>
      </c>
      <c r="M18">
        <v>0</v>
      </c>
      <c r="N18">
        <v>2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</row>
    <row r="19" spans="1:20">
      <c r="A19" t="s">
        <v>21</v>
      </c>
      <c r="B19" t="s">
        <v>22</v>
      </c>
      <c r="C19" t="s">
        <v>63</v>
      </c>
      <c r="D19">
        <v>4</v>
      </c>
      <c r="E19" t="s">
        <v>64</v>
      </c>
      <c r="F19" t="s">
        <v>69</v>
      </c>
      <c r="G19">
        <v>0</v>
      </c>
      <c r="H19" t="s">
        <v>39</v>
      </c>
      <c r="I19" t="s">
        <v>70</v>
      </c>
      <c r="J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21</v>
      </c>
      <c r="B20" t="s">
        <v>22</v>
      </c>
      <c r="C20" t="s">
        <v>63</v>
      </c>
      <c r="D20">
        <v>5</v>
      </c>
      <c r="E20" t="s">
        <v>64</v>
      </c>
      <c r="F20" t="s">
        <v>71</v>
      </c>
      <c r="G20">
        <v>1</v>
      </c>
      <c r="H20" t="s">
        <v>46</v>
      </c>
      <c r="I20" t="s">
        <v>68</v>
      </c>
      <c r="J20">
        <v>2</v>
      </c>
      <c r="L20">
        <v>2</v>
      </c>
      <c r="M20">
        <v>0</v>
      </c>
      <c r="N20">
        <v>2</v>
      </c>
      <c r="O20">
        <v>1</v>
      </c>
      <c r="P20">
        <v>2</v>
      </c>
      <c r="Q20">
        <v>0</v>
      </c>
      <c r="R20">
        <v>0</v>
      </c>
      <c r="S20">
        <v>0</v>
      </c>
      <c r="T20">
        <v>0</v>
      </c>
    </row>
    <row r="21" spans="1:20">
      <c r="A21" t="s">
        <v>21</v>
      </c>
      <c r="B21" t="s">
        <v>22</v>
      </c>
      <c r="C21" t="s">
        <v>63</v>
      </c>
      <c r="D21">
        <v>6</v>
      </c>
      <c r="E21" t="s">
        <v>64</v>
      </c>
      <c r="F21" t="s">
        <v>72</v>
      </c>
      <c r="G21">
        <v>0</v>
      </c>
      <c r="H21" t="s">
        <v>34</v>
      </c>
      <c r="I21" t="s">
        <v>70</v>
      </c>
      <c r="J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21</v>
      </c>
      <c r="B22" t="s">
        <v>22</v>
      </c>
      <c r="C22" t="s">
        <v>73</v>
      </c>
      <c r="D22">
        <v>1</v>
      </c>
      <c r="E22" t="s">
        <v>74</v>
      </c>
      <c r="F22" t="s">
        <v>75</v>
      </c>
      <c r="G22">
        <v>1</v>
      </c>
      <c r="H22" t="s">
        <v>26</v>
      </c>
      <c r="I22" t="s">
        <v>47</v>
      </c>
      <c r="J22">
        <v>6</v>
      </c>
      <c r="L22">
        <v>6</v>
      </c>
      <c r="M22">
        <v>0</v>
      </c>
      <c r="N22">
        <v>6</v>
      </c>
      <c r="O22">
        <f>ROUNDUP((Coating!$C$13/(1/3)),0)</f>
        <v>3</v>
      </c>
      <c r="P22">
        <v>0</v>
      </c>
      <c r="Q22">
        <v>2</v>
      </c>
      <c r="R22">
        <v>2</v>
      </c>
      <c r="S22">
        <v>2</v>
      </c>
      <c r="T22">
        <v>0</v>
      </c>
    </row>
    <row r="23" spans="1:20">
      <c r="A23" t="s">
        <v>21</v>
      </c>
      <c r="B23" t="s">
        <v>22</v>
      </c>
      <c r="C23" t="s">
        <v>73</v>
      </c>
      <c r="D23">
        <v>2</v>
      </c>
      <c r="E23" t="s">
        <v>74</v>
      </c>
      <c r="F23" t="s">
        <v>76</v>
      </c>
      <c r="G23">
        <v>0</v>
      </c>
      <c r="H23" t="s">
        <v>36</v>
      </c>
      <c r="I23" t="s">
        <v>77</v>
      </c>
      <c r="J23">
        <v>0</v>
      </c>
      <c r="L23">
        <v>0</v>
      </c>
      <c r="M23">
        <v>0</v>
      </c>
      <c r="N23">
        <v>0</v>
      </c>
      <c r="O23">
        <f>ROUNDUP((Coating!$C$13/(1/3)),0)</f>
        <v>3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21</v>
      </c>
      <c r="B24" t="s">
        <v>22</v>
      </c>
      <c r="C24" t="s">
        <v>73</v>
      </c>
      <c r="D24">
        <v>3</v>
      </c>
      <c r="E24" t="s">
        <v>74</v>
      </c>
      <c r="F24" t="s">
        <v>78</v>
      </c>
      <c r="G24">
        <f>Coating!$C$13</f>
        <v>0.73804570711075868</v>
      </c>
      <c r="H24" t="s">
        <v>31</v>
      </c>
      <c r="I24" t="s">
        <v>79</v>
      </c>
      <c r="J24">
        <v>2.15</v>
      </c>
      <c r="L24">
        <v>0</v>
      </c>
      <c r="M24">
        <v>3</v>
      </c>
      <c r="N24">
        <v>3</v>
      </c>
      <c r="O24">
        <f>ROUNDUP((Coating!$C$13/(1/3)),0)</f>
        <v>3</v>
      </c>
      <c r="P24">
        <v>0</v>
      </c>
      <c r="Q24">
        <v>1</v>
      </c>
      <c r="R24">
        <v>1</v>
      </c>
      <c r="S24">
        <v>1</v>
      </c>
      <c r="T24">
        <v>0</v>
      </c>
    </row>
    <row r="25" spans="1:20">
      <c r="A25" t="s">
        <v>21</v>
      </c>
      <c r="B25" t="s">
        <v>22</v>
      </c>
      <c r="C25" t="s">
        <v>73</v>
      </c>
      <c r="D25">
        <v>4</v>
      </c>
      <c r="E25" t="s">
        <v>74</v>
      </c>
      <c r="F25" t="s">
        <v>80</v>
      </c>
      <c r="G25">
        <f>Coating!$C$13</f>
        <v>0.73804570711075868</v>
      </c>
      <c r="H25" t="s">
        <v>31</v>
      </c>
      <c r="I25" t="s">
        <v>79</v>
      </c>
      <c r="J25">
        <v>2.15</v>
      </c>
      <c r="L25">
        <v>0</v>
      </c>
      <c r="M25">
        <v>3</v>
      </c>
      <c r="N25">
        <v>3</v>
      </c>
      <c r="O25">
        <f>ROUNDUP((Coating!$C$13/(1/3)),0)</f>
        <v>3</v>
      </c>
      <c r="P25">
        <v>0</v>
      </c>
      <c r="Q25">
        <v>1</v>
      </c>
      <c r="R25">
        <v>1</v>
      </c>
      <c r="S25">
        <v>1</v>
      </c>
      <c r="T25">
        <v>0</v>
      </c>
    </row>
    <row r="26" spans="1:20">
      <c r="A26" t="s">
        <v>21</v>
      </c>
      <c r="B26" t="s">
        <v>22</v>
      </c>
      <c r="C26" t="s">
        <v>73</v>
      </c>
      <c r="D26">
        <v>5</v>
      </c>
      <c r="E26" t="s">
        <v>74</v>
      </c>
      <c r="F26" t="s">
        <v>81</v>
      </c>
      <c r="G26">
        <f>Coating!$C$13</f>
        <v>0.73804570711075868</v>
      </c>
      <c r="H26" t="s">
        <v>31</v>
      </c>
      <c r="I26" t="s">
        <v>79</v>
      </c>
      <c r="J26">
        <v>2.15</v>
      </c>
      <c r="L26">
        <v>0</v>
      </c>
      <c r="M26">
        <v>3</v>
      </c>
      <c r="N26">
        <v>3</v>
      </c>
      <c r="O26">
        <f>ROUNDUP((Coating!$C$13/(1/3)),0)</f>
        <v>3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0">
      <c r="A27" t="s">
        <v>21</v>
      </c>
      <c r="B27" t="s">
        <v>22</v>
      </c>
      <c r="C27" t="s">
        <v>73</v>
      </c>
      <c r="D27">
        <v>6</v>
      </c>
      <c r="E27" t="s">
        <v>74</v>
      </c>
      <c r="F27" t="s">
        <v>82</v>
      </c>
      <c r="G27">
        <f>Coating!$C$13</f>
        <v>0.73804570711075868</v>
      </c>
      <c r="H27" t="s">
        <v>31</v>
      </c>
      <c r="I27" t="s">
        <v>79</v>
      </c>
      <c r="J27">
        <v>2.15</v>
      </c>
      <c r="L27">
        <v>0</v>
      </c>
      <c r="M27">
        <v>3</v>
      </c>
      <c r="N27">
        <v>3</v>
      </c>
      <c r="O27">
        <f>ROUNDUP((Coating!$C$13/(1/3)),0)</f>
        <v>3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>
      <c r="A28" t="s">
        <v>21</v>
      </c>
      <c r="B28" t="s">
        <v>22</v>
      </c>
      <c r="C28" t="s">
        <v>73</v>
      </c>
      <c r="D28">
        <v>7</v>
      </c>
      <c r="E28" t="s">
        <v>74</v>
      </c>
      <c r="F28" t="s">
        <v>83</v>
      </c>
      <c r="G28">
        <v>1</v>
      </c>
      <c r="H28" t="s">
        <v>26</v>
      </c>
      <c r="I28" t="s">
        <v>47</v>
      </c>
      <c r="J28">
        <v>6</v>
      </c>
      <c r="L28">
        <v>6</v>
      </c>
      <c r="M28">
        <v>0</v>
      </c>
      <c r="N28">
        <v>6</v>
      </c>
      <c r="O28">
        <f>ROUNDUP((Coating!$C$13/(1/3)),0)</f>
        <v>3</v>
      </c>
      <c r="P28">
        <v>0</v>
      </c>
      <c r="Q28">
        <v>2</v>
      </c>
      <c r="R28">
        <v>2</v>
      </c>
      <c r="S28">
        <v>2</v>
      </c>
      <c r="T28">
        <v>0</v>
      </c>
    </row>
    <row r="29" spans="1:20">
      <c r="A29" t="s">
        <v>21</v>
      </c>
      <c r="B29" t="s">
        <v>22</v>
      </c>
      <c r="C29" t="s">
        <v>73</v>
      </c>
      <c r="D29">
        <v>8</v>
      </c>
      <c r="E29" t="s">
        <v>74</v>
      </c>
      <c r="F29" t="s">
        <v>84</v>
      </c>
      <c r="G29">
        <v>1</v>
      </c>
      <c r="H29" t="s">
        <v>34</v>
      </c>
      <c r="I29" t="s">
        <v>32</v>
      </c>
      <c r="J29">
        <v>3</v>
      </c>
      <c r="L29">
        <v>0</v>
      </c>
      <c r="M29">
        <v>3</v>
      </c>
      <c r="N29">
        <v>3</v>
      </c>
      <c r="O29">
        <f>ROUNDUP((Coating!$C$13/(1/3)),0)</f>
        <v>3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>
      <c r="A30" t="s">
        <v>21</v>
      </c>
      <c r="B30" t="s">
        <v>22</v>
      </c>
      <c r="C30" t="s">
        <v>73</v>
      </c>
      <c r="D30">
        <v>9</v>
      </c>
      <c r="E30" t="s">
        <v>74</v>
      </c>
      <c r="F30" t="s">
        <v>85</v>
      </c>
      <c r="G30">
        <v>1</v>
      </c>
      <c r="H30" t="s">
        <v>46</v>
      </c>
      <c r="I30" t="s">
        <v>47</v>
      </c>
      <c r="J30">
        <v>6</v>
      </c>
      <c r="L30">
        <v>6</v>
      </c>
      <c r="M30">
        <v>0</v>
      </c>
      <c r="N30">
        <v>6</v>
      </c>
      <c r="O30">
        <f>ROUNDUP((Coating!$C$13/(1/3)),0)</f>
        <v>3</v>
      </c>
      <c r="P30">
        <v>0</v>
      </c>
      <c r="Q30">
        <v>2</v>
      </c>
      <c r="R30">
        <v>2</v>
      </c>
      <c r="S30">
        <v>2</v>
      </c>
      <c r="T30">
        <v>0</v>
      </c>
    </row>
    <row r="31" spans="1:20">
      <c r="A31" t="s">
        <v>21</v>
      </c>
      <c r="B31" t="s">
        <v>22</v>
      </c>
      <c r="C31" t="s">
        <v>73</v>
      </c>
      <c r="D31">
        <v>10</v>
      </c>
      <c r="E31" t="s">
        <v>74</v>
      </c>
      <c r="F31" t="s">
        <v>86</v>
      </c>
      <c r="G31">
        <v>1</v>
      </c>
      <c r="H31" t="s">
        <v>39</v>
      </c>
      <c r="I31" t="s">
        <v>32</v>
      </c>
      <c r="J31">
        <v>3</v>
      </c>
      <c r="L31">
        <v>0</v>
      </c>
      <c r="M31">
        <v>3</v>
      </c>
      <c r="N31">
        <v>3</v>
      </c>
      <c r="O31">
        <f>ROUNDUP((Coating!$C$13/(1/3)),0)</f>
        <v>3</v>
      </c>
      <c r="P31">
        <v>0</v>
      </c>
      <c r="Q31">
        <v>1</v>
      </c>
      <c r="R31">
        <v>1</v>
      </c>
      <c r="S31">
        <v>1</v>
      </c>
      <c r="T31">
        <v>0</v>
      </c>
    </row>
    <row r="32" spans="1:20">
      <c r="A32" t="s">
        <v>21</v>
      </c>
      <c r="B32" t="s">
        <v>22</v>
      </c>
      <c r="C32" t="s">
        <v>73</v>
      </c>
      <c r="D32">
        <v>11</v>
      </c>
      <c r="E32" t="s">
        <v>74</v>
      </c>
      <c r="F32" t="s">
        <v>87</v>
      </c>
      <c r="G32">
        <v>1</v>
      </c>
      <c r="H32" t="s">
        <v>88</v>
      </c>
      <c r="I32" t="s">
        <v>89</v>
      </c>
      <c r="J32">
        <v>9</v>
      </c>
      <c r="L32">
        <v>9</v>
      </c>
      <c r="M32">
        <v>2</v>
      </c>
      <c r="N32">
        <v>11</v>
      </c>
      <c r="O32">
        <f>ROUNDUP((Coating!$C$13/(1/3)),0)</f>
        <v>3</v>
      </c>
      <c r="P32">
        <v>0</v>
      </c>
      <c r="Q32">
        <v>4</v>
      </c>
      <c r="R32">
        <v>4</v>
      </c>
      <c r="S32">
        <v>4</v>
      </c>
      <c r="T32">
        <v>0</v>
      </c>
    </row>
    <row r="33" spans="1:21">
      <c r="A33" t="s">
        <v>21</v>
      </c>
      <c r="B33" t="s">
        <v>22</v>
      </c>
      <c r="C33" t="s">
        <v>73</v>
      </c>
      <c r="D33">
        <v>12</v>
      </c>
      <c r="E33" t="s">
        <v>90</v>
      </c>
      <c r="F33" t="s">
        <v>91</v>
      </c>
      <c r="G33">
        <v>1</v>
      </c>
      <c r="H33" t="s">
        <v>88</v>
      </c>
      <c r="I33" t="s">
        <v>89</v>
      </c>
      <c r="J33">
        <v>9</v>
      </c>
      <c r="L33">
        <v>9</v>
      </c>
      <c r="M33">
        <v>0</v>
      </c>
      <c r="N33">
        <v>9</v>
      </c>
      <c r="O33">
        <f>ROUNDUP((Coating!$C$13/(1/3)),0)</f>
        <v>3</v>
      </c>
      <c r="P33">
        <v>0</v>
      </c>
      <c r="Q33">
        <v>3</v>
      </c>
      <c r="R33">
        <v>3</v>
      </c>
      <c r="S33">
        <v>3</v>
      </c>
      <c r="T33">
        <v>0</v>
      </c>
    </row>
    <row r="34" spans="1:21">
      <c r="A34" s="4" t="s">
        <v>21</v>
      </c>
      <c r="B34" s="4" t="s">
        <v>22</v>
      </c>
      <c r="C34" s="4" t="s">
        <v>92</v>
      </c>
      <c r="D34" s="4">
        <v>1</v>
      </c>
      <c r="E34" s="4" t="s">
        <v>93</v>
      </c>
      <c r="F34" s="4" t="s">
        <v>50</v>
      </c>
      <c r="G34" s="4">
        <f>ROUND(CS!$D$56,0)</f>
        <v>1</v>
      </c>
      <c r="H34" s="4" t="s">
        <v>31</v>
      </c>
      <c r="I34" s="4" t="s">
        <v>32</v>
      </c>
      <c r="J34" s="5">
        <v>2.04</v>
      </c>
      <c r="K34" s="4"/>
      <c r="L34" s="4">
        <v>0</v>
      </c>
      <c r="M34" s="4">
        <v>3</v>
      </c>
      <c r="N34" s="4">
        <v>3</v>
      </c>
      <c r="O34" s="4">
        <v>3</v>
      </c>
      <c r="P34" s="4">
        <v>0</v>
      </c>
      <c r="Q34" s="4">
        <v>1</v>
      </c>
      <c r="R34" s="4">
        <v>1</v>
      </c>
      <c r="S34" s="4">
        <v>1</v>
      </c>
      <c r="T34" s="4">
        <v>0</v>
      </c>
      <c r="U34" s="4"/>
    </row>
    <row r="35" spans="1:21">
      <c r="A35" s="4" t="s">
        <v>21</v>
      </c>
      <c r="B35" s="4" t="s">
        <v>22</v>
      </c>
      <c r="C35" s="4" t="s">
        <v>92</v>
      </c>
      <c r="D35" s="4">
        <v>2</v>
      </c>
      <c r="E35" s="4" t="s">
        <v>93</v>
      </c>
      <c r="F35" s="4" t="s">
        <v>94</v>
      </c>
      <c r="G35" s="4">
        <f>ROUND(CS!$D$56,0)</f>
        <v>1</v>
      </c>
      <c r="H35" s="4" t="s">
        <v>26</v>
      </c>
      <c r="I35" s="4" t="s">
        <v>47</v>
      </c>
      <c r="J35" s="5">
        <v>6</v>
      </c>
      <c r="K35" s="4"/>
      <c r="L35" s="4">
        <v>6</v>
      </c>
      <c r="M35" s="4">
        <v>0</v>
      </c>
      <c r="N35" s="4">
        <v>6</v>
      </c>
      <c r="O35" s="4">
        <v>3</v>
      </c>
      <c r="P35" s="4">
        <v>0</v>
      </c>
      <c r="Q35" s="4">
        <v>2</v>
      </c>
      <c r="R35" s="4">
        <v>2</v>
      </c>
      <c r="S35" s="4">
        <v>2</v>
      </c>
      <c r="T35" s="4">
        <v>0</v>
      </c>
      <c r="U35" s="4"/>
    </row>
    <row r="36" spans="1:21">
      <c r="A36" s="4" t="s">
        <v>21</v>
      </c>
      <c r="B36" s="4" t="s">
        <v>22</v>
      </c>
      <c r="C36" s="4" t="s">
        <v>92</v>
      </c>
      <c r="D36" s="4">
        <v>3</v>
      </c>
      <c r="E36" s="4" t="s">
        <v>93</v>
      </c>
      <c r="F36" s="4" t="s">
        <v>95</v>
      </c>
      <c r="G36" s="4">
        <f>ROUND(CS!$D$56,0)</f>
        <v>1</v>
      </c>
      <c r="H36" s="4" t="s">
        <v>39</v>
      </c>
      <c r="I36" s="4" t="s">
        <v>32</v>
      </c>
      <c r="J36" s="5">
        <v>3</v>
      </c>
      <c r="K36" s="4"/>
      <c r="L36" s="4">
        <v>3</v>
      </c>
      <c r="M36" s="4">
        <v>0</v>
      </c>
      <c r="N36" s="4">
        <v>3</v>
      </c>
      <c r="O36" s="4">
        <v>3</v>
      </c>
      <c r="P36" s="4">
        <v>0</v>
      </c>
      <c r="Q36" s="4">
        <v>1</v>
      </c>
      <c r="R36" s="4">
        <v>1</v>
      </c>
      <c r="S36" s="4">
        <v>1</v>
      </c>
      <c r="T36" s="4">
        <v>0</v>
      </c>
      <c r="U36" s="4"/>
    </row>
    <row r="37" spans="1:21">
      <c r="A37" s="4" t="s">
        <v>21</v>
      </c>
      <c r="B37" s="4" t="s">
        <v>22</v>
      </c>
      <c r="C37" s="4" t="s">
        <v>92</v>
      </c>
      <c r="D37" s="4">
        <v>4</v>
      </c>
      <c r="E37" s="4" t="s">
        <v>96</v>
      </c>
      <c r="F37" s="4" t="s">
        <v>50</v>
      </c>
      <c r="G37" s="4">
        <f>ROUNDUP(CS!D61,0)</f>
        <v>3</v>
      </c>
      <c r="H37" s="4" t="s">
        <v>31</v>
      </c>
      <c r="I37" s="4" t="s">
        <v>97</v>
      </c>
      <c r="J37" s="5">
        <v>9</v>
      </c>
      <c r="K37" s="4"/>
      <c r="L37" s="4">
        <v>0</v>
      </c>
      <c r="M37" s="4">
        <v>9</v>
      </c>
      <c r="N37" s="4">
        <v>9</v>
      </c>
      <c r="O37" s="4">
        <v>3</v>
      </c>
      <c r="P37" s="4">
        <v>0</v>
      </c>
      <c r="Q37" s="4">
        <v>3</v>
      </c>
      <c r="R37" s="4">
        <v>3</v>
      </c>
      <c r="S37" s="4">
        <v>3</v>
      </c>
      <c r="T37" s="4">
        <v>0</v>
      </c>
      <c r="U37" s="4"/>
    </row>
    <row r="38" spans="1:21">
      <c r="A38" s="4" t="s">
        <v>21</v>
      </c>
      <c r="B38" s="4" t="s">
        <v>22</v>
      </c>
      <c r="C38" s="4" t="s">
        <v>92</v>
      </c>
      <c r="D38" s="4">
        <v>5</v>
      </c>
      <c r="E38" s="4" t="s">
        <v>96</v>
      </c>
      <c r="F38" s="4" t="s">
        <v>98</v>
      </c>
      <c r="G38" s="4">
        <v>2</v>
      </c>
      <c r="H38" s="4" t="s">
        <v>39</v>
      </c>
      <c r="I38" s="4" t="s">
        <v>99</v>
      </c>
      <c r="J38" s="5">
        <v>6</v>
      </c>
      <c r="K38" s="4"/>
      <c r="L38" s="4">
        <v>6</v>
      </c>
      <c r="M38" s="4">
        <v>0</v>
      </c>
      <c r="N38" s="4">
        <v>6</v>
      </c>
      <c r="O38" s="4">
        <v>3</v>
      </c>
      <c r="P38" s="4">
        <v>0</v>
      </c>
      <c r="Q38" s="4">
        <v>2</v>
      </c>
      <c r="R38" s="4">
        <v>2</v>
      </c>
      <c r="S38" s="4">
        <v>2</v>
      </c>
      <c r="T38" s="4">
        <v>0</v>
      </c>
      <c r="U38" s="4"/>
    </row>
    <row r="39" spans="1:21">
      <c r="A39" s="4" t="s">
        <v>21</v>
      </c>
      <c r="B39" s="4" t="s">
        <v>22</v>
      </c>
      <c r="C39" s="4" t="s">
        <v>92</v>
      </c>
      <c r="D39" s="4">
        <v>6</v>
      </c>
      <c r="E39" s="4" t="s">
        <v>100</v>
      </c>
      <c r="F39" s="4" t="s">
        <v>101</v>
      </c>
      <c r="G39" s="4">
        <f>ROUNDUP(CS!$D$70,0)</f>
        <v>1</v>
      </c>
      <c r="H39" s="4" t="s">
        <v>31</v>
      </c>
      <c r="I39" s="4" t="s">
        <v>32</v>
      </c>
      <c r="J39" s="5">
        <v>3</v>
      </c>
      <c r="K39" s="4"/>
      <c r="L39" s="4">
        <v>0</v>
      </c>
      <c r="M39" s="4">
        <v>3</v>
      </c>
      <c r="N39" s="4">
        <v>3</v>
      </c>
      <c r="O39" s="4">
        <v>3</v>
      </c>
      <c r="P39" s="4">
        <v>0</v>
      </c>
      <c r="Q39" s="4">
        <v>1</v>
      </c>
      <c r="R39" s="4">
        <v>1</v>
      </c>
      <c r="S39" s="4">
        <v>1</v>
      </c>
      <c r="T39" s="4">
        <v>0</v>
      </c>
      <c r="U39" s="4"/>
    </row>
    <row r="40" spans="1:21">
      <c r="A40" s="4" t="s">
        <v>21</v>
      </c>
      <c r="B40" s="4" t="s">
        <v>22</v>
      </c>
      <c r="C40" s="4" t="s">
        <v>92</v>
      </c>
      <c r="D40" s="4">
        <v>7</v>
      </c>
      <c r="E40" s="4" t="s">
        <v>100</v>
      </c>
      <c r="F40" s="4" t="s">
        <v>102</v>
      </c>
      <c r="G40" s="4">
        <f>ROUNDUP(CS!$D$70,0)</f>
        <v>1</v>
      </c>
      <c r="H40" s="4" t="s">
        <v>31</v>
      </c>
      <c r="I40" s="4" t="s">
        <v>32</v>
      </c>
      <c r="J40" s="5">
        <v>3</v>
      </c>
      <c r="K40" s="4"/>
      <c r="L40" s="4">
        <v>3</v>
      </c>
      <c r="M40" s="4">
        <v>0</v>
      </c>
      <c r="N40" s="4">
        <v>3</v>
      </c>
      <c r="O40" s="4">
        <v>3</v>
      </c>
      <c r="P40" s="4">
        <v>0</v>
      </c>
      <c r="Q40" s="4">
        <v>1</v>
      </c>
      <c r="R40" s="4">
        <v>1</v>
      </c>
      <c r="S40" s="4">
        <v>1</v>
      </c>
      <c r="T40" s="4">
        <v>0</v>
      </c>
      <c r="U40" s="4"/>
    </row>
    <row r="41" spans="1:21">
      <c r="A41" s="4" t="s">
        <v>21</v>
      </c>
      <c r="B41" s="4" t="s">
        <v>22</v>
      </c>
      <c r="C41" s="4" t="s">
        <v>92</v>
      </c>
      <c r="D41" s="4">
        <v>8</v>
      </c>
      <c r="E41" s="4" t="s">
        <v>100</v>
      </c>
      <c r="F41" s="4" t="s">
        <v>95</v>
      </c>
      <c r="G41" s="4">
        <f>ROUNDUP(CS!$D$70,0)</f>
        <v>1</v>
      </c>
      <c r="H41" s="4" t="s">
        <v>46</v>
      </c>
      <c r="I41" s="4" t="s">
        <v>47</v>
      </c>
      <c r="J41" s="5">
        <v>6</v>
      </c>
      <c r="K41" s="4"/>
      <c r="L41" s="4">
        <v>6</v>
      </c>
      <c r="M41" s="4">
        <v>0</v>
      </c>
      <c r="N41" s="4">
        <v>6</v>
      </c>
      <c r="O41" s="4">
        <v>3</v>
      </c>
      <c r="P41" s="4">
        <v>0</v>
      </c>
      <c r="Q41" s="4">
        <v>2</v>
      </c>
      <c r="R41" s="4">
        <v>2</v>
      </c>
      <c r="S41" s="4">
        <v>2</v>
      </c>
      <c r="T41" s="4">
        <v>0</v>
      </c>
      <c r="U41" s="4"/>
    </row>
    <row r="42" spans="1:21">
      <c r="A42" s="4" t="s">
        <v>21</v>
      </c>
      <c r="B42" s="4" t="s">
        <v>22</v>
      </c>
      <c r="C42" s="4" t="s">
        <v>92</v>
      </c>
      <c r="D42" s="4">
        <v>9</v>
      </c>
      <c r="E42" s="4" t="s">
        <v>103</v>
      </c>
      <c r="F42" s="4" t="s">
        <v>50</v>
      </c>
      <c r="G42" s="4">
        <f>ROUND(CS!D61,0)</f>
        <v>2</v>
      </c>
      <c r="H42" s="4" t="s">
        <v>31</v>
      </c>
      <c r="I42" s="4" t="s">
        <v>99</v>
      </c>
      <c r="J42" s="5">
        <v>6</v>
      </c>
      <c r="K42" s="4"/>
      <c r="L42" s="4">
        <v>0</v>
      </c>
      <c r="M42" s="4">
        <v>6</v>
      </c>
      <c r="N42" s="4">
        <v>6</v>
      </c>
      <c r="O42" s="4">
        <v>3</v>
      </c>
      <c r="P42" s="4">
        <v>0</v>
      </c>
      <c r="Q42" s="4">
        <v>2</v>
      </c>
      <c r="R42" s="4">
        <v>2</v>
      </c>
      <c r="S42" s="4">
        <v>2</v>
      </c>
      <c r="T42" s="4">
        <v>0</v>
      </c>
      <c r="U42" s="4"/>
    </row>
    <row r="43" spans="1:21">
      <c r="A43" s="4" t="s">
        <v>21</v>
      </c>
      <c r="B43" s="4" t="s">
        <v>22</v>
      </c>
      <c r="C43" s="4" t="s">
        <v>92</v>
      </c>
      <c r="D43" s="4">
        <v>10</v>
      </c>
      <c r="E43" s="4" t="s">
        <v>103</v>
      </c>
      <c r="F43" s="4" t="s">
        <v>104</v>
      </c>
      <c r="G43" s="4">
        <v>1</v>
      </c>
      <c r="H43" s="4" t="s">
        <v>46</v>
      </c>
      <c r="I43" s="4" t="s">
        <v>47</v>
      </c>
      <c r="J43" s="5">
        <v>6</v>
      </c>
      <c r="K43" s="4"/>
      <c r="L43" s="4">
        <v>6</v>
      </c>
      <c r="M43" s="4">
        <v>0</v>
      </c>
      <c r="N43" s="4">
        <v>6</v>
      </c>
      <c r="O43" s="4">
        <v>3</v>
      </c>
      <c r="P43" s="4">
        <v>0</v>
      </c>
      <c r="Q43" s="4">
        <v>2</v>
      </c>
      <c r="R43" s="4">
        <v>2</v>
      </c>
      <c r="S43" s="4">
        <v>2</v>
      </c>
      <c r="T43" s="4">
        <v>0</v>
      </c>
      <c r="U43" s="4"/>
    </row>
    <row r="44" spans="1:21">
      <c r="A44" s="4" t="s">
        <v>21</v>
      </c>
      <c r="B44" s="4" t="s">
        <v>22</v>
      </c>
      <c r="C44" s="4" t="s">
        <v>92</v>
      </c>
      <c r="D44" s="4">
        <v>11</v>
      </c>
      <c r="E44" s="4" t="s">
        <v>105</v>
      </c>
      <c r="F44" s="4" t="s">
        <v>106</v>
      </c>
      <c r="G44" s="4">
        <f>ROUNDUP(CS!D66/3,0)</f>
        <v>10</v>
      </c>
      <c r="H44" s="4" t="s">
        <v>43</v>
      </c>
      <c r="I44" s="4" t="s">
        <v>107</v>
      </c>
      <c r="J44" s="5">
        <v>28.9</v>
      </c>
      <c r="K44" s="4"/>
      <c r="L44" s="4">
        <v>29</v>
      </c>
      <c r="M44" s="4">
        <v>29</v>
      </c>
      <c r="N44" s="4">
        <v>58</v>
      </c>
      <c r="O44" s="4">
        <v>3</v>
      </c>
      <c r="P44" s="4">
        <v>0</v>
      </c>
      <c r="Q44" s="4">
        <v>19</v>
      </c>
      <c r="R44" s="4">
        <v>19</v>
      </c>
      <c r="S44" s="4">
        <v>19</v>
      </c>
      <c r="T44" s="4">
        <v>0</v>
      </c>
      <c r="U44" s="4"/>
    </row>
    <row r="45" spans="1:21">
      <c r="A45" s="4" t="s">
        <v>21</v>
      </c>
      <c r="B45" s="4" t="s">
        <v>22</v>
      </c>
      <c r="C45" s="4" t="s">
        <v>92</v>
      </c>
      <c r="D45" s="4">
        <v>12</v>
      </c>
      <c r="E45" s="4" t="s">
        <v>108</v>
      </c>
      <c r="F45" s="4" t="s">
        <v>50</v>
      </c>
      <c r="G45" s="4">
        <v>1</v>
      </c>
      <c r="H45" s="4" t="s">
        <v>36</v>
      </c>
      <c r="I45" s="4" t="s">
        <v>51</v>
      </c>
      <c r="J45" s="5">
        <v>0</v>
      </c>
      <c r="K45" s="4"/>
      <c r="L45" s="4">
        <v>0</v>
      </c>
      <c r="M45" s="4">
        <v>0</v>
      </c>
      <c r="N45" s="4">
        <v>0</v>
      </c>
      <c r="O45" s="4">
        <v>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/>
    </row>
    <row r="46" spans="1:21">
      <c r="A46" s="4" t="s">
        <v>21</v>
      </c>
      <c r="B46" s="4" t="s">
        <v>22</v>
      </c>
      <c r="C46" s="4" t="s">
        <v>92</v>
      </c>
      <c r="D46" s="4">
        <v>13</v>
      </c>
      <c r="E46" s="4" t="s">
        <v>109</v>
      </c>
      <c r="F46" s="4" t="s">
        <v>95</v>
      </c>
      <c r="G46" s="4">
        <v>1</v>
      </c>
      <c r="H46" s="4" t="s">
        <v>39</v>
      </c>
      <c r="I46" s="4" t="s">
        <v>32</v>
      </c>
      <c r="J46" s="5">
        <v>3</v>
      </c>
      <c r="K46" s="4"/>
      <c r="L46" s="4">
        <v>3</v>
      </c>
      <c r="M46" s="4">
        <v>0</v>
      </c>
      <c r="N46" s="4">
        <v>3</v>
      </c>
      <c r="O46" s="4">
        <v>3</v>
      </c>
      <c r="P46" s="4">
        <v>0</v>
      </c>
      <c r="Q46" s="4">
        <v>1</v>
      </c>
      <c r="R46" s="4">
        <v>1</v>
      </c>
      <c r="S46" s="4">
        <v>1</v>
      </c>
      <c r="T46" s="4">
        <v>0</v>
      </c>
      <c r="U46" s="4"/>
    </row>
    <row r="47" spans="1:21">
      <c r="A47" s="4" t="s">
        <v>21</v>
      </c>
      <c r="B47" s="4" t="s">
        <v>22</v>
      </c>
      <c r="C47" s="4" t="s">
        <v>92</v>
      </c>
      <c r="D47" s="4">
        <v>14</v>
      </c>
      <c r="E47" s="4" t="s">
        <v>110</v>
      </c>
      <c r="F47" s="4" t="s">
        <v>111</v>
      </c>
      <c r="G47" s="4">
        <v>1</v>
      </c>
      <c r="H47" s="4" t="s">
        <v>46</v>
      </c>
      <c r="I47" s="4" t="s">
        <v>47</v>
      </c>
      <c r="J47" s="5">
        <v>6</v>
      </c>
      <c r="K47" s="4"/>
      <c r="L47" s="4">
        <v>6</v>
      </c>
      <c r="M47" s="4">
        <v>0</v>
      </c>
      <c r="N47" s="4">
        <v>6</v>
      </c>
      <c r="O47" s="4">
        <v>3</v>
      </c>
      <c r="P47" s="4">
        <v>0</v>
      </c>
      <c r="Q47" s="4">
        <v>2</v>
      </c>
      <c r="R47" s="4">
        <v>2</v>
      </c>
      <c r="S47" s="4">
        <v>2</v>
      </c>
      <c r="T47" s="4">
        <v>0</v>
      </c>
      <c r="U47" s="4"/>
    </row>
    <row r="48" spans="1:21">
      <c r="A48" s="4" t="s">
        <v>21</v>
      </c>
      <c r="B48" s="4" t="s">
        <v>22</v>
      </c>
      <c r="C48" s="4" t="s">
        <v>92</v>
      </c>
      <c r="D48" s="4">
        <v>15</v>
      </c>
      <c r="E48" s="4" t="s">
        <v>112</v>
      </c>
      <c r="F48" s="4" t="s">
        <v>113</v>
      </c>
      <c r="G48" s="4">
        <v>1</v>
      </c>
      <c r="H48" s="4" t="s">
        <v>39</v>
      </c>
      <c r="I48" s="4" t="s">
        <v>32</v>
      </c>
      <c r="J48" s="5">
        <v>3</v>
      </c>
      <c r="K48" s="4"/>
      <c r="L48" s="4">
        <v>0</v>
      </c>
      <c r="M48" s="4">
        <v>3</v>
      </c>
      <c r="N48" s="4">
        <v>3</v>
      </c>
      <c r="O48" s="4">
        <v>3</v>
      </c>
      <c r="P48" s="4">
        <v>0</v>
      </c>
      <c r="Q48" s="4">
        <v>1</v>
      </c>
      <c r="R48" s="4">
        <v>1</v>
      </c>
      <c r="S48" s="4">
        <v>1</v>
      </c>
      <c r="T48" s="4">
        <v>0</v>
      </c>
      <c r="U48" s="4"/>
    </row>
    <row r="49" spans="1:21">
      <c r="A49" s="4" t="s">
        <v>21</v>
      </c>
      <c r="B49" s="4" t="s">
        <v>22</v>
      </c>
      <c r="C49" s="4" t="s">
        <v>92</v>
      </c>
      <c r="D49" s="4">
        <v>16</v>
      </c>
      <c r="E49" s="4" t="s">
        <v>114</v>
      </c>
      <c r="F49" s="4" t="s">
        <v>115</v>
      </c>
      <c r="G49" s="4">
        <v>6</v>
      </c>
      <c r="H49" s="4" t="s">
        <v>31</v>
      </c>
      <c r="I49" s="4" t="s">
        <v>116</v>
      </c>
      <c r="J49" s="5">
        <v>18</v>
      </c>
      <c r="K49" s="4"/>
      <c r="L49" s="4">
        <v>0</v>
      </c>
      <c r="M49" s="4">
        <v>18</v>
      </c>
      <c r="N49" s="4">
        <v>18</v>
      </c>
      <c r="O49" s="4">
        <v>3</v>
      </c>
      <c r="P49" s="4">
        <v>0</v>
      </c>
      <c r="Q49" s="4">
        <v>6</v>
      </c>
      <c r="R49" s="4">
        <v>6</v>
      </c>
      <c r="S49" s="4">
        <v>6</v>
      </c>
      <c r="T49" s="4">
        <v>0</v>
      </c>
      <c r="U49" s="4"/>
    </row>
    <row r="50" spans="1:21">
      <c r="A50" s="4" t="s">
        <v>21</v>
      </c>
      <c r="B50" s="4" t="s">
        <v>22</v>
      </c>
      <c r="C50" s="4" t="s">
        <v>92</v>
      </c>
      <c r="D50" s="4">
        <v>17</v>
      </c>
      <c r="E50" s="4" t="s">
        <v>114</v>
      </c>
      <c r="F50" s="4" t="s">
        <v>33</v>
      </c>
      <c r="G50" s="4">
        <v>1</v>
      </c>
      <c r="H50" s="4" t="s">
        <v>34</v>
      </c>
      <c r="I50" s="4" t="s">
        <v>32</v>
      </c>
      <c r="J50" s="5">
        <v>3</v>
      </c>
      <c r="K50" s="4"/>
      <c r="L50" s="4">
        <v>0</v>
      </c>
      <c r="M50" s="4">
        <v>3</v>
      </c>
      <c r="N50" s="4">
        <v>3</v>
      </c>
      <c r="O50" s="4">
        <v>3</v>
      </c>
      <c r="P50" s="4">
        <v>0</v>
      </c>
      <c r="Q50" s="4">
        <v>1</v>
      </c>
      <c r="R50" s="4">
        <v>1</v>
      </c>
      <c r="S50" s="4">
        <v>1</v>
      </c>
      <c r="T50" s="4">
        <v>0</v>
      </c>
      <c r="U50" s="4"/>
    </row>
    <row r="51" spans="1:21">
      <c r="A51" s="4" t="s">
        <v>21</v>
      </c>
      <c r="B51" s="4" t="s">
        <v>22</v>
      </c>
      <c r="C51" s="4" t="s">
        <v>92</v>
      </c>
      <c r="D51" s="4">
        <v>18</v>
      </c>
      <c r="E51" s="4" t="s">
        <v>114</v>
      </c>
      <c r="F51" s="4" t="s">
        <v>95</v>
      </c>
      <c r="G51" s="4">
        <v>1</v>
      </c>
      <c r="H51" s="4" t="s">
        <v>46</v>
      </c>
      <c r="I51" s="4" t="s">
        <v>47</v>
      </c>
      <c r="J51" s="5">
        <v>6</v>
      </c>
      <c r="K51" s="4"/>
      <c r="L51" s="4">
        <v>6</v>
      </c>
      <c r="M51" s="4">
        <v>0</v>
      </c>
      <c r="N51" s="4">
        <v>6</v>
      </c>
      <c r="O51" s="4">
        <v>3</v>
      </c>
      <c r="P51" s="4">
        <v>0</v>
      </c>
      <c r="Q51" s="4">
        <v>2</v>
      </c>
      <c r="R51" s="4">
        <v>2</v>
      </c>
      <c r="S51" s="4">
        <v>2</v>
      </c>
      <c r="T51" s="4">
        <v>0</v>
      </c>
      <c r="U51" s="4"/>
    </row>
    <row r="52" spans="1:21">
      <c r="A52" s="4" t="s">
        <v>21</v>
      </c>
      <c r="B52" s="4" t="s">
        <v>22</v>
      </c>
      <c r="C52" s="4" t="s">
        <v>92</v>
      </c>
      <c r="D52" s="4">
        <v>19</v>
      </c>
      <c r="E52" s="4" t="s">
        <v>114</v>
      </c>
      <c r="F52" s="4" t="s">
        <v>117</v>
      </c>
      <c r="G52" s="4">
        <f>ROUND(CS!D85,0)</f>
        <v>36</v>
      </c>
      <c r="H52" s="4" t="s">
        <v>31</v>
      </c>
      <c r="I52" s="4" t="s">
        <v>118</v>
      </c>
      <c r="J52" s="5">
        <v>108.57</v>
      </c>
      <c r="K52" s="4"/>
      <c r="L52" s="4">
        <v>54</v>
      </c>
      <c r="M52" s="4">
        <v>54</v>
      </c>
      <c r="N52" s="4">
        <v>109</v>
      </c>
      <c r="O52" s="4">
        <v>3</v>
      </c>
      <c r="P52" s="4">
        <v>0</v>
      </c>
      <c r="Q52" s="4">
        <v>36</v>
      </c>
      <c r="R52" s="4">
        <v>36</v>
      </c>
      <c r="S52" s="4">
        <v>36</v>
      </c>
      <c r="T52" s="4">
        <v>0</v>
      </c>
      <c r="U52" s="4"/>
    </row>
    <row r="53" spans="1:21">
      <c r="A53" s="4" t="s">
        <v>21</v>
      </c>
      <c r="B53" s="4" t="s">
        <v>22</v>
      </c>
      <c r="C53" s="4" t="s">
        <v>92</v>
      </c>
      <c r="D53" s="4">
        <v>20</v>
      </c>
      <c r="E53" s="4" t="s">
        <v>114</v>
      </c>
      <c r="F53" s="4" t="s">
        <v>119</v>
      </c>
      <c r="G53" s="4">
        <f>ROUND(CS!D95,0)</f>
        <v>20</v>
      </c>
      <c r="H53" s="4" t="s">
        <v>31</v>
      </c>
      <c r="I53" s="4" t="s">
        <v>120</v>
      </c>
      <c r="J53" s="5">
        <v>59.97</v>
      </c>
      <c r="K53" s="4"/>
      <c r="L53" s="4">
        <v>30</v>
      </c>
      <c r="M53" s="4">
        <v>30</v>
      </c>
      <c r="N53" s="4">
        <v>60</v>
      </c>
      <c r="O53" s="4">
        <v>3</v>
      </c>
      <c r="P53" s="4">
        <v>0</v>
      </c>
      <c r="Q53" s="4">
        <v>20</v>
      </c>
      <c r="R53" s="4">
        <v>20</v>
      </c>
      <c r="S53" s="4">
        <v>20</v>
      </c>
      <c r="T53" s="4">
        <v>0</v>
      </c>
      <c r="U53" s="4"/>
    </row>
    <row r="54" spans="1:21">
      <c r="A54" s="4" t="s">
        <v>21</v>
      </c>
      <c r="B54" s="4" t="s">
        <v>22</v>
      </c>
      <c r="C54" s="4" t="s">
        <v>92</v>
      </c>
      <c r="D54" s="4">
        <v>21</v>
      </c>
      <c r="E54" s="4" t="s">
        <v>114</v>
      </c>
      <c r="F54" s="4" t="s">
        <v>33</v>
      </c>
      <c r="G54" s="4">
        <v>1</v>
      </c>
      <c r="H54" s="4" t="s">
        <v>34</v>
      </c>
      <c r="I54" s="4" t="s">
        <v>32</v>
      </c>
      <c r="J54" s="5">
        <v>3</v>
      </c>
      <c r="K54" s="4"/>
      <c r="L54" s="4">
        <v>0</v>
      </c>
      <c r="M54" s="4">
        <v>3</v>
      </c>
      <c r="N54" s="4">
        <v>3</v>
      </c>
      <c r="O54" s="4">
        <v>3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/>
    </row>
    <row r="55" spans="1:21">
      <c r="A55" s="4" t="s">
        <v>21</v>
      </c>
      <c r="B55" s="4" t="s">
        <v>22</v>
      </c>
      <c r="C55" s="4" t="s">
        <v>92</v>
      </c>
      <c r="D55" s="4">
        <v>22</v>
      </c>
      <c r="E55" s="4" t="s">
        <v>114</v>
      </c>
      <c r="F55" s="4" t="s">
        <v>95</v>
      </c>
      <c r="G55" s="4">
        <v>1</v>
      </c>
      <c r="H55" s="4" t="s">
        <v>46</v>
      </c>
      <c r="I55" s="4" t="s">
        <v>47</v>
      </c>
      <c r="J55" s="5">
        <v>6</v>
      </c>
      <c r="K55" s="4"/>
      <c r="L55" s="4">
        <v>6</v>
      </c>
      <c r="M55" s="4">
        <v>0</v>
      </c>
      <c r="N55" s="4">
        <v>6</v>
      </c>
      <c r="O55" s="4">
        <v>3</v>
      </c>
      <c r="P55" s="4">
        <v>0</v>
      </c>
      <c r="Q55" s="4">
        <v>2</v>
      </c>
      <c r="R55" s="4">
        <v>2</v>
      </c>
      <c r="S55" s="4">
        <v>2</v>
      </c>
      <c r="T55" s="4">
        <v>0</v>
      </c>
      <c r="U55" s="4"/>
    </row>
    <row r="56" spans="1:21">
      <c r="A56" s="4" t="s">
        <v>21</v>
      </c>
      <c r="B56" s="4" t="s">
        <v>22</v>
      </c>
      <c r="C56" s="4" t="s">
        <v>92</v>
      </c>
      <c r="D56" s="4">
        <v>23</v>
      </c>
      <c r="E56" s="4" t="s">
        <v>114</v>
      </c>
      <c r="F56" s="4" t="s">
        <v>121</v>
      </c>
      <c r="G56" s="4">
        <f>ROUND(CS!D90,0)</f>
        <v>17</v>
      </c>
      <c r="H56" s="4" t="s">
        <v>31</v>
      </c>
      <c r="I56" s="4" t="s">
        <v>122</v>
      </c>
      <c r="J56" s="5">
        <v>52.29</v>
      </c>
      <c r="K56" s="4"/>
      <c r="L56" s="4">
        <v>26</v>
      </c>
      <c r="M56" s="4">
        <v>26</v>
      </c>
      <c r="N56" s="4">
        <v>52</v>
      </c>
      <c r="O56" s="4">
        <v>3</v>
      </c>
      <c r="P56" s="4">
        <v>0</v>
      </c>
      <c r="Q56" s="4">
        <v>17</v>
      </c>
      <c r="R56" s="4">
        <v>17</v>
      </c>
      <c r="S56" s="4">
        <v>17</v>
      </c>
      <c r="T56" s="4">
        <v>0</v>
      </c>
      <c r="U56" s="4"/>
    </row>
    <row r="57" spans="1:21">
      <c r="A57" s="4" t="s">
        <v>21</v>
      </c>
      <c r="B57" s="4" t="s">
        <v>22</v>
      </c>
      <c r="C57" s="4" t="s">
        <v>92</v>
      </c>
      <c r="D57" s="4">
        <v>24</v>
      </c>
      <c r="E57" s="4" t="s">
        <v>114</v>
      </c>
      <c r="F57" s="4" t="s">
        <v>123</v>
      </c>
      <c r="G57" s="4">
        <f>(CS!D9+CS!D16+CS!D23)/7500</f>
        <v>7.4765333333333324</v>
      </c>
      <c r="H57" s="4" t="s">
        <v>39</v>
      </c>
      <c r="I57" s="4" t="s">
        <v>124</v>
      </c>
      <c r="J57" s="5">
        <v>22.43</v>
      </c>
      <c r="K57" s="4"/>
      <c r="L57" s="4">
        <v>22</v>
      </c>
      <c r="M57" s="4">
        <v>0</v>
      </c>
      <c r="N57" s="4">
        <v>22</v>
      </c>
      <c r="O57" s="4">
        <v>3</v>
      </c>
      <c r="P57" s="4">
        <v>0</v>
      </c>
      <c r="Q57" s="4">
        <v>7</v>
      </c>
      <c r="R57" s="4">
        <v>7</v>
      </c>
      <c r="S57" s="4">
        <v>7</v>
      </c>
      <c r="T57" s="4">
        <v>0</v>
      </c>
      <c r="U57" s="4"/>
    </row>
    <row r="58" spans="1:21">
      <c r="A58" s="4" t="s">
        <v>21</v>
      </c>
      <c r="B58" s="4" t="s">
        <v>22</v>
      </c>
      <c r="C58" s="4" t="s">
        <v>92</v>
      </c>
      <c r="D58" s="4">
        <v>25</v>
      </c>
      <c r="E58" s="4" t="s">
        <v>114</v>
      </c>
      <c r="F58" s="4" t="s">
        <v>125</v>
      </c>
      <c r="G58" s="4">
        <v>1</v>
      </c>
      <c r="H58" s="4" t="s">
        <v>46</v>
      </c>
      <c r="I58" s="4" t="s">
        <v>47</v>
      </c>
      <c r="J58" s="5">
        <v>6</v>
      </c>
      <c r="K58" s="4"/>
      <c r="L58" s="4">
        <v>0</v>
      </c>
      <c r="M58" s="4">
        <v>6</v>
      </c>
      <c r="N58" s="4">
        <v>6</v>
      </c>
      <c r="O58" s="4">
        <v>3</v>
      </c>
      <c r="P58" s="4">
        <v>0</v>
      </c>
      <c r="Q58" s="4">
        <v>2</v>
      </c>
      <c r="R58" s="4">
        <v>2</v>
      </c>
      <c r="S58" s="4">
        <v>2</v>
      </c>
      <c r="T58" s="4">
        <v>0</v>
      </c>
      <c r="U58" s="4"/>
    </row>
    <row r="59" spans="1:21">
      <c r="A59" s="4" t="s">
        <v>21</v>
      </c>
      <c r="B59" s="4" t="s">
        <v>22</v>
      </c>
      <c r="C59" s="4" t="s">
        <v>92</v>
      </c>
      <c r="D59" s="4">
        <v>26</v>
      </c>
      <c r="E59" s="4" t="s">
        <v>114</v>
      </c>
      <c r="F59" s="4" t="s">
        <v>33</v>
      </c>
      <c r="G59" s="4">
        <v>1</v>
      </c>
      <c r="H59" s="4" t="s">
        <v>34</v>
      </c>
      <c r="I59" s="4" t="s">
        <v>32</v>
      </c>
      <c r="J59" s="5">
        <v>3</v>
      </c>
      <c r="K59" s="4"/>
      <c r="L59" s="4">
        <v>0</v>
      </c>
      <c r="M59" s="4">
        <v>3</v>
      </c>
      <c r="N59" s="4">
        <v>3</v>
      </c>
      <c r="O59" s="4">
        <v>3</v>
      </c>
      <c r="P59" s="4">
        <v>0</v>
      </c>
      <c r="Q59" s="4">
        <v>1</v>
      </c>
      <c r="R59" s="4">
        <v>1</v>
      </c>
      <c r="S59" s="4">
        <v>1</v>
      </c>
      <c r="T59" s="4">
        <v>0</v>
      </c>
      <c r="U59" s="4"/>
    </row>
    <row r="60" spans="1:21">
      <c r="A60" s="4" t="s">
        <v>21</v>
      </c>
      <c r="B60" s="4" t="s">
        <v>22</v>
      </c>
      <c r="C60" s="4" t="s">
        <v>92</v>
      </c>
      <c r="D60" s="4">
        <v>27</v>
      </c>
      <c r="E60" s="4" t="s">
        <v>114</v>
      </c>
      <c r="F60" s="4" t="s">
        <v>126</v>
      </c>
      <c r="G60" s="4">
        <v>1</v>
      </c>
      <c r="H60" s="4" t="s">
        <v>39</v>
      </c>
      <c r="I60" s="4" t="s">
        <v>32</v>
      </c>
      <c r="J60" s="5">
        <v>3</v>
      </c>
      <c r="K60" s="4"/>
      <c r="L60" s="4">
        <v>3</v>
      </c>
      <c r="M60" s="4">
        <v>0</v>
      </c>
      <c r="N60" s="4">
        <v>3</v>
      </c>
      <c r="O60" s="4">
        <v>3</v>
      </c>
      <c r="P60" s="4">
        <v>0</v>
      </c>
      <c r="Q60" s="4">
        <v>1</v>
      </c>
      <c r="R60" s="4">
        <v>1</v>
      </c>
      <c r="S60" s="4">
        <v>1</v>
      </c>
      <c r="T60" s="4">
        <v>0</v>
      </c>
      <c r="U60" s="4"/>
    </row>
    <row r="61" spans="1:21">
      <c r="A61" s="4" t="s">
        <v>21</v>
      </c>
      <c r="B61" s="4" t="s">
        <v>22</v>
      </c>
      <c r="C61" s="4" t="s">
        <v>92</v>
      </c>
      <c r="D61" s="4">
        <v>28</v>
      </c>
      <c r="E61" s="4" t="s">
        <v>114</v>
      </c>
      <c r="F61" s="4" t="s">
        <v>127</v>
      </c>
      <c r="G61" s="4">
        <v>1</v>
      </c>
      <c r="H61" s="4" t="s">
        <v>128</v>
      </c>
      <c r="I61" s="4" t="s">
        <v>89</v>
      </c>
      <c r="J61" s="5">
        <v>9</v>
      </c>
      <c r="K61" s="4"/>
      <c r="L61" s="4">
        <v>0</v>
      </c>
      <c r="M61" s="4">
        <v>9</v>
      </c>
      <c r="N61" s="4">
        <v>9</v>
      </c>
      <c r="O61" s="4">
        <v>3</v>
      </c>
      <c r="P61" s="4">
        <v>0</v>
      </c>
      <c r="Q61" s="4">
        <v>3</v>
      </c>
      <c r="R61" s="4">
        <v>3</v>
      </c>
      <c r="S61" s="4">
        <v>3</v>
      </c>
      <c r="T61" s="4">
        <v>0</v>
      </c>
      <c r="U61" s="4"/>
    </row>
    <row r="62" spans="1:21">
      <c r="A62" s="4" t="s">
        <v>21</v>
      </c>
      <c r="B62" s="4" t="s">
        <v>22</v>
      </c>
      <c r="C62" s="4" t="s">
        <v>92</v>
      </c>
      <c r="D62" s="4">
        <v>29</v>
      </c>
      <c r="E62" s="4" t="s">
        <v>129</v>
      </c>
      <c r="F62" s="4" t="s">
        <v>130</v>
      </c>
      <c r="G62" s="4">
        <v>1</v>
      </c>
      <c r="H62" s="4" t="s">
        <v>31</v>
      </c>
      <c r="I62" s="4" t="s">
        <v>32</v>
      </c>
      <c r="J62" s="5">
        <v>3</v>
      </c>
      <c r="K62" s="4"/>
      <c r="L62" s="4">
        <v>0</v>
      </c>
      <c r="M62" s="4">
        <v>3</v>
      </c>
      <c r="N62" s="4">
        <v>3</v>
      </c>
      <c r="O62" s="4">
        <v>3</v>
      </c>
      <c r="P62" s="4">
        <v>0</v>
      </c>
      <c r="Q62" s="4">
        <v>1</v>
      </c>
      <c r="R62" s="4">
        <v>1</v>
      </c>
      <c r="S62" s="4">
        <v>1</v>
      </c>
      <c r="T62" s="4">
        <v>0</v>
      </c>
      <c r="U62" s="4"/>
    </row>
    <row r="63" spans="1:21">
      <c r="A63" s="4" t="s">
        <v>21</v>
      </c>
      <c r="B63" s="4" t="s">
        <v>22</v>
      </c>
      <c r="C63" s="4" t="s">
        <v>92</v>
      </c>
      <c r="D63" s="4">
        <v>30</v>
      </c>
      <c r="E63" s="4" t="s">
        <v>131</v>
      </c>
      <c r="F63" s="4" t="s">
        <v>130</v>
      </c>
      <c r="G63" s="4">
        <v>1</v>
      </c>
      <c r="H63" s="4" t="s">
        <v>26</v>
      </c>
      <c r="I63" s="4" t="s">
        <v>47</v>
      </c>
      <c r="J63" s="5">
        <v>6</v>
      </c>
      <c r="K63" s="4"/>
      <c r="L63" s="4">
        <v>0</v>
      </c>
      <c r="M63" s="4">
        <v>6</v>
      </c>
      <c r="N63" s="4">
        <v>6</v>
      </c>
      <c r="O63" s="4">
        <v>3</v>
      </c>
      <c r="P63" s="4">
        <v>0</v>
      </c>
      <c r="Q63" s="4">
        <v>2</v>
      </c>
      <c r="R63" s="4">
        <v>2</v>
      </c>
      <c r="S63" s="4">
        <v>2</v>
      </c>
      <c r="T63" s="4">
        <v>0</v>
      </c>
      <c r="U63" s="4"/>
    </row>
    <row r="64" spans="1:21">
      <c r="A64" t="s">
        <v>21</v>
      </c>
      <c r="B64" t="s">
        <v>22</v>
      </c>
      <c r="C64" t="s">
        <v>132</v>
      </c>
      <c r="D64">
        <v>1</v>
      </c>
      <c r="E64" t="s">
        <v>133</v>
      </c>
      <c r="F64" t="s">
        <v>50</v>
      </c>
      <c r="G64">
        <f>Dye_Mc!K4</f>
        <v>7</v>
      </c>
      <c r="H64" t="s">
        <v>134</v>
      </c>
      <c r="I64" t="s">
        <v>135</v>
      </c>
      <c r="J64">
        <v>7</v>
      </c>
      <c r="L64">
        <v>0</v>
      </c>
      <c r="M64">
        <v>0</v>
      </c>
      <c r="N64">
        <v>7</v>
      </c>
      <c r="O64">
        <v>3</v>
      </c>
      <c r="P64">
        <v>0</v>
      </c>
      <c r="Q64">
        <v>2</v>
      </c>
      <c r="R64">
        <v>2</v>
      </c>
      <c r="S64">
        <v>2</v>
      </c>
      <c r="T64">
        <v>0</v>
      </c>
    </row>
    <row r="65" spans="1:20">
      <c r="A65" t="s">
        <v>21</v>
      </c>
      <c r="B65" t="s">
        <v>22</v>
      </c>
      <c r="C65" t="s">
        <v>132</v>
      </c>
      <c r="D65">
        <v>2</v>
      </c>
      <c r="E65" t="s">
        <v>133</v>
      </c>
      <c r="F65" t="s">
        <v>95</v>
      </c>
      <c r="G65">
        <v>1</v>
      </c>
      <c r="H65" t="s">
        <v>136</v>
      </c>
      <c r="I65" t="s">
        <v>137</v>
      </c>
      <c r="J65">
        <v>36</v>
      </c>
      <c r="L65">
        <v>0</v>
      </c>
      <c r="M65">
        <v>0</v>
      </c>
      <c r="N65">
        <v>36</v>
      </c>
      <c r="O65">
        <v>3</v>
      </c>
      <c r="P65">
        <v>0</v>
      </c>
      <c r="Q65">
        <v>12</v>
      </c>
      <c r="R65">
        <v>12</v>
      </c>
      <c r="S65">
        <v>12</v>
      </c>
      <c r="T65">
        <v>0</v>
      </c>
    </row>
    <row r="66" spans="1:20">
      <c r="A66" t="s">
        <v>21</v>
      </c>
      <c r="B66" t="s">
        <v>22</v>
      </c>
      <c r="C66" t="s">
        <v>132</v>
      </c>
      <c r="D66">
        <v>3</v>
      </c>
      <c r="E66" t="s">
        <v>133</v>
      </c>
      <c r="F66" t="s">
        <v>138</v>
      </c>
      <c r="G66">
        <v>1</v>
      </c>
      <c r="H66" t="s">
        <v>57</v>
      </c>
      <c r="I66" t="s">
        <v>139</v>
      </c>
      <c r="J66">
        <v>3</v>
      </c>
      <c r="L66">
        <v>0</v>
      </c>
      <c r="M66">
        <v>0</v>
      </c>
      <c r="N66">
        <v>3</v>
      </c>
      <c r="O66">
        <v>3</v>
      </c>
      <c r="P66">
        <v>0</v>
      </c>
      <c r="Q66">
        <v>1</v>
      </c>
      <c r="R66">
        <v>1</v>
      </c>
      <c r="S66">
        <v>1</v>
      </c>
      <c r="T66">
        <v>0</v>
      </c>
    </row>
    <row r="67" spans="1:20">
      <c r="A67" t="s">
        <v>21</v>
      </c>
      <c r="B67" t="s">
        <v>22</v>
      </c>
      <c r="C67" t="s">
        <v>132</v>
      </c>
      <c r="D67">
        <v>4</v>
      </c>
      <c r="E67" t="s">
        <v>140</v>
      </c>
      <c r="F67" t="s">
        <v>50</v>
      </c>
      <c r="G67">
        <f>Dye_Mc!J4</f>
        <v>10</v>
      </c>
      <c r="H67" t="s">
        <v>141</v>
      </c>
      <c r="I67" t="s">
        <v>142</v>
      </c>
      <c r="J67">
        <v>15</v>
      </c>
      <c r="L67">
        <v>0</v>
      </c>
      <c r="M67">
        <v>0</v>
      </c>
      <c r="N67">
        <v>15</v>
      </c>
      <c r="O67">
        <v>3</v>
      </c>
      <c r="P67">
        <v>0</v>
      </c>
      <c r="Q67">
        <v>5</v>
      </c>
      <c r="R67">
        <v>5</v>
      </c>
      <c r="S67">
        <v>5</v>
      </c>
      <c r="T67">
        <v>0</v>
      </c>
    </row>
    <row r="68" spans="1:20">
      <c r="A68" t="s">
        <v>21</v>
      </c>
      <c r="B68" t="s">
        <v>22</v>
      </c>
      <c r="C68" t="s">
        <v>132</v>
      </c>
      <c r="D68">
        <v>5</v>
      </c>
      <c r="E68" t="s">
        <v>143</v>
      </c>
      <c r="F68" t="s">
        <v>50</v>
      </c>
      <c r="G68">
        <v>4</v>
      </c>
      <c r="H68" t="s">
        <v>141</v>
      </c>
      <c r="I68" t="s">
        <v>144</v>
      </c>
      <c r="J68">
        <v>6</v>
      </c>
      <c r="L68">
        <v>0</v>
      </c>
      <c r="M68">
        <v>0</v>
      </c>
      <c r="N68">
        <v>6</v>
      </c>
      <c r="O68">
        <v>3</v>
      </c>
      <c r="P68">
        <v>0</v>
      </c>
      <c r="Q68">
        <v>2</v>
      </c>
      <c r="R68">
        <v>2</v>
      </c>
      <c r="S68">
        <v>2</v>
      </c>
      <c r="T68">
        <v>0</v>
      </c>
    </row>
    <row r="69" spans="1:20">
      <c r="A69" t="s">
        <v>21</v>
      </c>
      <c r="B69" t="s">
        <v>22</v>
      </c>
      <c r="C69" t="s">
        <v>132</v>
      </c>
      <c r="D69">
        <v>6</v>
      </c>
      <c r="E69" t="s">
        <v>143</v>
      </c>
      <c r="F69" t="s">
        <v>33</v>
      </c>
      <c r="G69">
        <v>1</v>
      </c>
      <c r="H69" t="s">
        <v>145</v>
      </c>
      <c r="I69" t="s">
        <v>146</v>
      </c>
      <c r="J69">
        <v>9</v>
      </c>
      <c r="L69">
        <v>0</v>
      </c>
      <c r="M69">
        <v>0</v>
      </c>
      <c r="N69">
        <v>9</v>
      </c>
      <c r="O69">
        <v>3</v>
      </c>
      <c r="P69">
        <v>0</v>
      </c>
      <c r="Q69">
        <v>3</v>
      </c>
      <c r="R69">
        <v>3</v>
      </c>
      <c r="S69">
        <v>3</v>
      </c>
      <c r="T69">
        <v>0</v>
      </c>
    </row>
    <row r="70" spans="1:20">
      <c r="A70" t="s">
        <v>21</v>
      </c>
      <c r="B70" t="s">
        <v>22</v>
      </c>
      <c r="C70" t="s">
        <v>132</v>
      </c>
      <c r="D70">
        <v>7</v>
      </c>
      <c r="E70" t="s">
        <v>147</v>
      </c>
      <c r="F70" t="s">
        <v>50</v>
      </c>
      <c r="G70">
        <v>1</v>
      </c>
      <c r="H70" t="s">
        <v>148</v>
      </c>
      <c r="I70" t="s">
        <v>149</v>
      </c>
      <c r="J70">
        <v>6</v>
      </c>
      <c r="L70">
        <v>0</v>
      </c>
      <c r="M70">
        <v>0</v>
      </c>
      <c r="N70">
        <v>6</v>
      </c>
      <c r="O70">
        <v>3</v>
      </c>
      <c r="P70">
        <v>0</v>
      </c>
      <c r="Q70">
        <v>2</v>
      </c>
      <c r="R70">
        <v>2</v>
      </c>
      <c r="S70">
        <v>2</v>
      </c>
      <c r="T70">
        <v>0</v>
      </c>
    </row>
    <row r="71" spans="1:20">
      <c r="A71" t="s">
        <v>21</v>
      </c>
      <c r="B71" t="s">
        <v>22</v>
      </c>
      <c r="C71" t="s">
        <v>132</v>
      </c>
      <c r="D71">
        <v>8</v>
      </c>
      <c r="E71" t="s">
        <v>150</v>
      </c>
      <c r="F71" t="s">
        <v>50</v>
      </c>
      <c r="G71">
        <v>1</v>
      </c>
      <c r="H71" t="s">
        <v>148</v>
      </c>
      <c r="I71" t="s">
        <v>149</v>
      </c>
      <c r="J71">
        <v>6</v>
      </c>
      <c r="L71">
        <v>0</v>
      </c>
      <c r="M71">
        <v>0</v>
      </c>
      <c r="N71">
        <v>6</v>
      </c>
      <c r="O71">
        <v>3</v>
      </c>
      <c r="P71">
        <v>0</v>
      </c>
      <c r="Q71">
        <v>2</v>
      </c>
      <c r="R71">
        <v>2</v>
      </c>
      <c r="S71">
        <v>2</v>
      </c>
      <c r="T71">
        <v>0</v>
      </c>
    </row>
    <row r="72" spans="1:20">
      <c r="A72" t="s">
        <v>21</v>
      </c>
      <c r="B72" t="s">
        <v>22</v>
      </c>
      <c r="C72" t="s">
        <v>132</v>
      </c>
      <c r="D72">
        <v>9</v>
      </c>
      <c r="E72" t="s">
        <v>151</v>
      </c>
      <c r="F72" t="s">
        <v>50</v>
      </c>
      <c r="G72">
        <v>1</v>
      </c>
      <c r="H72" t="s">
        <v>152</v>
      </c>
      <c r="I72" t="s">
        <v>153</v>
      </c>
      <c r="J72">
        <v>2</v>
      </c>
      <c r="L72">
        <v>0</v>
      </c>
      <c r="M72">
        <v>0</v>
      </c>
      <c r="N72">
        <v>2</v>
      </c>
      <c r="O72">
        <v>3</v>
      </c>
      <c r="P72">
        <v>0</v>
      </c>
      <c r="Q72">
        <v>2</v>
      </c>
      <c r="R72">
        <v>2</v>
      </c>
      <c r="S72">
        <v>0</v>
      </c>
      <c r="T72">
        <v>0</v>
      </c>
    </row>
    <row r="73" spans="1:20">
      <c r="A73" t="s">
        <v>21</v>
      </c>
      <c r="B73" t="s">
        <v>22</v>
      </c>
      <c r="C73" t="s">
        <v>132</v>
      </c>
      <c r="D73">
        <v>10</v>
      </c>
      <c r="E73" t="s">
        <v>154</v>
      </c>
      <c r="F73" t="s">
        <v>50</v>
      </c>
      <c r="G73">
        <f>'Hydro '!H2</f>
        <v>6</v>
      </c>
      <c r="H73" t="s">
        <v>31</v>
      </c>
      <c r="I73" t="s">
        <v>116</v>
      </c>
      <c r="J73">
        <v>18</v>
      </c>
      <c r="L73">
        <v>0</v>
      </c>
      <c r="M73">
        <v>0</v>
      </c>
      <c r="N73">
        <v>18</v>
      </c>
      <c r="O73">
        <v>3</v>
      </c>
      <c r="P73">
        <v>0</v>
      </c>
      <c r="Q73">
        <v>6</v>
      </c>
      <c r="R73">
        <v>6</v>
      </c>
      <c r="S73">
        <v>6</v>
      </c>
      <c r="T73">
        <v>0</v>
      </c>
    </row>
    <row r="74" spans="1:20">
      <c r="A74" t="s">
        <v>21</v>
      </c>
      <c r="B74" t="s">
        <v>22</v>
      </c>
      <c r="C74" t="s">
        <v>132</v>
      </c>
      <c r="D74">
        <v>11</v>
      </c>
      <c r="E74" t="s">
        <v>155</v>
      </c>
      <c r="F74" t="s">
        <v>50</v>
      </c>
      <c r="G74">
        <v>18</v>
      </c>
      <c r="H74" t="s">
        <v>134</v>
      </c>
      <c r="I74" t="s">
        <v>156</v>
      </c>
      <c r="J74">
        <v>18</v>
      </c>
      <c r="L74">
        <v>0</v>
      </c>
      <c r="M74">
        <v>0</v>
      </c>
      <c r="N74">
        <v>18</v>
      </c>
      <c r="O74">
        <v>3</v>
      </c>
      <c r="P74">
        <v>0</v>
      </c>
      <c r="Q74">
        <v>6</v>
      </c>
      <c r="R74">
        <v>6</v>
      </c>
      <c r="S74">
        <v>6</v>
      </c>
      <c r="T74">
        <v>0</v>
      </c>
    </row>
    <row r="75" spans="1:20">
      <c r="A75" t="s">
        <v>21</v>
      </c>
      <c r="B75" t="s">
        <v>22</v>
      </c>
      <c r="C75" t="s">
        <v>132</v>
      </c>
      <c r="D75">
        <v>12</v>
      </c>
      <c r="E75" t="s">
        <v>155</v>
      </c>
      <c r="F75" t="s">
        <v>33</v>
      </c>
      <c r="G75">
        <v>0</v>
      </c>
      <c r="H75" t="s">
        <v>36</v>
      </c>
      <c r="I75" t="s">
        <v>157</v>
      </c>
      <c r="J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21</v>
      </c>
      <c r="B76" t="s">
        <v>22</v>
      </c>
      <c r="C76" t="s">
        <v>132</v>
      </c>
      <c r="D76">
        <v>13</v>
      </c>
      <c r="E76" t="s">
        <v>155</v>
      </c>
      <c r="F76" t="s">
        <v>95</v>
      </c>
      <c r="G76">
        <v>1</v>
      </c>
      <c r="H76" t="s">
        <v>158</v>
      </c>
      <c r="I76" t="s">
        <v>159</v>
      </c>
      <c r="J76">
        <v>12</v>
      </c>
      <c r="L76">
        <v>0</v>
      </c>
      <c r="M76">
        <v>0</v>
      </c>
      <c r="N76">
        <v>12</v>
      </c>
      <c r="O76">
        <v>3</v>
      </c>
      <c r="P76">
        <v>0</v>
      </c>
      <c r="Q76">
        <v>4</v>
      </c>
      <c r="R76">
        <v>4</v>
      </c>
      <c r="S76">
        <v>4</v>
      </c>
      <c r="T76">
        <v>0</v>
      </c>
    </row>
    <row r="77" spans="1:20">
      <c r="A77" t="s">
        <v>21</v>
      </c>
      <c r="B77" t="s">
        <v>22</v>
      </c>
      <c r="C77" t="s">
        <v>132</v>
      </c>
      <c r="D77">
        <v>14</v>
      </c>
      <c r="E77" t="s">
        <v>160</v>
      </c>
      <c r="F77" t="s">
        <v>33</v>
      </c>
      <c r="G77">
        <v>1</v>
      </c>
      <c r="H77" t="s">
        <v>161</v>
      </c>
      <c r="I77" t="s">
        <v>149</v>
      </c>
      <c r="J77">
        <v>6</v>
      </c>
      <c r="L77">
        <v>0</v>
      </c>
      <c r="M77">
        <v>0</v>
      </c>
      <c r="N77">
        <v>6</v>
      </c>
      <c r="O77">
        <v>3</v>
      </c>
      <c r="P77">
        <v>0</v>
      </c>
      <c r="Q77">
        <v>2</v>
      </c>
      <c r="R77">
        <v>2</v>
      </c>
      <c r="S77">
        <v>2</v>
      </c>
      <c r="T77">
        <v>0</v>
      </c>
    </row>
    <row r="78" spans="1:20">
      <c r="A78" t="s">
        <v>21</v>
      </c>
      <c r="B78" t="s">
        <v>22</v>
      </c>
      <c r="C78" t="s">
        <v>132</v>
      </c>
      <c r="D78">
        <v>15</v>
      </c>
      <c r="E78" t="s">
        <v>162</v>
      </c>
      <c r="F78" t="s">
        <v>50</v>
      </c>
      <c r="G78">
        <v>1</v>
      </c>
      <c r="H78" t="s">
        <v>148</v>
      </c>
      <c r="I78" t="s">
        <v>149</v>
      </c>
      <c r="J78">
        <v>6</v>
      </c>
      <c r="L78">
        <v>0</v>
      </c>
      <c r="M78">
        <v>0</v>
      </c>
      <c r="N78">
        <v>6</v>
      </c>
      <c r="O78">
        <v>3</v>
      </c>
      <c r="P78">
        <v>0</v>
      </c>
      <c r="Q78">
        <v>2</v>
      </c>
      <c r="R78">
        <v>2</v>
      </c>
      <c r="S78">
        <v>2</v>
      </c>
      <c r="T78">
        <v>0</v>
      </c>
    </row>
    <row r="79" spans="1:20">
      <c r="A79" t="s">
        <v>21</v>
      </c>
      <c r="B79" t="s">
        <v>22</v>
      </c>
      <c r="C79" t="s">
        <v>132</v>
      </c>
      <c r="D79">
        <v>16</v>
      </c>
      <c r="E79" t="s">
        <v>162</v>
      </c>
      <c r="F79" t="s">
        <v>125</v>
      </c>
      <c r="G79">
        <v>1</v>
      </c>
      <c r="H79" t="s">
        <v>57</v>
      </c>
      <c r="I79" t="s">
        <v>139</v>
      </c>
      <c r="J79">
        <v>3</v>
      </c>
      <c r="L79">
        <v>0</v>
      </c>
      <c r="M79">
        <v>0</v>
      </c>
      <c r="N79">
        <v>3</v>
      </c>
      <c r="O79">
        <v>3</v>
      </c>
      <c r="P79">
        <v>0</v>
      </c>
      <c r="Q79">
        <v>1</v>
      </c>
      <c r="R79">
        <v>1</v>
      </c>
      <c r="S79">
        <v>1</v>
      </c>
      <c r="T79">
        <v>0</v>
      </c>
    </row>
    <row r="80" spans="1:20">
      <c r="A80" t="s">
        <v>21</v>
      </c>
      <c r="B80" t="s">
        <v>22</v>
      </c>
      <c r="C80" t="s">
        <v>132</v>
      </c>
      <c r="D80">
        <v>17</v>
      </c>
      <c r="E80" t="s">
        <v>162</v>
      </c>
      <c r="F80" t="s">
        <v>95</v>
      </c>
      <c r="G80">
        <v>0</v>
      </c>
      <c r="H80" t="s">
        <v>163</v>
      </c>
      <c r="I80" t="s">
        <v>164</v>
      </c>
      <c r="J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1">
      <c r="A81" t="s">
        <v>21</v>
      </c>
      <c r="B81" t="s">
        <v>22</v>
      </c>
      <c r="C81" t="s">
        <v>132</v>
      </c>
      <c r="D81">
        <v>18</v>
      </c>
      <c r="E81" t="s">
        <v>165</v>
      </c>
      <c r="F81" t="s">
        <v>50</v>
      </c>
      <c r="G81">
        <v>1</v>
      </c>
      <c r="H81" t="s">
        <v>148</v>
      </c>
      <c r="I81" t="s">
        <v>149</v>
      </c>
      <c r="J81">
        <v>6</v>
      </c>
      <c r="L81">
        <v>0</v>
      </c>
      <c r="M81">
        <v>0</v>
      </c>
      <c r="N81">
        <v>6</v>
      </c>
      <c r="O81">
        <v>3</v>
      </c>
      <c r="P81">
        <v>0</v>
      </c>
      <c r="Q81">
        <v>2</v>
      </c>
      <c r="R81">
        <v>2</v>
      </c>
      <c r="S81">
        <v>2</v>
      </c>
      <c r="T81">
        <v>0</v>
      </c>
    </row>
    <row r="82" spans="1:21">
      <c r="A82" t="s">
        <v>21</v>
      </c>
      <c r="B82" t="s">
        <v>22</v>
      </c>
      <c r="C82" t="s">
        <v>166</v>
      </c>
      <c r="D82">
        <v>1</v>
      </c>
      <c r="E82" t="s">
        <v>167</v>
      </c>
      <c r="F82" t="s">
        <v>168</v>
      </c>
      <c r="G82">
        <v>2</v>
      </c>
      <c r="H82" t="s">
        <v>169</v>
      </c>
      <c r="I82" t="s">
        <v>170</v>
      </c>
      <c r="J82">
        <v>6</v>
      </c>
      <c r="L82">
        <v>0</v>
      </c>
      <c r="M82">
        <v>6</v>
      </c>
      <c r="N82">
        <v>6</v>
      </c>
      <c r="O82">
        <v>3</v>
      </c>
      <c r="P82">
        <v>0</v>
      </c>
      <c r="Q82">
        <v>3</v>
      </c>
      <c r="R82">
        <v>3</v>
      </c>
      <c r="S82">
        <v>3</v>
      </c>
      <c r="T82">
        <v>0</v>
      </c>
      <c r="U82" t="s">
        <v>171</v>
      </c>
    </row>
    <row r="83" spans="1:21">
      <c r="A83" t="s">
        <v>21</v>
      </c>
      <c r="B83" t="s">
        <v>22</v>
      </c>
      <c r="C83" t="s">
        <v>166</v>
      </c>
      <c r="D83">
        <v>2</v>
      </c>
      <c r="E83" t="s">
        <v>167</v>
      </c>
      <c r="F83" t="s">
        <v>172</v>
      </c>
      <c r="G83">
        <v>2</v>
      </c>
      <c r="H83" t="s">
        <v>173</v>
      </c>
      <c r="I83" t="s">
        <v>174</v>
      </c>
      <c r="J83">
        <v>18</v>
      </c>
      <c r="L83">
        <v>0</v>
      </c>
      <c r="M83">
        <v>18</v>
      </c>
      <c r="N83">
        <v>18</v>
      </c>
      <c r="O83">
        <v>3</v>
      </c>
      <c r="P83">
        <v>0</v>
      </c>
      <c r="Q83">
        <v>6</v>
      </c>
      <c r="R83">
        <v>6</v>
      </c>
      <c r="S83">
        <v>6</v>
      </c>
      <c r="T83">
        <v>0</v>
      </c>
      <c r="U83" t="s">
        <v>171</v>
      </c>
    </row>
    <row r="84" spans="1:21">
      <c r="A84" t="s">
        <v>21</v>
      </c>
      <c r="B84" t="s">
        <v>22</v>
      </c>
      <c r="C84" t="s">
        <v>166</v>
      </c>
      <c r="D84">
        <v>3</v>
      </c>
      <c r="E84" t="s">
        <v>167</v>
      </c>
      <c r="F84" t="s">
        <v>175</v>
      </c>
      <c r="G84">
        <v>2</v>
      </c>
      <c r="H84" t="s">
        <v>176</v>
      </c>
      <c r="I84" t="s">
        <v>177</v>
      </c>
      <c r="J84">
        <v>36</v>
      </c>
      <c r="L84">
        <v>0</v>
      </c>
      <c r="M84">
        <v>36</v>
      </c>
      <c r="N84">
        <v>36</v>
      </c>
      <c r="O84">
        <v>3</v>
      </c>
      <c r="P84">
        <v>0</v>
      </c>
      <c r="Q84">
        <v>12</v>
      </c>
      <c r="R84">
        <v>12</v>
      </c>
      <c r="S84">
        <v>12</v>
      </c>
      <c r="T84">
        <v>0</v>
      </c>
      <c r="U84" t="s">
        <v>171</v>
      </c>
    </row>
    <row r="85" spans="1:21">
      <c r="A85" t="s">
        <v>21</v>
      </c>
      <c r="B85" t="s">
        <v>22</v>
      </c>
      <c r="C85" t="s">
        <v>166</v>
      </c>
      <c r="D85">
        <v>4</v>
      </c>
      <c r="E85" t="s">
        <v>167</v>
      </c>
      <c r="F85" t="s">
        <v>178</v>
      </c>
      <c r="G85">
        <v>2</v>
      </c>
      <c r="H85" t="s">
        <v>179</v>
      </c>
      <c r="I85" t="s">
        <v>180</v>
      </c>
      <c r="J85">
        <v>12</v>
      </c>
      <c r="L85">
        <v>0</v>
      </c>
      <c r="M85">
        <v>12</v>
      </c>
      <c r="N85">
        <v>12</v>
      </c>
      <c r="O85">
        <v>3</v>
      </c>
      <c r="P85">
        <v>0</v>
      </c>
      <c r="Q85">
        <v>4</v>
      </c>
      <c r="R85">
        <v>4</v>
      </c>
      <c r="S85">
        <v>4</v>
      </c>
      <c r="T85">
        <v>0</v>
      </c>
      <c r="U85" t="s">
        <v>171</v>
      </c>
    </row>
    <row r="86" spans="1:21">
      <c r="A86" t="s">
        <v>21</v>
      </c>
      <c r="B86" t="s">
        <v>22</v>
      </c>
      <c r="C86" t="s">
        <v>166</v>
      </c>
      <c r="D86">
        <v>5</v>
      </c>
      <c r="E86" t="s">
        <v>167</v>
      </c>
      <c r="F86" t="s">
        <v>181</v>
      </c>
      <c r="G86">
        <v>2</v>
      </c>
      <c r="H86" t="s">
        <v>169</v>
      </c>
      <c r="I86" t="s">
        <v>170</v>
      </c>
      <c r="J86">
        <v>6</v>
      </c>
      <c r="L86">
        <v>0</v>
      </c>
      <c r="M86">
        <v>6</v>
      </c>
      <c r="N86">
        <v>6</v>
      </c>
      <c r="O86">
        <v>3</v>
      </c>
      <c r="P86">
        <v>0</v>
      </c>
      <c r="Q86">
        <v>2</v>
      </c>
      <c r="R86">
        <v>2</v>
      </c>
      <c r="S86">
        <v>2</v>
      </c>
      <c r="T86">
        <v>0</v>
      </c>
      <c r="U86" t="s">
        <v>171</v>
      </c>
    </row>
    <row r="87" spans="1:21">
      <c r="A87" t="s">
        <v>21</v>
      </c>
      <c r="B87" t="s">
        <v>22</v>
      </c>
      <c r="C87" t="s">
        <v>166</v>
      </c>
      <c r="D87">
        <v>6</v>
      </c>
      <c r="E87" t="s">
        <v>167</v>
      </c>
      <c r="F87" t="s">
        <v>182</v>
      </c>
      <c r="G87">
        <v>2</v>
      </c>
      <c r="H87" t="s">
        <v>169</v>
      </c>
      <c r="I87" t="s">
        <v>170</v>
      </c>
      <c r="J87">
        <v>6</v>
      </c>
      <c r="L87">
        <v>0</v>
      </c>
      <c r="M87">
        <v>6</v>
      </c>
      <c r="N87">
        <v>6</v>
      </c>
      <c r="O87">
        <v>3</v>
      </c>
      <c r="P87">
        <v>0</v>
      </c>
      <c r="Q87">
        <v>2</v>
      </c>
      <c r="R87">
        <v>2</v>
      </c>
      <c r="S87">
        <v>2</v>
      </c>
      <c r="T87">
        <v>0</v>
      </c>
      <c r="U87" t="s">
        <v>171</v>
      </c>
    </row>
    <row r="88" spans="1:21">
      <c r="A88" t="s">
        <v>21</v>
      </c>
      <c r="B88" t="s">
        <v>22</v>
      </c>
      <c r="C88" t="s">
        <v>166</v>
      </c>
      <c r="D88">
        <v>7</v>
      </c>
      <c r="E88" t="s">
        <v>167</v>
      </c>
      <c r="F88" t="s">
        <v>183</v>
      </c>
      <c r="G88">
        <v>2</v>
      </c>
      <c r="H88" t="s">
        <v>184</v>
      </c>
      <c r="I88" t="s">
        <v>185</v>
      </c>
      <c r="J88">
        <v>24</v>
      </c>
      <c r="L88">
        <v>0</v>
      </c>
      <c r="M88">
        <v>24</v>
      </c>
      <c r="N88">
        <v>24</v>
      </c>
      <c r="O88">
        <v>3</v>
      </c>
      <c r="P88">
        <v>0</v>
      </c>
      <c r="Q88">
        <v>8</v>
      </c>
      <c r="R88">
        <v>8</v>
      </c>
      <c r="S88">
        <v>8</v>
      </c>
      <c r="T88">
        <v>0</v>
      </c>
      <c r="U88" t="s">
        <v>171</v>
      </c>
    </row>
    <row r="89" spans="1:21">
      <c r="A89" t="s">
        <v>21</v>
      </c>
      <c r="B89" t="s">
        <v>22</v>
      </c>
      <c r="C89" t="s">
        <v>166</v>
      </c>
      <c r="D89">
        <v>8</v>
      </c>
      <c r="E89" t="s">
        <v>186</v>
      </c>
      <c r="F89" t="s">
        <v>168</v>
      </c>
      <c r="G89">
        <v>2.1</v>
      </c>
      <c r="H89" t="s">
        <v>169</v>
      </c>
      <c r="I89" t="s">
        <v>187</v>
      </c>
      <c r="J89">
        <v>6.3000000000000007</v>
      </c>
      <c r="L89">
        <v>0</v>
      </c>
      <c r="M89">
        <v>6</v>
      </c>
      <c r="N89">
        <v>6</v>
      </c>
      <c r="O89">
        <v>3</v>
      </c>
      <c r="P89">
        <v>0</v>
      </c>
      <c r="Q89">
        <v>2</v>
      </c>
      <c r="R89">
        <v>2</v>
      </c>
      <c r="S89">
        <v>2</v>
      </c>
      <c r="T89">
        <v>0</v>
      </c>
      <c r="U89" t="s">
        <v>171</v>
      </c>
    </row>
    <row r="90" spans="1:21">
      <c r="A90" t="s">
        <v>21</v>
      </c>
      <c r="B90" t="s">
        <v>22</v>
      </c>
      <c r="C90" t="s">
        <v>166</v>
      </c>
      <c r="D90">
        <v>9</v>
      </c>
      <c r="E90" t="s">
        <v>186</v>
      </c>
      <c r="F90" t="s">
        <v>172</v>
      </c>
      <c r="G90">
        <v>2.1</v>
      </c>
      <c r="H90" t="s">
        <v>173</v>
      </c>
      <c r="I90" t="s">
        <v>188</v>
      </c>
      <c r="J90">
        <v>18.900000000000002</v>
      </c>
      <c r="L90">
        <v>0</v>
      </c>
      <c r="M90">
        <v>19</v>
      </c>
      <c r="N90">
        <v>19</v>
      </c>
      <c r="O90">
        <v>3</v>
      </c>
      <c r="P90">
        <v>0</v>
      </c>
      <c r="Q90">
        <v>6</v>
      </c>
      <c r="R90">
        <v>6</v>
      </c>
      <c r="S90">
        <v>7</v>
      </c>
      <c r="T90">
        <v>0</v>
      </c>
      <c r="U90" t="s">
        <v>171</v>
      </c>
    </row>
    <row r="91" spans="1:21">
      <c r="A91" t="s">
        <v>21</v>
      </c>
      <c r="B91" t="s">
        <v>22</v>
      </c>
      <c r="C91" t="s">
        <v>166</v>
      </c>
      <c r="D91">
        <v>10</v>
      </c>
      <c r="E91" t="s">
        <v>186</v>
      </c>
      <c r="F91" t="s">
        <v>175</v>
      </c>
      <c r="G91">
        <v>2.1</v>
      </c>
      <c r="H91" t="s">
        <v>176</v>
      </c>
      <c r="I91" t="s">
        <v>189</v>
      </c>
      <c r="J91">
        <v>37.800000000000004</v>
      </c>
      <c r="L91">
        <v>0</v>
      </c>
      <c r="M91">
        <v>38</v>
      </c>
      <c r="N91">
        <v>38</v>
      </c>
      <c r="O91">
        <v>3</v>
      </c>
      <c r="P91">
        <v>0</v>
      </c>
      <c r="Q91">
        <v>12</v>
      </c>
      <c r="R91">
        <v>12</v>
      </c>
      <c r="S91">
        <v>14</v>
      </c>
      <c r="T91">
        <v>0</v>
      </c>
      <c r="U91" t="s">
        <v>171</v>
      </c>
    </row>
    <row r="92" spans="1:21">
      <c r="A92" t="s">
        <v>21</v>
      </c>
      <c r="B92" t="s">
        <v>22</v>
      </c>
      <c r="C92" t="s">
        <v>166</v>
      </c>
      <c r="D92">
        <v>11</v>
      </c>
      <c r="E92" t="s">
        <v>186</v>
      </c>
      <c r="F92" t="s">
        <v>178</v>
      </c>
      <c r="G92">
        <v>2.1</v>
      </c>
      <c r="H92" t="s">
        <v>179</v>
      </c>
      <c r="I92" t="s">
        <v>190</v>
      </c>
      <c r="J92">
        <v>12.600000000000001</v>
      </c>
      <c r="L92">
        <v>0</v>
      </c>
      <c r="M92">
        <v>13</v>
      </c>
      <c r="N92">
        <v>13</v>
      </c>
      <c r="O92">
        <v>3</v>
      </c>
      <c r="P92">
        <v>0</v>
      </c>
      <c r="Q92">
        <v>4</v>
      </c>
      <c r="R92">
        <v>4</v>
      </c>
      <c r="S92">
        <v>5</v>
      </c>
      <c r="T92">
        <v>0</v>
      </c>
      <c r="U92" t="s">
        <v>171</v>
      </c>
    </row>
    <row r="93" spans="1:21">
      <c r="A93" t="s">
        <v>21</v>
      </c>
      <c r="B93" t="s">
        <v>22</v>
      </c>
      <c r="C93" t="s">
        <v>166</v>
      </c>
      <c r="D93">
        <v>12</v>
      </c>
      <c r="E93" t="s">
        <v>186</v>
      </c>
      <c r="F93" t="s">
        <v>181</v>
      </c>
      <c r="G93">
        <v>2.1</v>
      </c>
      <c r="H93" t="s">
        <v>169</v>
      </c>
      <c r="I93" t="s">
        <v>187</v>
      </c>
      <c r="J93">
        <v>6.3000000000000007</v>
      </c>
      <c r="L93">
        <v>0</v>
      </c>
      <c r="M93">
        <v>6</v>
      </c>
      <c r="N93">
        <v>6</v>
      </c>
      <c r="O93">
        <v>3</v>
      </c>
      <c r="P93">
        <v>0</v>
      </c>
      <c r="Q93">
        <v>2</v>
      </c>
      <c r="R93">
        <v>2</v>
      </c>
      <c r="S93">
        <v>2</v>
      </c>
      <c r="T93">
        <v>0</v>
      </c>
      <c r="U93" t="s">
        <v>171</v>
      </c>
    </row>
    <row r="94" spans="1:21">
      <c r="A94" t="s">
        <v>21</v>
      </c>
      <c r="B94" t="s">
        <v>22</v>
      </c>
      <c r="C94" t="s">
        <v>166</v>
      </c>
      <c r="D94">
        <v>13</v>
      </c>
      <c r="E94" t="s">
        <v>186</v>
      </c>
      <c r="F94" t="s">
        <v>182</v>
      </c>
      <c r="G94">
        <v>2.1</v>
      </c>
      <c r="H94" t="s">
        <v>169</v>
      </c>
      <c r="I94" t="s">
        <v>187</v>
      </c>
      <c r="J94">
        <v>6.3000000000000007</v>
      </c>
      <c r="L94">
        <v>0</v>
      </c>
      <c r="M94">
        <v>6</v>
      </c>
      <c r="N94">
        <v>6</v>
      </c>
      <c r="O94">
        <v>3</v>
      </c>
      <c r="P94">
        <v>0</v>
      </c>
      <c r="Q94">
        <v>2</v>
      </c>
      <c r="R94">
        <v>2</v>
      </c>
      <c r="S94">
        <v>2</v>
      </c>
      <c r="T94">
        <v>0</v>
      </c>
      <c r="U94" t="s">
        <v>171</v>
      </c>
    </row>
    <row r="95" spans="1:21">
      <c r="A95" t="s">
        <v>21</v>
      </c>
      <c r="B95" t="s">
        <v>22</v>
      </c>
      <c r="C95" t="s">
        <v>166</v>
      </c>
      <c r="D95">
        <v>14</v>
      </c>
      <c r="E95" t="s">
        <v>186</v>
      </c>
      <c r="F95" t="s">
        <v>183</v>
      </c>
      <c r="G95">
        <v>2.1</v>
      </c>
      <c r="H95" t="s">
        <v>184</v>
      </c>
      <c r="I95" t="s">
        <v>191</v>
      </c>
      <c r="J95">
        <v>25.200000000000003</v>
      </c>
      <c r="L95">
        <v>0</v>
      </c>
      <c r="M95">
        <v>25</v>
      </c>
      <c r="N95">
        <v>25</v>
      </c>
      <c r="O95">
        <v>3</v>
      </c>
      <c r="P95">
        <v>0</v>
      </c>
      <c r="Q95">
        <v>8</v>
      </c>
      <c r="R95">
        <v>8</v>
      </c>
      <c r="S95">
        <v>9</v>
      </c>
      <c r="T95">
        <v>0</v>
      </c>
      <c r="U95" t="s">
        <v>171</v>
      </c>
    </row>
    <row r="96" spans="1:21">
      <c r="A96" t="s">
        <v>21</v>
      </c>
      <c r="B96" t="s">
        <v>22</v>
      </c>
      <c r="C96" t="s">
        <v>166</v>
      </c>
      <c r="D96">
        <v>15</v>
      </c>
      <c r="E96" t="s">
        <v>192</v>
      </c>
      <c r="F96" t="s">
        <v>168</v>
      </c>
      <c r="G96">
        <v>2.6</v>
      </c>
      <c r="H96" t="s">
        <v>169</v>
      </c>
      <c r="I96" t="s">
        <v>193</v>
      </c>
      <c r="J96">
        <v>7.8000000000000007</v>
      </c>
      <c r="L96">
        <v>0</v>
      </c>
      <c r="M96">
        <v>8</v>
      </c>
      <c r="N96">
        <v>8</v>
      </c>
      <c r="O96">
        <v>3</v>
      </c>
      <c r="P96">
        <v>0</v>
      </c>
      <c r="Q96">
        <v>2</v>
      </c>
      <c r="R96">
        <v>2</v>
      </c>
      <c r="S96">
        <v>4</v>
      </c>
      <c r="T96">
        <v>0</v>
      </c>
      <c r="U96" t="s">
        <v>194</v>
      </c>
    </row>
    <row r="97" spans="1:21">
      <c r="A97" t="s">
        <v>21</v>
      </c>
      <c r="B97" t="s">
        <v>22</v>
      </c>
      <c r="C97" t="s">
        <v>166</v>
      </c>
      <c r="D97">
        <v>16</v>
      </c>
      <c r="E97" t="s">
        <v>192</v>
      </c>
      <c r="F97" t="s">
        <v>172</v>
      </c>
      <c r="G97">
        <v>2.6</v>
      </c>
      <c r="H97" t="s">
        <v>195</v>
      </c>
      <c r="I97" t="s">
        <v>193</v>
      </c>
      <c r="J97">
        <v>7.8000000000000007</v>
      </c>
      <c r="L97">
        <v>0</v>
      </c>
      <c r="M97">
        <v>8</v>
      </c>
      <c r="N97">
        <v>8</v>
      </c>
      <c r="O97">
        <v>3</v>
      </c>
      <c r="P97">
        <v>0</v>
      </c>
      <c r="Q97">
        <v>2</v>
      </c>
      <c r="R97">
        <v>2</v>
      </c>
      <c r="S97">
        <v>4</v>
      </c>
      <c r="T97">
        <v>0</v>
      </c>
      <c r="U97" t="s">
        <v>194</v>
      </c>
    </row>
    <row r="98" spans="1:21">
      <c r="A98" t="s">
        <v>21</v>
      </c>
      <c r="B98" t="s">
        <v>22</v>
      </c>
      <c r="C98" t="s">
        <v>166</v>
      </c>
      <c r="D98">
        <v>17</v>
      </c>
      <c r="E98" t="s">
        <v>192</v>
      </c>
      <c r="F98" t="s">
        <v>175</v>
      </c>
      <c r="G98">
        <v>2.6</v>
      </c>
      <c r="H98" t="s">
        <v>196</v>
      </c>
      <c r="I98" t="s">
        <v>197</v>
      </c>
      <c r="J98">
        <v>15.600000000000001</v>
      </c>
      <c r="L98">
        <v>0</v>
      </c>
      <c r="M98">
        <v>16</v>
      </c>
      <c r="N98">
        <v>16</v>
      </c>
      <c r="O98">
        <v>3</v>
      </c>
      <c r="P98">
        <v>0</v>
      </c>
      <c r="Q98">
        <v>5</v>
      </c>
      <c r="R98">
        <v>5</v>
      </c>
      <c r="S98">
        <v>6</v>
      </c>
      <c r="T98">
        <v>0</v>
      </c>
      <c r="U98" t="s">
        <v>194</v>
      </c>
    </row>
    <row r="99" spans="1:21">
      <c r="A99" t="s">
        <v>21</v>
      </c>
      <c r="B99" t="s">
        <v>22</v>
      </c>
      <c r="C99" t="s">
        <v>166</v>
      </c>
      <c r="D99">
        <v>18</v>
      </c>
      <c r="E99" t="s">
        <v>192</v>
      </c>
      <c r="F99" t="s">
        <v>178</v>
      </c>
      <c r="G99">
        <v>2.6</v>
      </c>
      <c r="H99" t="s">
        <v>169</v>
      </c>
      <c r="I99" t="s">
        <v>193</v>
      </c>
      <c r="J99">
        <v>7.8000000000000007</v>
      </c>
      <c r="L99">
        <v>0</v>
      </c>
      <c r="M99">
        <v>8</v>
      </c>
      <c r="N99">
        <v>8</v>
      </c>
      <c r="O99">
        <v>3</v>
      </c>
      <c r="P99">
        <v>0</v>
      </c>
      <c r="Q99">
        <v>2</v>
      </c>
      <c r="R99">
        <v>2</v>
      </c>
      <c r="S99">
        <v>4</v>
      </c>
      <c r="T99">
        <v>0</v>
      </c>
      <c r="U99" t="s">
        <v>194</v>
      </c>
    </row>
    <row r="100" spans="1:21">
      <c r="A100" t="s">
        <v>21</v>
      </c>
      <c r="B100" t="s">
        <v>22</v>
      </c>
      <c r="C100" t="s">
        <v>166</v>
      </c>
      <c r="D100">
        <v>19</v>
      </c>
      <c r="E100" t="s">
        <v>192</v>
      </c>
      <c r="F100" t="s">
        <v>181</v>
      </c>
      <c r="G100">
        <v>2.6</v>
      </c>
      <c r="H100" t="s">
        <v>198</v>
      </c>
      <c r="I100" t="s">
        <v>199</v>
      </c>
      <c r="J100">
        <v>0</v>
      </c>
      <c r="L100">
        <v>0</v>
      </c>
      <c r="M100">
        <v>0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194</v>
      </c>
    </row>
    <row r="101" spans="1:21">
      <c r="A101" t="s">
        <v>21</v>
      </c>
      <c r="B101" t="s">
        <v>22</v>
      </c>
      <c r="C101" t="s">
        <v>166</v>
      </c>
      <c r="D101">
        <v>20</v>
      </c>
      <c r="E101" t="s">
        <v>192</v>
      </c>
      <c r="F101" t="s">
        <v>182</v>
      </c>
      <c r="G101">
        <v>2.6</v>
      </c>
      <c r="H101" t="s">
        <v>169</v>
      </c>
      <c r="I101" t="s">
        <v>193</v>
      </c>
      <c r="J101">
        <v>7.8000000000000007</v>
      </c>
      <c r="L101">
        <v>0</v>
      </c>
      <c r="M101">
        <v>8</v>
      </c>
      <c r="N101">
        <v>8</v>
      </c>
      <c r="O101">
        <v>3</v>
      </c>
      <c r="P101">
        <v>0</v>
      </c>
      <c r="Q101">
        <v>2</v>
      </c>
      <c r="R101">
        <v>2</v>
      </c>
      <c r="S101">
        <v>4</v>
      </c>
      <c r="T101">
        <v>0</v>
      </c>
      <c r="U101" t="s">
        <v>194</v>
      </c>
    </row>
    <row r="102" spans="1:21">
      <c r="A102" t="s">
        <v>21</v>
      </c>
      <c r="B102" t="s">
        <v>22</v>
      </c>
      <c r="C102" t="s">
        <v>166</v>
      </c>
      <c r="D102">
        <v>21</v>
      </c>
      <c r="E102" t="s">
        <v>192</v>
      </c>
      <c r="F102" t="s">
        <v>183</v>
      </c>
      <c r="G102">
        <v>2.6</v>
      </c>
      <c r="H102" t="s">
        <v>184</v>
      </c>
      <c r="I102" t="s">
        <v>200</v>
      </c>
      <c r="J102">
        <v>31.200000000000003</v>
      </c>
      <c r="L102">
        <v>0</v>
      </c>
      <c r="M102">
        <v>31</v>
      </c>
      <c r="N102">
        <v>31</v>
      </c>
      <c r="O102">
        <v>3</v>
      </c>
      <c r="P102">
        <v>0</v>
      </c>
      <c r="Q102">
        <v>10</v>
      </c>
      <c r="R102">
        <v>10</v>
      </c>
      <c r="S102">
        <v>11</v>
      </c>
      <c r="T102">
        <v>0</v>
      </c>
      <c r="U102" t="s">
        <v>194</v>
      </c>
    </row>
    <row r="103" spans="1:21">
      <c r="A103" t="s">
        <v>21</v>
      </c>
      <c r="B103" t="s">
        <v>22</v>
      </c>
      <c r="C103" t="s">
        <v>166</v>
      </c>
      <c r="D103">
        <v>22</v>
      </c>
      <c r="E103" t="s">
        <v>201</v>
      </c>
      <c r="F103" t="s">
        <v>168</v>
      </c>
      <c r="G103">
        <v>0.5</v>
      </c>
      <c r="H103" t="s">
        <v>169</v>
      </c>
      <c r="I103" t="s">
        <v>202</v>
      </c>
      <c r="J103">
        <v>1.5</v>
      </c>
      <c r="L103">
        <v>0</v>
      </c>
      <c r="M103">
        <v>2</v>
      </c>
      <c r="N103">
        <v>2</v>
      </c>
      <c r="O103">
        <v>3</v>
      </c>
      <c r="P103">
        <v>0</v>
      </c>
      <c r="Q103">
        <v>0</v>
      </c>
      <c r="R103">
        <v>0</v>
      </c>
      <c r="S103">
        <v>2</v>
      </c>
      <c r="T103">
        <v>0</v>
      </c>
      <c r="U103" t="s">
        <v>203</v>
      </c>
    </row>
    <row r="104" spans="1:21">
      <c r="A104" t="s">
        <v>21</v>
      </c>
      <c r="B104" t="s">
        <v>22</v>
      </c>
      <c r="C104" t="s">
        <v>166</v>
      </c>
      <c r="D104">
        <v>23</v>
      </c>
      <c r="E104" t="s">
        <v>201</v>
      </c>
      <c r="F104" t="s">
        <v>172</v>
      </c>
      <c r="G104">
        <v>0.5</v>
      </c>
      <c r="H104" t="s">
        <v>204</v>
      </c>
      <c r="I104" t="s">
        <v>205</v>
      </c>
      <c r="J104">
        <v>3</v>
      </c>
      <c r="L104">
        <v>0</v>
      </c>
      <c r="M104">
        <v>3</v>
      </c>
      <c r="N104">
        <v>3</v>
      </c>
      <c r="O104">
        <v>3</v>
      </c>
      <c r="P104">
        <v>0</v>
      </c>
      <c r="Q104">
        <v>1</v>
      </c>
      <c r="R104">
        <v>1</v>
      </c>
      <c r="S104">
        <v>1</v>
      </c>
      <c r="T104">
        <v>0</v>
      </c>
      <c r="U104" t="s">
        <v>203</v>
      </c>
    </row>
    <row r="105" spans="1:21">
      <c r="A105" t="s">
        <v>21</v>
      </c>
      <c r="B105" t="s">
        <v>22</v>
      </c>
      <c r="C105" t="s">
        <v>166</v>
      </c>
      <c r="D105">
        <v>24</v>
      </c>
      <c r="E105" t="s">
        <v>201</v>
      </c>
      <c r="F105" t="s">
        <v>175</v>
      </c>
      <c r="G105">
        <v>0.5</v>
      </c>
      <c r="H105" t="s">
        <v>206</v>
      </c>
      <c r="I105" t="s">
        <v>207</v>
      </c>
      <c r="J105">
        <v>4.5</v>
      </c>
      <c r="L105">
        <v>0</v>
      </c>
      <c r="M105">
        <v>5</v>
      </c>
      <c r="N105">
        <v>5</v>
      </c>
      <c r="O105">
        <v>3</v>
      </c>
      <c r="P105">
        <v>0</v>
      </c>
      <c r="Q105">
        <v>1</v>
      </c>
      <c r="R105">
        <v>1</v>
      </c>
      <c r="S105">
        <v>3</v>
      </c>
      <c r="T105">
        <v>0</v>
      </c>
      <c r="U105" t="s">
        <v>203</v>
      </c>
    </row>
    <row r="106" spans="1:21">
      <c r="A106" t="s">
        <v>21</v>
      </c>
      <c r="B106" t="s">
        <v>22</v>
      </c>
      <c r="C106" t="s">
        <v>166</v>
      </c>
      <c r="D106">
        <v>25</v>
      </c>
      <c r="E106" t="s">
        <v>201</v>
      </c>
      <c r="F106" t="s">
        <v>178</v>
      </c>
      <c r="G106">
        <v>0.5</v>
      </c>
      <c r="H106" t="s">
        <v>169</v>
      </c>
      <c r="I106" t="s">
        <v>202</v>
      </c>
      <c r="J106">
        <v>1.5</v>
      </c>
      <c r="L106">
        <v>0</v>
      </c>
      <c r="M106">
        <v>2</v>
      </c>
      <c r="N106">
        <v>2</v>
      </c>
      <c r="O106">
        <v>3</v>
      </c>
      <c r="P106">
        <v>0</v>
      </c>
      <c r="Q106">
        <v>0</v>
      </c>
      <c r="R106">
        <v>0</v>
      </c>
      <c r="S106">
        <v>2</v>
      </c>
      <c r="T106">
        <v>0</v>
      </c>
      <c r="U106" t="s">
        <v>203</v>
      </c>
    </row>
    <row r="107" spans="1:21">
      <c r="A107" t="s">
        <v>21</v>
      </c>
      <c r="B107" t="s">
        <v>22</v>
      </c>
      <c r="C107" t="s">
        <v>166</v>
      </c>
      <c r="D107">
        <v>26</v>
      </c>
      <c r="E107" t="s">
        <v>201</v>
      </c>
      <c r="F107" t="s">
        <v>181</v>
      </c>
      <c r="G107">
        <v>0.5</v>
      </c>
      <c r="H107" t="s">
        <v>169</v>
      </c>
      <c r="I107" t="s">
        <v>202</v>
      </c>
      <c r="J107">
        <v>1.5</v>
      </c>
      <c r="L107">
        <v>0</v>
      </c>
      <c r="M107">
        <v>2</v>
      </c>
      <c r="N107">
        <v>2</v>
      </c>
      <c r="O107">
        <v>3</v>
      </c>
      <c r="P107">
        <v>0</v>
      </c>
      <c r="Q107">
        <v>0</v>
      </c>
      <c r="R107">
        <v>0</v>
      </c>
      <c r="S107">
        <v>2</v>
      </c>
      <c r="T107">
        <v>0</v>
      </c>
      <c r="U107" t="s">
        <v>203</v>
      </c>
    </row>
    <row r="108" spans="1:21">
      <c r="A108" t="s">
        <v>21</v>
      </c>
      <c r="B108" t="s">
        <v>22</v>
      </c>
      <c r="C108" t="s">
        <v>166</v>
      </c>
      <c r="D108">
        <v>27</v>
      </c>
      <c r="E108" t="s">
        <v>201</v>
      </c>
      <c r="F108" t="s">
        <v>182</v>
      </c>
      <c r="G108">
        <v>0.5</v>
      </c>
      <c r="H108" t="s">
        <v>169</v>
      </c>
      <c r="I108" t="s">
        <v>202</v>
      </c>
      <c r="J108">
        <v>1.5</v>
      </c>
      <c r="L108">
        <v>0</v>
      </c>
      <c r="M108">
        <v>2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2</v>
      </c>
      <c r="T108">
        <v>0</v>
      </c>
      <c r="U108" t="s">
        <v>203</v>
      </c>
    </row>
    <row r="109" spans="1:21">
      <c r="A109" t="s">
        <v>21</v>
      </c>
      <c r="B109" t="s">
        <v>22</v>
      </c>
      <c r="C109" t="s">
        <v>166</v>
      </c>
      <c r="D109">
        <v>28</v>
      </c>
      <c r="E109" t="s">
        <v>201</v>
      </c>
      <c r="F109" t="s">
        <v>183</v>
      </c>
      <c r="G109">
        <v>0.5</v>
      </c>
      <c r="H109" t="s">
        <v>184</v>
      </c>
      <c r="I109" t="s">
        <v>208</v>
      </c>
      <c r="J109">
        <v>6</v>
      </c>
      <c r="L109">
        <v>0</v>
      </c>
      <c r="M109">
        <v>6</v>
      </c>
      <c r="N109">
        <v>6</v>
      </c>
      <c r="O109">
        <v>3</v>
      </c>
      <c r="P109">
        <v>0</v>
      </c>
      <c r="Q109">
        <v>2</v>
      </c>
      <c r="R109">
        <v>2</v>
      </c>
      <c r="S109">
        <v>2</v>
      </c>
      <c r="T109">
        <v>0</v>
      </c>
      <c r="U109" t="s">
        <v>203</v>
      </c>
    </row>
    <row r="110" spans="1:21">
      <c r="A110" t="s">
        <v>21</v>
      </c>
      <c r="B110" t="s">
        <v>22</v>
      </c>
      <c r="C110" t="s">
        <v>209</v>
      </c>
      <c r="D110">
        <v>29</v>
      </c>
      <c r="E110" t="s">
        <v>210</v>
      </c>
      <c r="F110" t="s">
        <v>211</v>
      </c>
      <c r="G110">
        <v>1</v>
      </c>
      <c r="H110" t="s">
        <v>212</v>
      </c>
      <c r="I110" t="s">
        <v>213</v>
      </c>
      <c r="J110">
        <v>21.599999999999998</v>
      </c>
      <c r="L110">
        <v>0</v>
      </c>
      <c r="M110">
        <v>22</v>
      </c>
      <c r="N110">
        <v>22</v>
      </c>
      <c r="O110">
        <v>3</v>
      </c>
      <c r="P110">
        <v>0</v>
      </c>
      <c r="Q110">
        <v>7</v>
      </c>
      <c r="R110">
        <v>7</v>
      </c>
      <c r="S110">
        <v>8</v>
      </c>
      <c r="T110">
        <v>0</v>
      </c>
    </row>
    <row r="111" spans="1:21">
      <c r="A111" t="s">
        <v>21</v>
      </c>
      <c r="B111" t="s">
        <v>22</v>
      </c>
      <c r="C111" t="s">
        <v>209</v>
      </c>
      <c r="D111">
        <v>30</v>
      </c>
      <c r="E111" t="s">
        <v>210</v>
      </c>
      <c r="F111" t="s">
        <v>95</v>
      </c>
      <c r="G111">
        <v>1</v>
      </c>
      <c r="H111" t="s">
        <v>214</v>
      </c>
      <c r="I111" t="s">
        <v>159</v>
      </c>
      <c r="J111">
        <v>12</v>
      </c>
      <c r="L111">
        <v>0</v>
      </c>
      <c r="M111">
        <v>12</v>
      </c>
      <c r="N111">
        <v>12</v>
      </c>
      <c r="O111">
        <v>3</v>
      </c>
      <c r="P111">
        <v>0</v>
      </c>
      <c r="Q111">
        <v>4</v>
      </c>
      <c r="R111">
        <v>4</v>
      </c>
      <c r="S111">
        <v>4</v>
      </c>
      <c r="T111">
        <v>0</v>
      </c>
    </row>
    <row r="112" spans="1:21">
      <c r="A112" t="s">
        <v>21</v>
      </c>
      <c r="B112" t="s">
        <v>22</v>
      </c>
      <c r="C112" t="s">
        <v>209</v>
      </c>
      <c r="D112">
        <v>31</v>
      </c>
      <c r="E112" t="s">
        <v>210</v>
      </c>
      <c r="F112" t="s">
        <v>215</v>
      </c>
      <c r="G112">
        <v>1</v>
      </c>
      <c r="H112" t="s">
        <v>212</v>
      </c>
      <c r="I112" t="s">
        <v>216</v>
      </c>
      <c r="J112">
        <v>21.599999999999998</v>
      </c>
      <c r="L112">
        <v>0</v>
      </c>
      <c r="M112">
        <v>22</v>
      </c>
      <c r="N112">
        <v>22</v>
      </c>
      <c r="O112">
        <v>3</v>
      </c>
      <c r="P112">
        <v>0</v>
      </c>
      <c r="Q112">
        <v>7</v>
      </c>
      <c r="R112">
        <v>7</v>
      </c>
      <c r="S112">
        <v>8</v>
      </c>
      <c r="T112">
        <v>0</v>
      </c>
    </row>
    <row r="113" spans="1:21">
      <c r="A113" t="s">
        <v>21</v>
      </c>
      <c r="B113" t="s">
        <v>22</v>
      </c>
      <c r="C113" t="s">
        <v>209</v>
      </c>
      <c r="D113">
        <v>32</v>
      </c>
      <c r="E113" t="s">
        <v>210</v>
      </c>
      <c r="F113" t="s">
        <v>217</v>
      </c>
      <c r="G113">
        <v>1</v>
      </c>
      <c r="H113" t="s">
        <v>218</v>
      </c>
      <c r="I113" t="s">
        <v>219</v>
      </c>
      <c r="J113">
        <v>12</v>
      </c>
      <c r="L113">
        <v>0</v>
      </c>
      <c r="M113">
        <v>12</v>
      </c>
      <c r="N113">
        <v>12</v>
      </c>
      <c r="O113">
        <v>3</v>
      </c>
      <c r="P113">
        <v>0</v>
      </c>
      <c r="Q113">
        <v>4</v>
      </c>
      <c r="R113">
        <v>4</v>
      </c>
      <c r="S113">
        <v>4</v>
      </c>
      <c r="T113">
        <v>0</v>
      </c>
    </row>
    <row r="114" spans="1:21">
      <c r="A114" t="s">
        <v>21</v>
      </c>
      <c r="B114" t="s">
        <v>22</v>
      </c>
      <c r="C114" t="s">
        <v>209</v>
      </c>
      <c r="D114">
        <v>33</v>
      </c>
      <c r="E114" t="s">
        <v>210</v>
      </c>
      <c r="F114" t="s">
        <v>220</v>
      </c>
      <c r="G114">
        <v>1</v>
      </c>
      <c r="H114" t="s">
        <v>218</v>
      </c>
      <c r="I114" t="s">
        <v>219</v>
      </c>
      <c r="J114">
        <v>12</v>
      </c>
      <c r="L114">
        <v>0</v>
      </c>
      <c r="M114">
        <v>12</v>
      </c>
      <c r="N114">
        <v>12</v>
      </c>
      <c r="O114">
        <v>3</v>
      </c>
      <c r="P114">
        <v>0</v>
      </c>
      <c r="Q114">
        <v>4</v>
      </c>
      <c r="R114">
        <v>4</v>
      </c>
      <c r="S114">
        <v>4</v>
      </c>
      <c r="T114">
        <v>0</v>
      </c>
    </row>
    <row r="115" spans="1:21">
      <c r="A115" t="s">
        <v>21</v>
      </c>
      <c r="B115" t="s">
        <v>22</v>
      </c>
      <c r="C115" t="s">
        <v>209</v>
      </c>
      <c r="D115">
        <v>34</v>
      </c>
      <c r="E115" t="s">
        <v>210</v>
      </c>
      <c r="F115" t="s">
        <v>221</v>
      </c>
      <c r="G115">
        <v>1</v>
      </c>
      <c r="H115" t="s">
        <v>222</v>
      </c>
      <c r="I115" t="s">
        <v>223</v>
      </c>
      <c r="J115">
        <v>64.8</v>
      </c>
      <c r="L115">
        <v>0</v>
      </c>
      <c r="M115">
        <v>65</v>
      </c>
      <c r="N115">
        <v>65</v>
      </c>
      <c r="O115">
        <v>3</v>
      </c>
      <c r="P115">
        <v>0</v>
      </c>
      <c r="Q115">
        <v>21</v>
      </c>
      <c r="R115">
        <v>21</v>
      </c>
      <c r="S115">
        <v>23</v>
      </c>
      <c r="T115">
        <v>0</v>
      </c>
    </row>
    <row r="116" spans="1:21">
      <c r="A116" t="s">
        <v>21</v>
      </c>
      <c r="B116" t="s">
        <v>22</v>
      </c>
      <c r="C116" t="s">
        <v>209</v>
      </c>
      <c r="D116">
        <v>35</v>
      </c>
      <c r="E116" t="s">
        <v>210</v>
      </c>
      <c r="F116" t="s">
        <v>224</v>
      </c>
      <c r="G116">
        <v>1</v>
      </c>
      <c r="H116" t="s">
        <v>218</v>
      </c>
      <c r="I116" t="s">
        <v>219</v>
      </c>
      <c r="J116">
        <v>12</v>
      </c>
      <c r="L116">
        <v>0</v>
      </c>
      <c r="M116">
        <v>12</v>
      </c>
      <c r="N116">
        <v>12</v>
      </c>
      <c r="O116">
        <v>3</v>
      </c>
      <c r="P116">
        <v>0</v>
      </c>
      <c r="Q116">
        <v>4</v>
      </c>
      <c r="R116">
        <v>4</v>
      </c>
      <c r="S116">
        <v>4</v>
      </c>
      <c r="T116">
        <v>0</v>
      </c>
    </row>
    <row r="117" spans="1:21">
      <c r="A117" t="s">
        <v>21</v>
      </c>
      <c r="B117" t="s">
        <v>22</v>
      </c>
      <c r="C117" t="s">
        <v>209</v>
      </c>
      <c r="D117">
        <v>36</v>
      </c>
      <c r="E117" t="s">
        <v>210</v>
      </c>
      <c r="F117" t="s">
        <v>225</v>
      </c>
      <c r="G117">
        <v>1</v>
      </c>
      <c r="H117" t="s">
        <v>226</v>
      </c>
      <c r="I117" t="s">
        <v>227</v>
      </c>
      <c r="J117">
        <v>6</v>
      </c>
      <c r="L117">
        <v>0</v>
      </c>
      <c r="M117">
        <v>6</v>
      </c>
      <c r="N117">
        <v>6</v>
      </c>
      <c r="O117">
        <v>3</v>
      </c>
      <c r="P117">
        <v>0</v>
      </c>
      <c r="Q117">
        <v>2</v>
      </c>
      <c r="R117">
        <v>2</v>
      </c>
      <c r="S117">
        <v>2</v>
      </c>
      <c r="T117">
        <v>0</v>
      </c>
    </row>
    <row r="118" spans="1:21">
      <c r="A118" t="s">
        <v>21</v>
      </c>
      <c r="B118" t="s">
        <v>22</v>
      </c>
      <c r="C118" t="s">
        <v>209</v>
      </c>
      <c r="D118">
        <v>37</v>
      </c>
      <c r="E118" t="s">
        <v>210</v>
      </c>
      <c r="F118" t="s">
        <v>228</v>
      </c>
      <c r="G118">
        <v>1</v>
      </c>
      <c r="H118" t="s">
        <v>229</v>
      </c>
      <c r="I118" t="s">
        <v>230</v>
      </c>
      <c r="J118">
        <v>21</v>
      </c>
      <c r="L118">
        <v>0</v>
      </c>
      <c r="M118">
        <v>21</v>
      </c>
      <c r="N118">
        <v>21</v>
      </c>
      <c r="O118">
        <v>3</v>
      </c>
      <c r="P118">
        <v>0</v>
      </c>
      <c r="Q118">
        <v>7</v>
      </c>
      <c r="R118">
        <v>7</v>
      </c>
      <c r="S118">
        <v>7</v>
      </c>
      <c r="T118">
        <v>0</v>
      </c>
    </row>
    <row r="119" spans="1:21">
      <c r="A119" t="s">
        <v>21</v>
      </c>
      <c r="B119" t="s">
        <v>22</v>
      </c>
      <c r="C119" t="s">
        <v>209</v>
      </c>
      <c r="D119">
        <v>38</v>
      </c>
      <c r="E119" t="s">
        <v>210</v>
      </c>
      <c r="F119" t="s">
        <v>125</v>
      </c>
      <c r="G119">
        <v>1</v>
      </c>
      <c r="H119" t="s">
        <v>163</v>
      </c>
      <c r="I119" t="s">
        <v>149</v>
      </c>
      <c r="J119">
        <v>6</v>
      </c>
      <c r="L119">
        <v>0</v>
      </c>
      <c r="M119">
        <v>6</v>
      </c>
      <c r="N119">
        <v>6</v>
      </c>
      <c r="O119">
        <v>3</v>
      </c>
      <c r="P119">
        <v>0</v>
      </c>
      <c r="Q119">
        <v>2</v>
      </c>
      <c r="R119">
        <v>2</v>
      </c>
      <c r="S119">
        <v>2</v>
      </c>
      <c r="T119">
        <v>0</v>
      </c>
    </row>
    <row r="120" spans="1:21">
      <c r="A120" t="s">
        <v>21</v>
      </c>
      <c r="B120" t="s">
        <v>22</v>
      </c>
      <c r="C120" t="s">
        <v>209</v>
      </c>
      <c r="D120">
        <v>39</v>
      </c>
      <c r="E120" t="s">
        <v>210</v>
      </c>
      <c r="F120" t="s">
        <v>231</v>
      </c>
      <c r="G120">
        <v>1</v>
      </c>
      <c r="H120" t="s">
        <v>232</v>
      </c>
      <c r="I120" t="s">
        <v>233</v>
      </c>
      <c r="J120">
        <v>18</v>
      </c>
      <c r="L120">
        <v>0</v>
      </c>
      <c r="M120">
        <v>18</v>
      </c>
      <c r="N120">
        <v>18</v>
      </c>
      <c r="O120">
        <v>3</v>
      </c>
      <c r="P120">
        <v>0</v>
      </c>
      <c r="Q120">
        <v>6</v>
      </c>
      <c r="R120">
        <v>6</v>
      </c>
      <c r="S120">
        <v>6</v>
      </c>
      <c r="T120">
        <v>0</v>
      </c>
    </row>
    <row r="121" spans="1:21">
      <c r="A121" t="s">
        <v>21</v>
      </c>
      <c r="B121" t="s">
        <v>22</v>
      </c>
      <c r="C121" t="s">
        <v>209</v>
      </c>
      <c r="D121">
        <v>40</v>
      </c>
      <c r="E121" t="s">
        <v>210</v>
      </c>
      <c r="F121" t="s">
        <v>234</v>
      </c>
      <c r="G121">
        <v>1</v>
      </c>
      <c r="H121" t="s">
        <v>232</v>
      </c>
      <c r="I121" t="s">
        <v>233</v>
      </c>
      <c r="J121">
        <v>18</v>
      </c>
      <c r="L121">
        <v>0</v>
      </c>
      <c r="M121">
        <v>18</v>
      </c>
      <c r="N121">
        <v>18</v>
      </c>
      <c r="O121">
        <v>3</v>
      </c>
      <c r="P121">
        <v>0</v>
      </c>
      <c r="Q121">
        <v>6</v>
      </c>
      <c r="R121">
        <v>6</v>
      </c>
      <c r="S121">
        <v>6</v>
      </c>
      <c r="T121">
        <v>0</v>
      </c>
    </row>
    <row r="122" spans="1:21">
      <c r="A122" t="s">
        <v>21</v>
      </c>
      <c r="B122" t="s">
        <v>22</v>
      </c>
      <c r="C122" t="s">
        <v>209</v>
      </c>
      <c r="D122">
        <v>41</v>
      </c>
      <c r="E122" t="s">
        <v>210</v>
      </c>
      <c r="F122" t="s">
        <v>235</v>
      </c>
      <c r="G122">
        <v>1</v>
      </c>
      <c r="H122" t="s">
        <v>57</v>
      </c>
      <c r="I122" t="s">
        <v>139</v>
      </c>
      <c r="J122">
        <v>3</v>
      </c>
      <c r="L122">
        <v>0</v>
      </c>
      <c r="M122">
        <v>3</v>
      </c>
      <c r="N122">
        <v>3</v>
      </c>
      <c r="O122">
        <v>3</v>
      </c>
      <c r="P122">
        <v>0</v>
      </c>
      <c r="Q122">
        <v>1</v>
      </c>
      <c r="R122">
        <v>1</v>
      </c>
      <c r="S122">
        <v>1</v>
      </c>
      <c r="T122">
        <v>0</v>
      </c>
    </row>
    <row r="123" spans="1:21">
      <c r="A123" t="s">
        <v>21</v>
      </c>
      <c r="B123" t="s">
        <v>22</v>
      </c>
      <c r="C123" t="s">
        <v>209</v>
      </c>
      <c r="D123">
        <v>42</v>
      </c>
      <c r="E123" t="s">
        <v>210</v>
      </c>
      <c r="F123" t="s">
        <v>236</v>
      </c>
      <c r="G123">
        <v>1</v>
      </c>
      <c r="H123" t="s">
        <v>163</v>
      </c>
      <c r="I123" t="s">
        <v>149</v>
      </c>
      <c r="J123">
        <v>6</v>
      </c>
      <c r="L123">
        <v>0</v>
      </c>
      <c r="M123">
        <v>6</v>
      </c>
      <c r="N123">
        <v>6</v>
      </c>
      <c r="O123">
        <v>3</v>
      </c>
      <c r="P123">
        <v>0</v>
      </c>
      <c r="Q123">
        <v>2</v>
      </c>
      <c r="R123">
        <v>2</v>
      </c>
      <c r="S123">
        <v>2</v>
      </c>
      <c r="T123">
        <v>0</v>
      </c>
    </row>
    <row r="124" spans="1:21">
      <c r="A124" t="s">
        <v>21</v>
      </c>
      <c r="B124" t="s">
        <v>22</v>
      </c>
      <c r="C124" t="s">
        <v>209</v>
      </c>
      <c r="D124">
        <v>43</v>
      </c>
      <c r="E124" t="s">
        <v>210</v>
      </c>
      <c r="F124" t="s">
        <v>237</v>
      </c>
      <c r="G124">
        <v>1</v>
      </c>
      <c r="H124" t="s">
        <v>232</v>
      </c>
      <c r="I124" t="s">
        <v>233</v>
      </c>
      <c r="J124">
        <v>18</v>
      </c>
      <c r="L124">
        <v>0</v>
      </c>
      <c r="M124">
        <v>18</v>
      </c>
      <c r="N124">
        <v>18</v>
      </c>
      <c r="O124">
        <v>3</v>
      </c>
      <c r="P124">
        <v>0</v>
      </c>
      <c r="Q124">
        <v>6</v>
      </c>
      <c r="R124">
        <v>6</v>
      </c>
      <c r="S124">
        <v>6</v>
      </c>
      <c r="T124">
        <v>0</v>
      </c>
    </row>
    <row r="125" spans="1:21">
      <c r="A125" t="s">
        <v>21</v>
      </c>
      <c r="B125" t="s">
        <v>22</v>
      </c>
      <c r="C125" t="s">
        <v>209</v>
      </c>
      <c r="D125">
        <v>44</v>
      </c>
      <c r="E125" t="s">
        <v>210</v>
      </c>
      <c r="F125" t="s">
        <v>238</v>
      </c>
      <c r="G125">
        <v>1</v>
      </c>
      <c r="H125" t="s">
        <v>214</v>
      </c>
      <c r="I125" t="s">
        <v>159</v>
      </c>
      <c r="J125">
        <v>12</v>
      </c>
      <c r="L125">
        <v>0</v>
      </c>
      <c r="M125">
        <v>12</v>
      </c>
      <c r="N125">
        <v>12</v>
      </c>
      <c r="O125">
        <v>3</v>
      </c>
      <c r="P125">
        <v>0</v>
      </c>
      <c r="Q125">
        <v>4</v>
      </c>
      <c r="R125">
        <v>4</v>
      </c>
      <c r="S125">
        <v>4</v>
      </c>
      <c r="T125">
        <v>0</v>
      </c>
    </row>
    <row r="126" spans="1:21">
      <c r="A126" t="s">
        <v>21</v>
      </c>
      <c r="B126" t="s">
        <v>22</v>
      </c>
      <c r="C126" t="s">
        <v>209</v>
      </c>
      <c r="D126">
        <v>45</v>
      </c>
      <c r="E126" t="s">
        <v>210</v>
      </c>
      <c r="F126" t="s">
        <v>239</v>
      </c>
      <c r="G126">
        <v>1</v>
      </c>
      <c r="H126" t="s">
        <v>240</v>
      </c>
      <c r="I126" t="s">
        <v>241</v>
      </c>
      <c r="J126">
        <v>4</v>
      </c>
      <c r="L126">
        <v>0</v>
      </c>
      <c r="M126">
        <v>4</v>
      </c>
      <c r="N126">
        <v>4</v>
      </c>
      <c r="O126">
        <v>3</v>
      </c>
      <c r="P126">
        <v>0</v>
      </c>
      <c r="Q126">
        <v>1</v>
      </c>
      <c r="R126">
        <v>1</v>
      </c>
      <c r="S126">
        <v>2</v>
      </c>
      <c r="T126">
        <v>0</v>
      </c>
    </row>
    <row r="127" spans="1:21">
      <c r="A127" t="s">
        <v>21</v>
      </c>
      <c r="B127" t="s">
        <v>22</v>
      </c>
      <c r="C127" t="s">
        <v>209</v>
      </c>
      <c r="D127">
        <v>46</v>
      </c>
      <c r="E127" t="s">
        <v>210</v>
      </c>
      <c r="F127" t="s">
        <v>242</v>
      </c>
      <c r="G127">
        <v>1</v>
      </c>
      <c r="H127" t="s">
        <v>243</v>
      </c>
      <c r="I127" t="s">
        <v>244</v>
      </c>
      <c r="J127">
        <v>19.815000000000001</v>
      </c>
      <c r="L127">
        <v>0</v>
      </c>
      <c r="M127">
        <v>20</v>
      </c>
      <c r="N127">
        <v>20</v>
      </c>
      <c r="O127">
        <v>3</v>
      </c>
      <c r="P127">
        <v>0</v>
      </c>
      <c r="Q127">
        <v>6</v>
      </c>
      <c r="R127">
        <v>6</v>
      </c>
      <c r="S127">
        <v>8</v>
      </c>
      <c r="T127">
        <v>0</v>
      </c>
    </row>
    <row r="128" spans="1:21">
      <c r="A128" t="s">
        <v>21</v>
      </c>
      <c r="B128" t="s">
        <v>22</v>
      </c>
      <c r="C128" t="s">
        <v>245</v>
      </c>
      <c r="D128">
        <v>47</v>
      </c>
      <c r="E128" t="s">
        <v>246</v>
      </c>
      <c r="F128" t="s">
        <v>247</v>
      </c>
      <c r="G128">
        <v>3.75</v>
      </c>
      <c r="H128" t="s">
        <v>248</v>
      </c>
      <c r="I128" t="s">
        <v>249</v>
      </c>
      <c r="J128">
        <v>48</v>
      </c>
      <c r="L128">
        <v>0</v>
      </c>
      <c r="M128">
        <v>48</v>
      </c>
      <c r="N128">
        <v>48</v>
      </c>
      <c r="O128">
        <v>3</v>
      </c>
      <c r="P128">
        <v>0</v>
      </c>
      <c r="Q128">
        <v>16</v>
      </c>
      <c r="R128">
        <v>16</v>
      </c>
      <c r="S128">
        <v>16</v>
      </c>
      <c r="T128">
        <v>0</v>
      </c>
      <c r="U128" t="s">
        <v>171</v>
      </c>
    </row>
    <row r="129" spans="1:21">
      <c r="A129" t="s">
        <v>21</v>
      </c>
      <c r="B129" t="s">
        <v>22</v>
      </c>
      <c r="C129" t="s">
        <v>245</v>
      </c>
      <c r="D129">
        <v>48</v>
      </c>
      <c r="E129" t="s">
        <v>246</v>
      </c>
      <c r="F129" t="s">
        <v>250</v>
      </c>
      <c r="G129">
        <v>3.75</v>
      </c>
      <c r="H129" t="s">
        <v>214</v>
      </c>
      <c r="I129" t="s">
        <v>159</v>
      </c>
      <c r="J129">
        <v>12</v>
      </c>
      <c r="L129">
        <v>0</v>
      </c>
      <c r="M129">
        <v>12</v>
      </c>
      <c r="N129">
        <v>12</v>
      </c>
      <c r="O129">
        <v>3</v>
      </c>
      <c r="P129">
        <v>0</v>
      </c>
      <c r="Q129">
        <v>4</v>
      </c>
      <c r="R129">
        <v>4</v>
      </c>
      <c r="S129">
        <v>4</v>
      </c>
      <c r="T129">
        <v>0</v>
      </c>
      <c r="U129" t="s">
        <v>171</v>
      </c>
    </row>
    <row r="130" spans="1:21">
      <c r="A130" t="s">
        <v>21</v>
      </c>
      <c r="B130" t="s">
        <v>22</v>
      </c>
      <c r="C130" t="s">
        <v>245</v>
      </c>
      <c r="D130">
        <v>49</v>
      </c>
      <c r="E130" t="s">
        <v>246</v>
      </c>
      <c r="F130" t="s">
        <v>251</v>
      </c>
      <c r="G130">
        <v>3.75</v>
      </c>
      <c r="H130" t="s">
        <v>252</v>
      </c>
      <c r="I130" t="s">
        <v>253</v>
      </c>
      <c r="J130">
        <v>15</v>
      </c>
      <c r="L130">
        <v>0</v>
      </c>
      <c r="M130">
        <v>15</v>
      </c>
      <c r="N130">
        <v>15</v>
      </c>
      <c r="O130">
        <v>3</v>
      </c>
      <c r="P130">
        <v>0</v>
      </c>
      <c r="Q130">
        <v>5</v>
      </c>
      <c r="R130">
        <v>5</v>
      </c>
      <c r="S130">
        <v>5</v>
      </c>
      <c r="T130">
        <v>0</v>
      </c>
      <c r="U130" t="s">
        <v>171</v>
      </c>
    </row>
    <row r="131" spans="1:21">
      <c r="A131" t="s">
        <v>21</v>
      </c>
      <c r="B131" t="s">
        <v>22</v>
      </c>
      <c r="C131" t="s">
        <v>245</v>
      </c>
      <c r="D131">
        <v>50</v>
      </c>
      <c r="E131" t="s">
        <v>246</v>
      </c>
      <c r="F131" t="s">
        <v>254</v>
      </c>
      <c r="G131">
        <v>3.75</v>
      </c>
      <c r="H131" t="s">
        <v>163</v>
      </c>
      <c r="I131" t="s">
        <v>149</v>
      </c>
      <c r="J131">
        <v>6</v>
      </c>
      <c r="L131">
        <v>0</v>
      </c>
      <c r="M131">
        <v>6</v>
      </c>
      <c r="N131">
        <v>6</v>
      </c>
      <c r="O131">
        <v>3</v>
      </c>
      <c r="P131">
        <v>0</v>
      </c>
      <c r="Q131">
        <v>2</v>
      </c>
      <c r="R131">
        <v>2</v>
      </c>
      <c r="S131">
        <v>2</v>
      </c>
      <c r="T131">
        <v>0</v>
      </c>
      <c r="U131" t="s">
        <v>171</v>
      </c>
    </row>
    <row r="132" spans="1:21">
      <c r="A132" t="s">
        <v>21</v>
      </c>
      <c r="B132" t="s">
        <v>22</v>
      </c>
      <c r="C132" t="s">
        <v>245</v>
      </c>
      <c r="D132">
        <v>52</v>
      </c>
      <c r="E132" t="s">
        <v>255</v>
      </c>
      <c r="F132" t="s">
        <v>247</v>
      </c>
      <c r="G132">
        <v>1</v>
      </c>
      <c r="H132" t="s">
        <v>248</v>
      </c>
      <c r="I132" t="s">
        <v>256</v>
      </c>
      <c r="J132">
        <v>9</v>
      </c>
      <c r="L132">
        <v>0</v>
      </c>
      <c r="M132">
        <v>9</v>
      </c>
      <c r="N132">
        <v>9</v>
      </c>
      <c r="O132">
        <v>3</v>
      </c>
      <c r="P132">
        <v>0</v>
      </c>
      <c r="Q132">
        <v>3</v>
      </c>
      <c r="R132">
        <v>3</v>
      </c>
      <c r="S132">
        <v>3</v>
      </c>
      <c r="T132">
        <v>0</v>
      </c>
      <c r="U132" t="s">
        <v>194</v>
      </c>
    </row>
    <row r="133" spans="1:21">
      <c r="A133" t="s">
        <v>21</v>
      </c>
      <c r="B133" t="s">
        <v>22</v>
      </c>
      <c r="C133" t="s">
        <v>245</v>
      </c>
      <c r="D133">
        <v>53</v>
      </c>
      <c r="E133" t="s">
        <v>255</v>
      </c>
      <c r="F133" t="s">
        <v>250</v>
      </c>
      <c r="G133">
        <v>1</v>
      </c>
      <c r="H133" t="s">
        <v>163</v>
      </c>
      <c r="I133" t="s">
        <v>149</v>
      </c>
      <c r="J133">
        <v>6</v>
      </c>
      <c r="L133">
        <v>0</v>
      </c>
      <c r="M133">
        <v>6</v>
      </c>
      <c r="N133">
        <v>6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0</v>
      </c>
      <c r="U133" t="s">
        <v>194</v>
      </c>
    </row>
    <row r="134" spans="1:21">
      <c r="A134" t="s">
        <v>21</v>
      </c>
      <c r="B134" t="s">
        <v>22</v>
      </c>
      <c r="C134" t="s">
        <v>245</v>
      </c>
      <c r="D134">
        <v>54</v>
      </c>
      <c r="E134" t="s">
        <v>255</v>
      </c>
      <c r="F134" t="s">
        <v>251</v>
      </c>
      <c r="G134">
        <v>1</v>
      </c>
      <c r="H134" t="s">
        <v>57</v>
      </c>
      <c r="I134" t="s">
        <v>139</v>
      </c>
      <c r="J134">
        <v>3</v>
      </c>
      <c r="L134">
        <v>0</v>
      </c>
      <c r="M134">
        <v>3</v>
      </c>
      <c r="N134">
        <v>3</v>
      </c>
      <c r="O134">
        <v>3</v>
      </c>
      <c r="P134">
        <v>0</v>
      </c>
      <c r="Q134">
        <v>1</v>
      </c>
      <c r="R134">
        <v>1</v>
      </c>
      <c r="S134">
        <v>1</v>
      </c>
      <c r="T134">
        <v>0</v>
      </c>
      <c r="U134" t="s">
        <v>194</v>
      </c>
    </row>
    <row r="135" spans="1:21">
      <c r="A135" t="s">
        <v>21</v>
      </c>
      <c r="B135" t="s">
        <v>22</v>
      </c>
      <c r="C135" t="s">
        <v>245</v>
      </c>
      <c r="D135">
        <v>55</v>
      </c>
      <c r="E135" t="s">
        <v>255</v>
      </c>
      <c r="F135" t="s">
        <v>254</v>
      </c>
      <c r="G135">
        <v>1</v>
      </c>
      <c r="H135" t="s">
        <v>57</v>
      </c>
      <c r="I135" t="s">
        <v>139</v>
      </c>
      <c r="J135">
        <v>3</v>
      </c>
      <c r="L135">
        <v>0</v>
      </c>
      <c r="M135">
        <v>3</v>
      </c>
      <c r="N135">
        <v>3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0</v>
      </c>
      <c r="U135" t="s">
        <v>194</v>
      </c>
    </row>
    <row r="136" spans="1:21">
      <c r="A136" t="s">
        <v>21</v>
      </c>
      <c r="B136" t="s">
        <v>22</v>
      </c>
      <c r="C136" t="s">
        <v>245</v>
      </c>
      <c r="D136">
        <v>56</v>
      </c>
      <c r="E136" t="s">
        <v>257</v>
      </c>
      <c r="F136" t="s">
        <v>247</v>
      </c>
      <c r="G136">
        <v>1.875</v>
      </c>
      <c r="H136" t="s">
        <v>248</v>
      </c>
      <c r="I136" t="s">
        <v>258</v>
      </c>
      <c r="J136">
        <v>3</v>
      </c>
      <c r="L136">
        <v>0</v>
      </c>
      <c r="M136">
        <v>3</v>
      </c>
      <c r="N136">
        <v>3</v>
      </c>
      <c r="O136">
        <v>3</v>
      </c>
      <c r="P136">
        <v>0</v>
      </c>
      <c r="Q136">
        <v>1</v>
      </c>
      <c r="R136">
        <v>1</v>
      </c>
      <c r="S136">
        <v>1</v>
      </c>
      <c r="T136">
        <v>0</v>
      </c>
      <c r="U136" t="s">
        <v>203</v>
      </c>
    </row>
    <row r="137" spans="1:21">
      <c r="A137" t="s">
        <v>21</v>
      </c>
      <c r="B137" t="s">
        <v>22</v>
      </c>
      <c r="C137" t="s">
        <v>245</v>
      </c>
      <c r="D137">
        <v>57</v>
      </c>
      <c r="E137" t="s">
        <v>257</v>
      </c>
      <c r="F137" t="s">
        <v>250</v>
      </c>
      <c r="G137">
        <v>1.875</v>
      </c>
      <c r="H137" t="s">
        <v>57</v>
      </c>
      <c r="I137" t="s">
        <v>139</v>
      </c>
      <c r="J137">
        <v>3</v>
      </c>
      <c r="L137">
        <v>0</v>
      </c>
      <c r="M137">
        <v>3</v>
      </c>
      <c r="N137">
        <v>3</v>
      </c>
      <c r="O137">
        <v>3</v>
      </c>
      <c r="P137">
        <v>0</v>
      </c>
      <c r="Q137">
        <v>1</v>
      </c>
      <c r="R137">
        <v>1</v>
      </c>
      <c r="S137">
        <v>1</v>
      </c>
      <c r="T137">
        <v>0</v>
      </c>
      <c r="U137" t="s">
        <v>203</v>
      </c>
    </row>
    <row r="138" spans="1:21">
      <c r="A138" t="s">
        <v>21</v>
      </c>
      <c r="B138" t="s">
        <v>22</v>
      </c>
      <c r="C138" t="s">
        <v>245</v>
      </c>
      <c r="D138">
        <v>58</v>
      </c>
      <c r="E138" t="s">
        <v>257</v>
      </c>
      <c r="F138" t="s">
        <v>251</v>
      </c>
      <c r="G138">
        <v>1.875</v>
      </c>
      <c r="H138" t="s">
        <v>259</v>
      </c>
      <c r="I138" t="s">
        <v>260</v>
      </c>
      <c r="J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203</v>
      </c>
    </row>
    <row r="139" spans="1:21">
      <c r="A139" t="s">
        <v>21</v>
      </c>
      <c r="B139" t="s">
        <v>22</v>
      </c>
      <c r="C139" t="s">
        <v>245</v>
      </c>
      <c r="D139">
        <v>59</v>
      </c>
      <c r="E139" t="s">
        <v>257</v>
      </c>
      <c r="F139" t="s">
        <v>254</v>
      </c>
      <c r="G139">
        <v>1.875</v>
      </c>
      <c r="H139" t="s">
        <v>259</v>
      </c>
      <c r="I139" t="s">
        <v>260</v>
      </c>
      <c r="J139">
        <v>0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203</v>
      </c>
    </row>
    <row r="140" spans="1:21">
      <c r="A140" t="s">
        <v>21</v>
      </c>
      <c r="B140" t="s">
        <v>22</v>
      </c>
      <c r="C140" t="s">
        <v>261</v>
      </c>
      <c r="D140">
        <v>60</v>
      </c>
      <c r="E140" t="s">
        <v>261</v>
      </c>
      <c r="F140" t="s">
        <v>132</v>
      </c>
      <c r="G140">
        <v>1</v>
      </c>
      <c r="H140" t="s">
        <v>57</v>
      </c>
      <c r="I140" t="s">
        <v>139</v>
      </c>
      <c r="J140">
        <v>3</v>
      </c>
      <c r="L140">
        <v>0</v>
      </c>
      <c r="M140">
        <v>3</v>
      </c>
      <c r="N140">
        <v>3</v>
      </c>
      <c r="O140">
        <v>3</v>
      </c>
      <c r="P140">
        <v>0</v>
      </c>
      <c r="Q140">
        <v>1</v>
      </c>
      <c r="R140">
        <v>1</v>
      </c>
      <c r="S140">
        <v>1</v>
      </c>
      <c r="T140">
        <v>0</v>
      </c>
    </row>
    <row r="141" spans="1:21">
      <c r="A141" t="s">
        <v>21</v>
      </c>
      <c r="B141" t="s">
        <v>22</v>
      </c>
      <c r="C141" t="s">
        <v>261</v>
      </c>
      <c r="D141">
        <v>61</v>
      </c>
      <c r="E141" t="s">
        <v>261</v>
      </c>
      <c r="F141" t="s">
        <v>73</v>
      </c>
      <c r="G141">
        <v>1</v>
      </c>
      <c r="H141" t="s">
        <v>57</v>
      </c>
      <c r="I141" t="s">
        <v>139</v>
      </c>
      <c r="J141">
        <v>3</v>
      </c>
      <c r="L141">
        <v>0</v>
      </c>
      <c r="M141">
        <v>3</v>
      </c>
      <c r="N141">
        <v>3</v>
      </c>
      <c r="O141">
        <v>3</v>
      </c>
      <c r="P141">
        <v>0</v>
      </c>
      <c r="Q141">
        <v>1</v>
      </c>
      <c r="R141">
        <v>1</v>
      </c>
      <c r="S141">
        <v>1</v>
      </c>
      <c r="T141">
        <v>0</v>
      </c>
    </row>
    <row r="142" spans="1:21">
      <c r="A142" t="s">
        <v>21</v>
      </c>
      <c r="B142" t="s">
        <v>22</v>
      </c>
      <c r="C142" t="s">
        <v>261</v>
      </c>
      <c r="D142">
        <v>62</v>
      </c>
      <c r="E142" t="s">
        <v>261</v>
      </c>
      <c r="F142" t="s">
        <v>262</v>
      </c>
      <c r="G142">
        <v>1</v>
      </c>
      <c r="H142" t="s">
        <v>57</v>
      </c>
      <c r="I142" t="s">
        <v>139</v>
      </c>
      <c r="J142">
        <v>3</v>
      </c>
      <c r="L142">
        <v>0</v>
      </c>
      <c r="M142">
        <v>3</v>
      </c>
      <c r="N142">
        <v>3</v>
      </c>
      <c r="O142">
        <v>3</v>
      </c>
      <c r="P142">
        <v>0</v>
      </c>
      <c r="Q142">
        <v>1</v>
      </c>
      <c r="R142">
        <v>1</v>
      </c>
      <c r="S142">
        <v>1</v>
      </c>
      <c r="T142">
        <v>0</v>
      </c>
    </row>
    <row r="143" spans="1:21">
      <c r="A143" t="s">
        <v>21</v>
      </c>
      <c r="B143" t="s">
        <v>22</v>
      </c>
      <c r="C143" t="s">
        <v>261</v>
      </c>
      <c r="D143">
        <v>63</v>
      </c>
      <c r="E143" t="s">
        <v>261</v>
      </c>
      <c r="F143" t="s">
        <v>263</v>
      </c>
      <c r="G143">
        <v>1</v>
      </c>
      <c r="H143" t="s">
        <v>264</v>
      </c>
      <c r="I143" t="s">
        <v>265</v>
      </c>
      <c r="J143">
        <v>2</v>
      </c>
      <c r="L143">
        <v>0</v>
      </c>
      <c r="M143">
        <v>2</v>
      </c>
      <c r="N143">
        <v>2</v>
      </c>
      <c r="O143">
        <v>3</v>
      </c>
      <c r="P143">
        <v>0</v>
      </c>
      <c r="Q143">
        <v>0</v>
      </c>
      <c r="R143">
        <v>0</v>
      </c>
      <c r="S143">
        <v>2</v>
      </c>
      <c r="T143">
        <v>0</v>
      </c>
    </row>
    <row r="144" spans="1:21">
      <c r="A144" t="s">
        <v>21</v>
      </c>
      <c r="B144" t="s">
        <v>22</v>
      </c>
      <c r="C144" t="s">
        <v>261</v>
      </c>
      <c r="D144">
        <v>64</v>
      </c>
      <c r="E144" t="s">
        <v>261</v>
      </c>
      <c r="F144" t="s">
        <v>266</v>
      </c>
      <c r="G144">
        <v>1</v>
      </c>
      <c r="H144" t="s">
        <v>267</v>
      </c>
      <c r="I144" t="s">
        <v>268</v>
      </c>
      <c r="J144">
        <v>1</v>
      </c>
      <c r="L144">
        <v>0</v>
      </c>
      <c r="M144">
        <v>1</v>
      </c>
      <c r="N144">
        <v>1</v>
      </c>
      <c r="O144">
        <v>3</v>
      </c>
      <c r="P144">
        <v>0</v>
      </c>
      <c r="Q144">
        <v>0</v>
      </c>
      <c r="R144">
        <v>0</v>
      </c>
      <c r="S144">
        <v>1</v>
      </c>
      <c r="T144">
        <v>0</v>
      </c>
    </row>
    <row r="145" spans="1:20">
      <c r="A145" t="s">
        <v>21</v>
      </c>
      <c r="B145" t="s">
        <v>22</v>
      </c>
      <c r="C145" t="s">
        <v>261</v>
      </c>
      <c r="D145">
        <v>65</v>
      </c>
      <c r="E145" t="s">
        <v>261</v>
      </c>
      <c r="F145" t="s">
        <v>269</v>
      </c>
      <c r="G145">
        <v>1</v>
      </c>
      <c r="H145" t="s">
        <v>57</v>
      </c>
      <c r="I145" t="s">
        <v>139</v>
      </c>
      <c r="J145">
        <v>3</v>
      </c>
      <c r="L145">
        <v>0</v>
      </c>
      <c r="M145">
        <v>3</v>
      </c>
      <c r="N145">
        <v>3</v>
      </c>
      <c r="O145">
        <v>3</v>
      </c>
      <c r="P145">
        <v>0</v>
      </c>
      <c r="Q145">
        <v>1</v>
      </c>
      <c r="R145">
        <v>1</v>
      </c>
      <c r="S145">
        <v>1</v>
      </c>
      <c r="T145">
        <v>0</v>
      </c>
    </row>
    <row r="146" spans="1:20">
      <c r="A146" t="s">
        <v>21</v>
      </c>
      <c r="B146" t="s">
        <v>22</v>
      </c>
      <c r="C146" t="s">
        <v>261</v>
      </c>
      <c r="D146">
        <v>66</v>
      </c>
      <c r="E146" t="s">
        <v>261</v>
      </c>
      <c r="F146" t="s">
        <v>270</v>
      </c>
      <c r="G146">
        <v>2</v>
      </c>
      <c r="H146" t="s">
        <v>163</v>
      </c>
      <c r="I146" t="s">
        <v>149</v>
      </c>
      <c r="J146">
        <v>6</v>
      </c>
      <c r="L146">
        <v>0</v>
      </c>
      <c r="M146">
        <v>6</v>
      </c>
      <c r="N146">
        <v>6</v>
      </c>
      <c r="O146">
        <v>3</v>
      </c>
      <c r="P146">
        <v>0</v>
      </c>
      <c r="Q146">
        <v>2</v>
      </c>
      <c r="R146">
        <v>2</v>
      </c>
      <c r="S146">
        <v>2</v>
      </c>
      <c r="T146">
        <v>0</v>
      </c>
    </row>
    <row r="147" spans="1:20">
      <c r="A147" t="s">
        <v>21</v>
      </c>
      <c r="B147" t="s">
        <v>22</v>
      </c>
      <c r="C147" t="s">
        <v>261</v>
      </c>
      <c r="D147">
        <v>67</v>
      </c>
      <c r="E147" t="s">
        <v>261</v>
      </c>
      <c r="F147" t="s">
        <v>239</v>
      </c>
      <c r="G147">
        <v>1</v>
      </c>
      <c r="H147" t="s">
        <v>57</v>
      </c>
      <c r="I147" t="s">
        <v>139</v>
      </c>
      <c r="J147">
        <v>3</v>
      </c>
      <c r="L147">
        <v>0</v>
      </c>
      <c r="M147">
        <v>3</v>
      </c>
      <c r="N147">
        <v>3</v>
      </c>
      <c r="O147">
        <v>3</v>
      </c>
      <c r="P147">
        <v>0</v>
      </c>
      <c r="Q147">
        <v>1</v>
      </c>
      <c r="R147">
        <v>1</v>
      </c>
      <c r="S147">
        <v>1</v>
      </c>
      <c r="T147">
        <v>0</v>
      </c>
    </row>
    <row r="148" spans="1:20">
      <c r="A148" t="s">
        <v>21</v>
      </c>
      <c r="B148" t="s">
        <v>22</v>
      </c>
      <c r="C148" t="s">
        <v>261</v>
      </c>
      <c r="D148">
        <v>68</v>
      </c>
      <c r="E148" t="s">
        <v>261</v>
      </c>
      <c r="F148" t="s">
        <v>271</v>
      </c>
      <c r="G148">
        <v>2</v>
      </c>
      <c r="H148" t="s">
        <v>272</v>
      </c>
      <c r="I148" t="s">
        <v>273</v>
      </c>
      <c r="J148">
        <v>4</v>
      </c>
      <c r="L148">
        <v>0</v>
      </c>
      <c r="M148">
        <v>4</v>
      </c>
      <c r="N148">
        <v>4</v>
      </c>
      <c r="O148">
        <v>3</v>
      </c>
      <c r="P148">
        <v>0</v>
      </c>
      <c r="Q148">
        <v>1</v>
      </c>
      <c r="R148">
        <v>1</v>
      </c>
      <c r="S148">
        <v>2</v>
      </c>
      <c r="T148">
        <v>0</v>
      </c>
    </row>
    <row r="149" spans="1:20">
      <c r="A149" t="s">
        <v>21</v>
      </c>
      <c r="B149" t="s">
        <v>22</v>
      </c>
      <c r="C149" t="s">
        <v>261</v>
      </c>
      <c r="D149">
        <v>69</v>
      </c>
      <c r="E149" t="s">
        <v>261</v>
      </c>
      <c r="F149" t="s">
        <v>274</v>
      </c>
      <c r="G149">
        <v>1</v>
      </c>
      <c r="H149" t="s">
        <v>264</v>
      </c>
      <c r="I149" t="s">
        <v>265</v>
      </c>
      <c r="J149">
        <v>2</v>
      </c>
      <c r="L149">
        <v>0</v>
      </c>
      <c r="M149">
        <v>2</v>
      </c>
      <c r="N149">
        <v>2</v>
      </c>
      <c r="O149">
        <v>3</v>
      </c>
      <c r="P149">
        <v>0</v>
      </c>
      <c r="Q149">
        <v>0</v>
      </c>
      <c r="R149">
        <v>0</v>
      </c>
      <c r="S149">
        <v>2</v>
      </c>
      <c r="T149">
        <v>0</v>
      </c>
    </row>
    <row r="150" spans="1:20">
      <c r="A150" t="s">
        <v>21</v>
      </c>
      <c r="B150" t="s">
        <v>22</v>
      </c>
      <c r="C150" t="s">
        <v>261</v>
      </c>
      <c r="D150">
        <v>70</v>
      </c>
      <c r="E150" t="s">
        <v>261</v>
      </c>
      <c r="F150" t="s">
        <v>275</v>
      </c>
      <c r="G150">
        <v>1</v>
      </c>
      <c r="H150" t="s">
        <v>57</v>
      </c>
      <c r="I150" t="s">
        <v>139</v>
      </c>
      <c r="J150">
        <v>3</v>
      </c>
      <c r="L150">
        <v>0</v>
      </c>
      <c r="M150">
        <v>3</v>
      </c>
      <c r="N150">
        <v>3</v>
      </c>
      <c r="O150">
        <v>3</v>
      </c>
      <c r="P150">
        <v>0</v>
      </c>
      <c r="Q150">
        <v>1</v>
      </c>
      <c r="R150">
        <v>1</v>
      </c>
      <c r="S150">
        <v>1</v>
      </c>
      <c r="T150">
        <v>0</v>
      </c>
    </row>
    <row r="151" spans="1:20">
      <c r="A151" t="s">
        <v>21</v>
      </c>
      <c r="B151" t="s">
        <v>22</v>
      </c>
      <c r="C151" t="s">
        <v>261</v>
      </c>
      <c r="D151">
        <v>71</v>
      </c>
      <c r="E151" t="s">
        <v>261</v>
      </c>
      <c r="F151" t="s">
        <v>276</v>
      </c>
      <c r="G151">
        <v>1</v>
      </c>
      <c r="H151" t="s">
        <v>57</v>
      </c>
      <c r="I151" t="s">
        <v>139</v>
      </c>
      <c r="J151">
        <v>3</v>
      </c>
      <c r="L151">
        <v>0</v>
      </c>
      <c r="M151">
        <v>3</v>
      </c>
      <c r="N151">
        <v>3</v>
      </c>
      <c r="O151">
        <v>3</v>
      </c>
      <c r="P151">
        <v>0</v>
      </c>
      <c r="Q151">
        <v>1</v>
      </c>
      <c r="R151">
        <v>1</v>
      </c>
      <c r="S151">
        <v>1</v>
      </c>
      <c r="T151">
        <v>0</v>
      </c>
    </row>
    <row r="152" spans="1:20">
      <c r="A152" s="14" t="s">
        <v>21</v>
      </c>
      <c r="B152" s="14" t="s">
        <v>22</v>
      </c>
      <c r="C152" s="14" t="s">
        <v>277</v>
      </c>
      <c r="D152" s="14">
        <v>1</v>
      </c>
      <c r="E152" s="14"/>
      <c r="F152" s="14" t="s">
        <v>278</v>
      </c>
      <c r="G152" s="14">
        <v>1</v>
      </c>
      <c r="H152" s="14" t="s">
        <v>279</v>
      </c>
      <c r="I152" s="14" t="s">
        <v>139</v>
      </c>
      <c r="J152" s="16">
        <v>3</v>
      </c>
      <c r="K152" s="14"/>
      <c r="L152" s="14">
        <v>0</v>
      </c>
      <c r="M152" s="14">
        <v>3</v>
      </c>
      <c r="N152" s="15">
        <v>3</v>
      </c>
      <c r="O152" s="14">
        <v>3</v>
      </c>
      <c r="P152" s="14">
        <v>0</v>
      </c>
      <c r="Q152" s="14">
        <v>1</v>
      </c>
      <c r="R152" s="14">
        <v>1</v>
      </c>
      <c r="S152" s="14">
        <v>1</v>
      </c>
      <c r="T152" s="14">
        <v>0</v>
      </c>
    </row>
    <row r="153" spans="1:20">
      <c r="A153" s="14" t="s">
        <v>21</v>
      </c>
      <c r="B153" s="14" t="s">
        <v>22</v>
      </c>
      <c r="C153" s="14" t="s">
        <v>277</v>
      </c>
      <c r="D153" s="14">
        <v>2</v>
      </c>
      <c r="E153" s="14"/>
      <c r="F153" s="14" t="s">
        <v>280</v>
      </c>
      <c r="G153" s="14">
        <v>1</v>
      </c>
      <c r="H153" s="14" t="s">
        <v>281</v>
      </c>
      <c r="I153" s="14" t="s">
        <v>146</v>
      </c>
      <c r="J153" s="16">
        <v>9</v>
      </c>
      <c r="K153" s="14"/>
      <c r="L153" s="14">
        <v>0</v>
      </c>
      <c r="M153" s="14">
        <v>9</v>
      </c>
      <c r="N153" s="15">
        <v>9</v>
      </c>
      <c r="O153" s="14">
        <v>3</v>
      </c>
      <c r="P153" s="14">
        <v>0</v>
      </c>
      <c r="Q153" s="14">
        <v>3</v>
      </c>
      <c r="R153" s="14">
        <v>3</v>
      </c>
      <c r="S153" s="14">
        <v>3</v>
      </c>
      <c r="T153" s="14">
        <v>0</v>
      </c>
    </row>
    <row r="154" spans="1:20">
      <c r="A154" s="14" t="s">
        <v>21</v>
      </c>
      <c r="B154" s="14" t="s">
        <v>22</v>
      </c>
      <c r="C154" s="14" t="s">
        <v>277</v>
      </c>
      <c r="D154" s="14">
        <v>3</v>
      </c>
      <c r="E154" s="14"/>
      <c r="F154" s="14" t="s">
        <v>282</v>
      </c>
      <c r="G154" s="14">
        <v>1</v>
      </c>
      <c r="H154" s="14" t="s">
        <v>283</v>
      </c>
      <c r="I154" s="14" t="s">
        <v>273</v>
      </c>
      <c r="J154" s="16">
        <v>4</v>
      </c>
      <c r="K154" s="14"/>
      <c r="L154" s="14">
        <v>0</v>
      </c>
      <c r="M154" s="14">
        <v>4</v>
      </c>
      <c r="N154" s="15">
        <v>4</v>
      </c>
      <c r="O154" s="14">
        <v>2</v>
      </c>
      <c r="P154" s="14">
        <v>0</v>
      </c>
      <c r="Q154" s="14">
        <v>2</v>
      </c>
      <c r="R154" s="14">
        <v>2</v>
      </c>
      <c r="S154" s="14">
        <v>0</v>
      </c>
      <c r="T154" s="14">
        <v>0</v>
      </c>
    </row>
    <row r="155" spans="1:20">
      <c r="A155" s="14" t="s">
        <v>21</v>
      </c>
      <c r="B155" s="14" t="s">
        <v>22</v>
      </c>
      <c r="C155" s="14" t="s">
        <v>277</v>
      </c>
      <c r="D155" s="14">
        <v>4</v>
      </c>
      <c r="E155" s="14"/>
      <c r="F155" s="14" t="s">
        <v>284</v>
      </c>
      <c r="G155" s="14">
        <v>1</v>
      </c>
      <c r="H155" s="14" t="s">
        <v>279</v>
      </c>
      <c r="I155" s="14" t="s">
        <v>139</v>
      </c>
      <c r="J155" s="16">
        <v>3</v>
      </c>
      <c r="K155" s="14"/>
      <c r="L155" s="14">
        <v>0</v>
      </c>
      <c r="M155" s="14">
        <v>3</v>
      </c>
      <c r="N155" s="15">
        <v>3</v>
      </c>
      <c r="O155" s="14">
        <v>3</v>
      </c>
      <c r="P155" s="14">
        <v>0</v>
      </c>
      <c r="Q155" s="14">
        <v>1</v>
      </c>
      <c r="R155" s="14">
        <v>1</v>
      </c>
      <c r="S155" s="14">
        <v>1</v>
      </c>
      <c r="T155" s="14">
        <v>0</v>
      </c>
    </row>
    <row r="156" spans="1:20">
      <c r="A156" s="14" t="s">
        <v>21</v>
      </c>
      <c r="B156" s="14" t="s">
        <v>22</v>
      </c>
      <c r="C156" s="14" t="s">
        <v>277</v>
      </c>
      <c r="D156" s="14">
        <v>5</v>
      </c>
      <c r="E156" s="14"/>
      <c r="F156" s="14" t="s">
        <v>285</v>
      </c>
      <c r="G156" s="14">
        <v>1</v>
      </c>
      <c r="H156" s="14" t="s">
        <v>286</v>
      </c>
      <c r="I156" s="14" t="s">
        <v>287</v>
      </c>
      <c r="J156" s="16">
        <v>4</v>
      </c>
      <c r="K156" s="14"/>
      <c r="L156" s="14">
        <v>4</v>
      </c>
      <c r="M156" s="14">
        <v>0</v>
      </c>
      <c r="N156" s="15">
        <v>4</v>
      </c>
      <c r="O156" s="14">
        <v>1</v>
      </c>
      <c r="P156" s="14">
        <v>4</v>
      </c>
      <c r="Q156" s="14">
        <v>0</v>
      </c>
      <c r="R156" s="14">
        <v>0</v>
      </c>
      <c r="S156" s="14">
        <v>0</v>
      </c>
      <c r="T156" s="14">
        <v>0</v>
      </c>
    </row>
    <row r="157" spans="1:20">
      <c r="A157" s="14" t="s">
        <v>21</v>
      </c>
      <c r="B157" s="14" t="s">
        <v>22</v>
      </c>
      <c r="C157" s="14" t="s">
        <v>277</v>
      </c>
      <c r="D157" s="14">
        <v>6</v>
      </c>
      <c r="E157" s="14"/>
      <c r="F157" s="14" t="s">
        <v>288</v>
      </c>
      <c r="G157" s="14">
        <v>1</v>
      </c>
      <c r="H157" s="14" t="s">
        <v>289</v>
      </c>
      <c r="I157" s="14" t="s">
        <v>268</v>
      </c>
      <c r="J157" s="16">
        <v>1</v>
      </c>
      <c r="K157" s="14"/>
      <c r="L157" s="14">
        <v>1</v>
      </c>
      <c r="M157" s="14">
        <v>0</v>
      </c>
      <c r="N157" s="15">
        <v>1</v>
      </c>
      <c r="O157" s="14">
        <v>1</v>
      </c>
      <c r="P157" s="14">
        <v>1</v>
      </c>
      <c r="Q157" s="14">
        <v>0</v>
      </c>
      <c r="R157" s="14">
        <v>0</v>
      </c>
      <c r="S157" s="14">
        <v>0</v>
      </c>
      <c r="T157" s="14">
        <v>0</v>
      </c>
    </row>
    <row r="158" spans="1:20">
      <c r="A158" s="14" t="s">
        <v>21</v>
      </c>
      <c r="B158" s="14" t="s">
        <v>22</v>
      </c>
      <c r="C158" s="14" t="s">
        <v>290</v>
      </c>
      <c r="D158" s="14">
        <v>1</v>
      </c>
      <c r="E158" s="14"/>
      <c r="F158" s="14" t="s">
        <v>291</v>
      </c>
      <c r="G158" s="14">
        <v>1</v>
      </c>
      <c r="H158" s="14" t="s">
        <v>163</v>
      </c>
      <c r="I158" s="14" t="s">
        <v>149</v>
      </c>
      <c r="J158" s="16">
        <v>6</v>
      </c>
      <c r="K158" s="14"/>
      <c r="L158" s="14">
        <v>0</v>
      </c>
      <c r="M158" s="14">
        <v>6</v>
      </c>
      <c r="N158" s="15">
        <v>6</v>
      </c>
      <c r="O158" s="14">
        <v>3</v>
      </c>
      <c r="P158" s="14">
        <v>0</v>
      </c>
      <c r="Q158" s="14">
        <v>2</v>
      </c>
      <c r="R158" s="14">
        <v>2</v>
      </c>
      <c r="S158" s="14">
        <v>2</v>
      </c>
      <c r="T158" s="14">
        <v>0</v>
      </c>
    </row>
    <row r="159" spans="1:20">
      <c r="A159" s="14" t="s">
        <v>21</v>
      </c>
      <c r="B159" s="14" t="s">
        <v>22</v>
      </c>
      <c r="C159" s="14" t="s">
        <v>290</v>
      </c>
      <c r="D159" s="14">
        <v>2</v>
      </c>
      <c r="E159" s="14"/>
      <c r="F159" s="14" t="s">
        <v>125</v>
      </c>
      <c r="G159" s="14">
        <v>1</v>
      </c>
      <c r="H159" s="14" t="s">
        <v>57</v>
      </c>
      <c r="I159" s="14" t="s">
        <v>139</v>
      </c>
      <c r="J159" s="16">
        <v>3</v>
      </c>
      <c r="K159" s="14"/>
      <c r="L159" s="14">
        <v>0</v>
      </c>
      <c r="M159" s="14">
        <v>3</v>
      </c>
      <c r="N159" s="15">
        <v>3</v>
      </c>
      <c r="O159" s="14">
        <v>3</v>
      </c>
      <c r="P159" s="14">
        <v>0</v>
      </c>
      <c r="Q159" s="14">
        <v>1</v>
      </c>
      <c r="R159" s="14">
        <v>1</v>
      </c>
      <c r="S159" s="14">
        <v>1</v>
      </c>
      <c r="T159" s="14">
        <v>0</v>
      </c>
    </row>
    <row r="160" spans="1:20">
      <c r="A160" s="14" t="s">
        <v>21</v>
      </c>
      <c r="B160" s="14" t="s">
        <v>22</v>
      </c>
      <c r="C160" s="14" t="s">
        <v>290</v>
      </c>
      <c r="D160" s="14">
        <v>3</v>
      </c>
      <c r="E160" s="14"/>
      <c r="F160" s="14" t="s">
        <v>292</v>
      </c>
      <c r="G160" s="14">
        <v>1</v>
      </c>
      <c r="H160" s="14" t="s">
        <v>57</v>
      </c>
      <c r="I160" s="14" t="s">
        <v>139</v>
      </c>
      <c r="J160" s="16">
        <v>3</v>
      </c>
      <c r="K160" s="14"/>
      <c r="L160" s="14">
        <v>0</v>
      </c>
      <c r="M160" s="14">
        <v>3</v>
      </c>
      <c r="N160" s="15">
        <v>3</v>
      </c>
      <c r="O160" s="14">
        <v>3</v>
      </c>
      <c r="P160" s="14">
        <v>0</v>
      </c>
      <c r="Q160" s="14">
        <v>1</v>
      </c>
      <c r="R160" s="14">
        <v>1</v>
      </c>
      <c r="S160" s="14">
        <v>1</v>
      </c>
      <c r="T160" s="14">
        <v>0</v>
      </c>
    </row>
    <row r="161" spans="1:20">
      <c r="A161" s="14" t="s">
        <v>21</v>
      </c>
      <c r="B161" s="14" t="s">
        <v>22</v>
      </c>
      <c r="C161" s="14" t="s">
        <v>290</v>
      </c>
      <c r="D161" s="14">
        <v>4</v>
      </c>
      <c r="E161" s="14"/>
      <c r="F161" s="14" t="s">
        <v>293</v>
      </c>
      <c r="G161" s="14">
        <v>1</v>
      </c>
      <c r="H161" s="14" t="s">
        <v>286</v>
      </c>
      <c r="I161" s="14" t="s">
        <v>287</v>
      </c>
      <c r="J161" s="16">
        <v>4</v>
      </c>
      <c r="K161" s="14"/>
      <c r="L161" s="14">
        <v>0</v>
      </c>
      <c r="M161" s="14">
        <v>4</v>
      </c>
      <c r="N161" s="15">
        <v>4</v>
      </c>
      <c r="O161" s="14">
        <v>1</v>
      </c>
      <c r="P161" s="14">
        <v>4</v>
      </c>
      <c r="Q161" s="14">
        <v>0</v>
      </c>
      <c r="R161" s="14">
        <v>0</v>
      </c>
      <c r="S161" s="14">
        <v>0</v>
      </c>
      <c r="T161" s="14">
        <v>0</v>
      </c>
    </row>
    <row r="162" spans="1:20">
      <c r="A162" s="14" t="s">
        <v>21</v>
      </c>
      <c r="B162" s="14" t="s">
        <v>22</v>
      </c>
      <c r="C162" s="14" t="s">
        <v>294</v>
      </c>
      <c r="D162" s="14">
        <v>1</v>
      </c>
      <c r="E162" s="14"/>
      <c r="F162" s="14" t="s">
        <v>295</v>
      </c>
      <c r="G162" s="14">
        <v>1</v>
      </c>
      <c r="H162" s="14" t="s">
        <v>57</v>
      </c>
      <c r="I162" s="14" t="s">
        <v>265</v>
      </c>
      <c r="J162" s="16">
        <v>2</v>
      </c>
      <c r="K162" s="14"/>
      <c r="L162" s="14">
        <v>0</v>
      </c>
      <c r="M162" s="14">
        <v>2</v>
      </c>
      <c r="N162" s="15">
        <v>2</v>
      </c>
      <c r="O162" s="14">
        <v>2</v>
      </c>
      <c r="P162" s="14">
        <v>0</v>
      </c>
      <c r="Q162" s="14">
        <v>1</v>
      </c>
      <c r="R162" s="14">
        <v>1</v>
      </c>
      <c r="S162" s="14">
        <v>0</v>
      </c>
      <c r="T162" s="14">
        <v>0</v>
      </c>
    </row>
    <row r="163" spans="1:20">
      <c r="A163" s="14" t="s">
        <v>21</v>
      </c>
      <c r="B163" s="14" t="s">
        <v>22</v>
      </c>
      <c r="C163" s="14" t="s">
        <v>290</v>
      </c>
      <c r="D163" s="14">
        <v>5</v>
      </c>
      <c r="E163" s="14"/>
      <c r="F163" s="14" t="s">
        <v>296</v>
      </c>
      <c r="G163" s="14">
        <v>1</v>
      </c>
      <c r="H163" s="14" t="s">
        <v>57</v>
      </c>
      <c r="I163" s="14" t="s">
        <v>265</v>
      </c>
      <c r="J163" s="16">
        <v>2</v>
      </c>
      <c r="K163" s="14"/>
      <c r="L163" s="14">
        <v>0</v>
      </c>
      <c r="M163" s="14">
        <v>2</v>
      </c>
      <c r="N163" s="15">
        <v>2</v>
      </c>
      <c r="O163" s="14">
        <v>2</v>
      </c>
      <c r="P163" s="14">
        <v>0</v>
      </c>
      <c r="Q163" s="14">
        <v>1</v>
      </c>
      <c r="R163" s="14">
        <v>1</v>
      </c>
      <c r="S163" s="14">
        <v>0</v>
      </c>
      <c r="T163" s="14">
        <v>0</v>
      </c>
    </row>
    <row r="164" spans="1:20">
      <c r="A164" s="14" t="s">
        <v>21</v>
      </c>
      <c r="B164" s="14" t="s">
        <v>22</v>
      </c>
      <c r="C164" s="14" t="s">
        <v>297</v>
      </c>
      <c r="D164" s="14">
        <v>1</v>
      </c>
      <c r="E164" s="14"/>
      <c r="F164" s="14" t="s">
        <v>295</v>
      </c>
      <c r="G164" s="14">
        <v>1</v>
      </c>
      <c r="H164" s="14" t="s">
        <v>57</v>
      </c>
      <c r="I164" s="14" t="s">
        <v>139</v>
      </c>
      <c r="J164" s="16">
        <v>3</v>
      </c>
      <c r="K164" s="14"/>
      <c r="L164" s="14">
        <v>0</v>
      </c>
      <c r="M164" s="14">
        <v>3</v>
      </c>
      <c r="N164" s="15">
        <v>3</v>
      </c>
      <c r="O164" s="14">
        <v>3</v>
      </c>
      <c r="P164" s="14">
        <v>0</v>
      </c>
      <c r="Q164" s="14">
        <v>1</v>
      </c>
      <c r="R164" s="14">
        <v>1</v>
      </c>
      <c r="S164" s="14">
        <v>1</v>
      </c>
      <c r="T164" s="14">
        <v>0</v>
      </c>
    </row>
    <row r="165" spans="1:20">
      <c r="A165" s="14" t="s">
        <v>21</v>
      </c>
      <c r="B165" s="14" t="s">
        <v>22</v>
      </c>
      <c r="C165" s="14" t="s">
        <v>298</v>
      </c>
      <c r="D165" s="14">
        <v>1</v>
      </c>
      <c r="E165" s="14"/>
      <c r="F165" s="14" t="s">
        <v>33</v>
      </c>
      <c r="G165" s="14">
        <v>1</v>
      </c>
      <c r="H165" s="14" t="s">
        <v>299</v>
      </c>
      <c r="I165" s="14" t="s">
        <v>146</v>
      </c>
      <c r="J165" s="16">
        <v>9</v>
      </c>
      <c r="K165" s="14"/>
      <c r="L165" s="14">
        <v>0</v>
      </c>
      <c r="M165" s="14">
        <v>9</v>
      </c>
      <c r="N165" s="15">
        <v>9</v>
      </c>
      <c r="O165" s="14">
        <v>3</v>
      </c>
      <c r="P165" s="14">
        <v>0</v>
      </c>
      <c r="Q165" s="14">
        <v>3</v>
      </c>
      <c r="R165" s="14">
        <v>3</v>
      </c>
      <c r="S165" s="14">
        <v>3</v>
      </c>
      <c r="T165" s="14">
        <v>0</v>
      </c>
    </row>
    <row r="166" spans="1:20">
      <c r="A166" s="14" t="s">
        <v>21</v>
      </c>
      <c r="B166" s="14" t="s">
        <v>22</v>
      </c>
      <c r="C166" s="14" t="s">
        <v>298</v>
      </c>
      <c r="D166" s="14">
        <v>2</v>
      </c>
      <c r="E166" s="14"/>
      <c r="F166" s="14" t="s">
        <v>300</v>
      </c>
      <c r="G166" s="14">
        <v>1</v>
      </c>
      <c r="H166" s="14" t="s">
        <v>301</v>
      </c>
      <c r="I166" s="14" t="s">
        <v>159</v>
      </c>
      <c r="J166" s="16">
        <v>12</v>
      </c>
      <c r="K166" s="14"/>
      <c r="L166" s="14">
        <v>0</v>
      </c>
      <c r="M166" s="14">
        <v>12</v>
      </c>
      <c r="N166" s="15">
        <v>12</v>
      </c>
      <c r="O166" s="14">
        <v>3</v>
      </c>
      <c r="P166" s="14">
        <v>0</v>
      </c>
      <c r="Q166" s="14">
        <v>4</v>
      </c>
      <c r="R166" s="14">
        <v>4</v>
      </c>
      <c r="S166" s="14">
        <v>4</v>
      </c>
      <c r="T166" s="14">
        <v>0</v>
      </c>
    </row>
    <row r="167" spans="1:20">
      <c r="A167" s="14" t="s">
        <v>21</v>
      </c>
      <c r="B167" s="14" t="s">
        <v>22</v>
      </c>
      <c r="C167" s="14" t="s">
        <v>298</v>
      </c>
      <c r="D167" s="14">
        <v>3</v>
      </c>
      <c r="E167" s="14"/>
      <c r="F167" s="14" t="s">
        <v>302</v>
      </c>
      <c r="G167" s="14">
        <v>1</v>
      </c>
      <c r="H167" s="14" t="s">
        <v>214</v>
      </c>
      <c r="I167" s="14" t="s">
        <v>159</v>
      </c>
      <c r="J167" s="16">
        <v>12</v>
      </c>
      <c r="K167" s="14"/>
      <c r="L167" s="14">
        <v>0</v>
      </c>
      <c r="M167" s="14">
        <v>12</v>
      </c>
      <c r="N167" s="15">
        <v>12</v>
      </c>
      <c r="O167" s="14">
        <v>3</v>
      </c>
      <c r="P167" s="14">
        <v>0</v>
      </c>
      <c r="Q167" s="14">
        <v>4</v>
      </c>
      <c r="R167" s="14">
        <v>4</v>
      </c>
      <c r="S167" s="14">
        <v>4</v>
      </c>
      <c r="T167" s="14">
        <v>0</v>
      </c>
    </row>
    <row r="168" spans="1:20">
      <c r="A168" s="14" t="s">
        <v>21</v>
      </c>
      <c r="B168" s="14" t="s">
        <v>22</v>
      </c>
      <c r="C168" s="14" t="s">
        <v>298</v>
      </c>
      <c r="D168" s="14">
        <v>4</v>
      </c>
      <c r="E168" s="14"/>
      <c r="F168" s="14" t="s">
        <v>303</v>
      </c>
      <c r="G168" s="14">
        <v>1</v>
      </c>
      <c r="H168" s="14" t="s">
        <v>304</v>
      </c>
      <c r="I168" s="14" t="s">
        <v>305</v>
      </c>
      <c r="J168" s="16">
        <v>39</v>
      </c>
      <c r="K168" s="14"/>
      <c r="L168" s="14">
        <v>39</v>
      </c>
      <c r="M168" s="14">
        <v>0</v>
      </c>
      <c r="N168" s="15">
        <v>39</v>
      </c>
      <c r="O168" s="14">
        <v>3</v>
      </c>
      <c r="P168" s="14">
        <v>0</v>
      </c>
      <c r="Q168" s="14">
        <v>13</v>
      </c>
      <c r="R168" s="14">
        <v>13</v>
      </c>
      <c r="S168" s="14">
        <v>13</v>
      </c>
      <c r="T168" s="14">
        <v>0</v>
      </c>
    </row>
    <row r="169" spans="1:20">
      <c r="A169" s="14" t="s">
        <v>21</v>
      </c>
      <c r="B169" s="14" t="s">
        <v>22</v>
      </c>
      <c r="C169" s="14" t="s">
        <v>306</v>
      </c>
      <c r="D169" s="14">
        <v>1</v>
      </c>
      <c r="E169" s="14"/>
      <c r="F169" s="14" t="s">
        <v>307</v>
      </c>
      <c r="G169" s="14">
        <v>1</v>
      </c>
      <c r="H169" s="14" t="s">
        <v>163</v>
      </c>
      <c r="I169" s="14" t="s">
        <v>149</v>
      </c>
      <c r="J169" s="16">
        <v>6</v>
      </c>
      <c r="K169" s="14"/>
      <c r="L169" s="14">
        <v>0</v>
      </c>
      <c r="M169" s="14">
        <v>6</v>
      </c>
      <c r="N169" s="15">
        <v>6</v>
      </c>
      <c r="O169" s="14">
        <v>3</v>
      </c>
      <c r="P169" s="14">
        <v>0</v>
      </c>
      <c r="Q169" s="14">
        <v>2</v>
      </c>
      <c r="R169" s="14">
        <v>2</v>
      </c>
      <c r="S169" s="14">
        <v>2</v>
      </c>
      <c r="T169" s="14">
        <v>0</v>
      </c>
    </row>
    <row r="170" spans="1:20">
      <c r="A170" s="14" t="s">
        <v>21</v>
      </c>
      <c r="B170" s="14" t="s">
        <v>22</v>
      </c>
      <c r="C170" s="14" t="s">
        <v>308</v>
      </c>
      <c r="D170" s="14">
        <v>1</v>
      </c>
      <c r="E170" s="14"/>
      <c r="F170" s="14" t="s">
        <v>309</v>
      </c>
      <c r="G170" s="14">
        <v>1</v>
      </c>
      <c r="H170" s="14" t="s">
        <v>57</v>
      </c>
      <c r="I170" s="14" t="s">
        <v>139</v>
      </c>
      <c r="J170" s="16">
        <v>3</v>
      </c>
      <c r="K170" s="14"/>
      <c r="L170" s="14">
        <v>0</v>
      </c>
      <c r="M170" s="14">
        <v>3</v>
      </c>
      <c r="N170" s="15">
        <v>3</v>
      </c>
      <c r="O170" s="14">
        <v>3</v>
      </c>
      <c r="P170" s="14">
        <v>0</v>
      </c>
      <c r="Q170" s="14">
        <v>1</v>
      </c>
      <c r="R170" s="14">
        <v>1</v>
      </c>
      <c r="S170" s="14">
        <v>1</v>
      </c>
      <c r="T170" s="14">
        <v>0</v>
      </c>
    </row>
    <row r="171" spans="1:20">
      <c r="A171" s="14" t="s">
        <v>21</v>
      </c>
      <c r="B171" s="14" t="s">
        <v>22</v>
      </c>
      <c r="C171" s="14" t="s">
        <v>308</v>
      </c>
      <c r="D171" s="14">
        <v>2</v>
      </c>
      <c r="E171" s="14"/>
      <c r="F171" s="14" t="s">
        <v>310</v>
      </c>
      <c r="G171" s="14">
        <v>1</v>
      </c>
      <c r="H171" s="14" t="s">
        <v>214</v>
      </c>
      <c r="I171" s="14" t="s">
        <v>159</v>
      </c>
      <c r="J171" s="16">
        <v>12</v>
      </c>
      <c r="K171" s="14"/>
      <c r="L171" s="14">
        <v>0</v>
      </c>
      <c r="M171" s="14">
        <v>12</v>
      </c>
      <c r="N171" s="15">
        <v>12</v>
      </c>
      <c r="O171" s="14">
        <v>3</v>
      </c>
      <c r="P171" s="14">
        <v>0</v>
      </c>
      <c r="Q171" s="14">
        <v>4</v>
      </c>
      <c r="R171" s="14">
        <v>4</v>
      </c>
      <c r="S171" s="14">
        <v>4</v>
      </c>
      <c r="T171" s="14">
        <v>0</v>
      </c>
    </row>
    <row r="172" spans="1:20">
      <c r="A172" s="14" t="s">
        <v>21</v>
      </c>
      <c r="B172" s="14" t="s">
        <v>22</v>
      </c>
      <c r="C172" s="14" t="s">
        <v>311</v>
      </c>
      <c r="D172" s="14">
        <v>1</v>
      </c>
      <c r="E172" s="14"/>
      <c r="F172" s="14" t="s">
        <v>312</v>
      </c>
      <c r="G172" s="14">
        <v>1</v>
      </c>
      <c r="H172" s="14" t="s">
        <v>214</v>
      </c>
      <c r="I172" s="14" t="s">
        <v>313</v>
      </c>
      <c r="J172" s="16">
        <v>8</v>
      </c>
      <c r="K172" s="14"/>
      <c r="L172" s="14">
        <v>0</v>
      </c>
      <c r="M172" s="14">
        <v>8</v>
      </c>
      <c r="N172" s="15">
        <v>8</v>
      </c>
      <c r="O172" s="14">
        <v>2</v>
      </c>
      <c r="P172" s="14">
        <v>0</v>
      </c>
      <c r="Q172" s="14">
        <v>4</v>
      </c>
      <c r="R172" s="14">
        <v>4</v>
      </c>
      <c r="S172" s="14">
        <v>0</v>
      </c>
      <c r="T172" s="14">
        <v>0</v>
      </c>
    </row>
    <row r="173" spans="1:20">
      <c r="A173" s="14" t="s">
        <v>21</v>
      </c>
      <c r="B173" s="14" t="s">
        <v>22</v>
      </c>
      <c r="C173" s="14" t="s">
        <v>314</v>
      </c>
      <c r="D173" s="14">
        <v>1</v>
      </c>
      <c r="E173" s="14"/>
      <c r="F173" s="14" t="s">
        <v>315</v>
      </c>
      <c r="G173" s="14">
        <v>1</v>
      </c>
      <c r="H173" s="14" t="s">
        <v>289</v>
      </c>
      <c r="I173" s="14" t="s">
        <v>268</v>
      </c>
      <c r="J173" s="16">
        <v>1</v>
      </c>
      <c r="K173" s="14"/>
      <c r="L173" s="14">
        <v>0</v>
      </c>
      <c r="M173" s="14">
        <v>1</v>
      </c>
      <c r="N173" s="15">
        <v>1</v>
      </c>
      <c r="O173" s="14">
        <v>1</v>
      </c>
      <c r="P173" s="14">
        <v>1</v>
      </c>
      <c r="Q173" s="14">
        <v>0</v>
      </c>
      <c r="R173" s="14">
        <v>0</v>
      </c>
      <c r="S173" s="14">
        <v>0</v>
      </c>
      <c r="T173" s="14">
        <v>0</v>
      </c>
    </row>
    <row r="174" spans="1:20">
      <c r="A174" s="14" t="s">
        <v>21</v>
      </c>
      <c r="B174" s="14" t="s">
        <v>22</v>
      </c>
      <c r="C174" s="14" t="s">
        <v>314</v>
      </c>
      <c r="D174" s="14">
        <v>2</v>
      </c>
      <c r="E174" s="14"/>
      <c r="F174" s="14" t="s">
        <v>316</v>
      </c>
      <c r="G174" s="14">
        <v>1</v>
      </c>
      <c r="H174" s="14" t="s">
        <v>163</v>
      </c>
      <c r="I174" s="14" t="s">
        <v>273</v>
      </c>
      <c r="J174" s="16">
        <v>4</v>
      </c>
      <c r="K174" s="14"/>
      <c r="L174" s="14">
        <v>0</v>
      </c>
      <c r="M174" s="14">
        <v>4</v>
      </c>
      <c r="N174" s="15">
        <v>4</v>
      </c>
      <c r="O174" s="14">
        <v>2</v>
      </c>
      <c r="P174" s="14">
        <v>0</v>
      </c>
      <c r="Q174" s="14">
        <v>2</v>
      </c>
      <c r="R174" s="14">
        <v>2</v>
      </c>
      <c r="S174" s="14">
        <v>0</v>
      </c>
      <c r="T174" s="14">
        <v>0</v>
      </c>
    </row>
    <row r="175" spans="1:20">
      <c r="A175" s="14" t="s">
        <v>21</v>
      </c>
      <c r="B175" s="14" t="s">
        <v>22</v>
      </c>
      <c r="C175" s="14" t="s">
        <v>314</v>
      </c>
      <c r="D175" s="14">
        <v>3</v>
      </c>
      <c r="E175" s="14"/>
      <c r="F175" s="14" t="s">
        <v>317</v>
      </c>
      <c r="G175" s="14">
        <v>1</v>
      </c>
      <c r="H175" s="14" t="s">
        <v>57</v>
      </c>
      <c r="I175" s="14" t="s">
        <v>139</v>
      </c>
      <c r="J175" s="16">
        <v>3</v>
      </c>
      <c r="K175" s="14"/>
      <c r="L175" s="14">
        <v>0</v>
      </c>
      <c r="M175" s="14">
        <v>3</v>
      </c>
      <c r="N175" s="15">
        <v>3</v>
      </c>
      <c r="O175" s="14">
        <v>3</v>
      </c>
      <c r="P175" s="14">
        <v>0</v>
      </c>
      <c r="Q175" s="14">
        <v>1</v>
      </c>
      <c r="R175" s="14">
        <v>1</v>
      </c>
      <c r="S175" s="14">
        <v>1</v>
      </c>
      <c r="T175" s="14">
        <v>0</v>
      </c>
    </row>
    <row r="176" spans="1:20">
      <c r="A176" s="14" t="s">
        <v>21</v>
      </c>
      <c r="B176" s="14" t="s">
        <v>22</v>
      </c>
      <c r="C176" s="14" t="s">
        <v>314</v>
      </c>
      <c r="D176" s="14">
        <v>4</v>
      </c>
      <c r="E176" s="14"/>
      <c r="F176" s="14" t="s">
        <v>318</v>
      </c>
      <c r="G176" s="14">
        <v>1</v>
      </c>
      <c r="H176" s="14" t="s">
        <v>319</v>
      </c>
      <c r="I176" s="14" t="s">
        <v>320</v>
      </c>
      <c r="J176" s="16">
        <v>22</v>
      </c>
      <c r="K176" s="14"/>
      <c r="L176" s="14">
        <v>22</v>
      </c>
      <c r="M176" s="14">
        <v>0</v>
      </c>
      <c r="N176" s="15">
        <v>22</v>
      </c>
      <c r="O176" s="14">
        <v>2</v>
      </c>
      <c r="P176" s="14">
        <v>0</v>
      </c>
      <c r="Q176" s="14">
        <v>11</v>
      </c>
      <c r="R176" s="14">
        <v>11</v>
      </c>
      <c r="S176" s="14">
        <v>0</v>
      </c>
      <c r="T176" s="14">
        <v>0</v>
      </c>
    </row>
    <row r="177" spans="1:20">
      <c r="A177" s="14" t="s">
        <v>21</v>
      </c>
      <c r="B177" s="14" t="s">
        <v>22</v>
      </c>
      <c r="C177" s="14" t="s">
        <v>321</v>
      </c>
      <c r="D177" s="14">
        <v>1</v>
      </c>
      <c r="E177" s="14"/>
      <c r="F177" s="14" t="s">
        <v>322</v>
      </c>
      <c r="G177" s="14">
        <v>0</v>
      </c>
      <c r="H177" s="14" t="s">
        <v>323</v>
      </c>
      <c r="I177" s="14" t="s">
        <v>324</v>
      </c>
      <c r="J177" s="16">
        <v>0</v>
      </c>
      <c r="K177" s="14"/>
      <c r="L177" s="14">
        <v>16</v>
      </c>
      <c r="M177" s="14">
        <v>0</v>
      </c>
      <c r="N177" s="15">
        <v>16</v>
      </c>
      <c r="O177" s="14">
        <v>3</v>
      </c>
      <c r="P177" s="14">
        <v>0</v>
      </c>
      <c r="Q177" s="14">
        <v>5</v>
      </c>
      <c r="R177" s="14">
        <v>5</v>
      </c>
      <c r="S177" s="14">
        <v>5</v>
      </c>
      <c r="T177" s="14">
        <v>0</v>
      </c>
    </row>
    <row r="178" spans="1:20">
      <c r="A178" s="14" t="s">
        <v>21</v>
      </c>
      <c r="B178" s="14" t="s">
        <v>22</v>
      </c>
      <c r="C178" s="14" t="s">
        <v>325</v>
      </c>
      <c r="D178" s="14">
        <v>1</v>
      </c>
      <c r="E178" s="14"/>
      <c r="F178" s="14" t="s">
        <v>326</v>
      </c>
      <c r="G178" s="14">
        <v>1</v>
      </c>
      <c r="H178" s="14" t="s">
        <v>214</v>
      </c>
      <c r="I178" s="14" t="s">
        <v>159</v>
      </c>
      <c r="J178" s="16">
        <v>12</v>
      </c>
      <c r="K178" s="14"/>
      <c r="L178" s="14">
        <v>0</v>
      </c>
      <c r="M178" s="14">
        <v>12</v>
      </c>
      <c r="N178" s="15">
        <v>12</v>
      </c>
      <c r="O178" s="14">
        <v>3</v>
      </c>
      <c r="P178" s="14">
        <v>0</v>
      </c>
      <c r="Q178" s="14">
        <v>4</v>
      </c>
      <c r="R178" s="14">
        <v>4</v>
      </c>
      <c r="S178" s="14">
        <v>4</v>
      </c>
      <c r="T178" s="14">
        <v>0</v>
      </c>
    </row>
    <row r="179" spans="1:20">
      <c r="A179" s="14" t="s">
        <v>21</v>
      </c>
      <c r="B179" s="14" t="s">
        <v>22</v>
      </c>
      <c r="C179" s="14" t="s">
        <v>325</v>
      </c>
      <c r="D179" s="14">
        <v>2</v>
      </c>
      <c r="E179" s="14"/>
      <c r="F179" s="14" t="s">
        <v>307</v>
      </c>
      <c r="G179" s="14">
        <v>1</v>
      </c>
      <c r="H179" s="14" t="s">
        <v>57</v>
      </c>
      <c r="I179" s="14" t="s">
        <v>139</v>
      </c>
      <c r="J179" s="16">
        <v>3</v>
      </c>
      <c r="K179" s="14"/>
      <c r="L179" s="14">
        <v>0</v>
      </c>
      <c r="M179" s="14">
        <v>3</v>
      </c>
      <c r="N179" s="15">
        <v>3</v>
      </c>
      <c r="O179" s="14">
        <v>3</v>
      </c>
      <c r="P179" s="14">
        <v>0</v>
      </c>
      <c r="Q179" s="14">
        <v>1</v>
      </c>
      <c r="R179" s="14">
        <v>1</v>
      </c>
      <c r="S179" s="14">
        <v>1</v>
      </c>
      <c r="T179" s="14">
        <v>0</v>
      </c>
    </row>
    <row r="180" spans="1:20">
      <c r="A180" s="14" t="s">
        <v>21</v>
      </c>
      <c r="B180" s="14" t="s">
        <v>22</v>
      </c>
      <c r="C180" s="14" t="s">
        <v>325</v>
      </c>
      <c r="D180" s="14">
        <v>3</v>
      </c>
      <c r="E180" s="14"/>
      <c r="F180" s="14" t="s">
        <v>33</v>
      </c>
      <c r="G180" s="14">
        <v>1</v>
      </c>
      <c r="H180" s="14" t="s">
        <v>327</v>
      </c>
      <c r="I180" s="14" t="s">
        <v>149</v>
      </c>
      <c r="J180" s="16">
        <v>6</v>
      </c>
      <c r="K180" s="14"/>
      <c r="L180" s="14">
        <v>0</v>
      </c>
      <c r="M180" s="14">
        <v>6</v>
      </c>
      <c r="N180" s="15">
        <v>6</v>
      </c>
      <c r="O180" s="14">
        <v>3</v>
      </c>
      <c r="P180" s="14">
        <v>0</v>
      </c>
      <c r="Q180" s="14">
        <v>2</v>
      </c>
      <c r="R180" s="14">
        <v>2</v>
      </c>
      <c r="S180" s="14">
        <v>2</v>
      </c>
      <c r="T180" s="14">
        <v>0</v>
      </c>
    </row>
    <row r="181" spans="1:20">
      <c r="A181" s="14" t="s">
        <v>21</v>
      </c>
      <c r="B181" s="14" t="s">
        <v>22</v>
      </c>
      <c r="C181" s="14" t="s">
        <v>325</v>
      </c>
      <c r="D181" s="14">
        <v>4</v>
      </c>
      <c r="E181" s="14"/>
      <c r="F181" s="14" t="s">
        <v>328</v>
      </c>
      <c r="G181" s="14">
        <v>1</v>
      </c>
      <c r="H181" s="14" t="s">
        <v>329</v>
      </c>
      <c r="I181" s="14" t="s">
        <v>146</v>
      </c>
      <c r="J181" s="16">
        <v>9</v>
      </c>
      <c r="K181" s="14"/>
      <c r="L181" s="14">
        <v>0</v>
      </c>
      <c r="M181" s="14">
        <v>9</v>
      </c>
      <c r="N181" s="15">
        <v>9</v>
      </c>
      <c r="O181" s="14">
        <v>3</v>
      </c>
      <c r="P181" s="14">
        <v>0</v>
      </c>
      <c r="Q181" s="14">
        <v>3</v>
      </c>
      <c r="R181" s="14">
        <v>3</v>
      </c>
      <c r="S181" s="14">
        <v>3</v>
      </c>
      <c r="T181" s="14">
        <v>0</v>
      </c>
    </row>
    <row r="182" spans="1:20">
      <c r="A182" s="14" t="s">
        <v>21</v>
      </c>
      <c r="B182" s="14" t="s">
        <v>22</v>
      </c>
      <c r="C182" s="14" t="s">
        <v>330</v>
      </c>
      <c r="D182" s="14">
        <v>1</v>
      </c>
      <c r="E182" s="14"/>
      <c r="F182" s="14" t="s">
        <v>331</v>
      </c>
      <c r="G182" s="14">
        <v>1</v>
      </c>
      <c r="H182" s="14" t="s">
        <v>289</v>
      </c>
      <c r="I182" s="14" t="s">
        <v>268</v>
      </c>
      <c r="J182" s="16">
        <v>1</v>
      </c>
      <c r="K182" s="14"/>
      <c r="L182" s="14">
        <v>0</v>
      </c>
      <c r="M182" s="14">
        <v>1</v>
      </c>
      <c r="N182" s="15">
        <v>1</v>
      </c>
      <c r="O182" s="14">
        <v>1</v>
      </c>
      <c r="P182" s="14">
        <v>1</v>
      </c>
      <c r="Q182" s="14">
        <v>0</v>
      </c>
      <c r="R182" s="14">
        <v>0</v>
      </c>
      <c r="S182" s="14">
        <v>0</v>
      </c>
      <c r="T182" s="14">
        <v>0</v>
      </c>
    </row>
    <row r="183" spans="1:20">
      <c r="A183" s="14" t="s">
        <v>21</v>
      </c>
      <c r="B183" s="14" t="s">
        <v>22</v>
      </c>
      <c r="C183" s="14" t="s">
        <v>330</v>
      </c>
      <c r="D183" s="14">
        <v>2</v>
      </c>
      <c r="E183" s="14"/>
      <c r="F183" s="14" t="s">
        <v>332</v>
      </c>
      <c r="G183" s="14">
        <v>1</v>
      </c>
      <c r="H183" s="14" t="s">
        <v>289</v>
      </c>
      <c r="I183" s="14" t="s">
        <v>268</v>
      </c>
      <c r="J183" s="16">
        <v>1</v>
      </c>
      <c r="K183" s="14"/>
      <c r="L183" s="14">
        <v>0</v>
      </c>
      <c r="M183" s="14">
        <v>1</v>
      </c>
      <c r="N183" s="15">
        <v>1</v>
      </c>
      <c r="O183" s="14">
        <v>1</v>
      </c>
      <c r="P183" s="14">
        <v>1</v>
      </c>
      <c r="Q183" s="14">
        <v>0</v>
      </c>
      <c r="R183" s="14">
        <v>0</v>
      </c>
      <c r="S183" s="14">
        <v>0</v>
      </c>
      <c r="T183" s="14">
        <v>0</v>
      </c>
    </row>
    <row r="184" spans="1:20">
      <c r="A184" s="14" t="s">
        <v>21</v>
      </c>
      <c r="B184" s="14" t="s">
        <v>22</v>
      </c>
      <c r="C184" s="14" t="s">
        <v>330</v>
      </c>
      <c r="D184" s="14">
        <v>3</v>
      </c>
      <c r="E184" s="14"/>
      <c r="F184" s="14" t="s">
        <v>333</v>
      </c>
      <c r="G184" s="14">
        <v>1</v>
      </c>
      <c r="H184" s="14" t="s">
        <v>334</v>
      </c>
      <c r="I184" s="14" t="s">
        <v>139</v>
      </c>
      <c r="J184" s="16">
        <v>3</v>
      </c>
      <c r="K184" s="14"/>
      <c r="L184" s="14">
        <v>0</v>
      </c>
      <c r="M184" s="14">
        <v>3</v>
      </c>
      <c r="N184" s="15">
        <v>3</v>
      </c>
      <c r="O184" s="14">
        <v>3</v>
      </c>
      <c r="P184" s="14">
        <v>0</v>
      </c>
      <c r="Q184" s="14">
        <v>1</v>
      </c>
      <c r="R184" s="14">
        <v>1</v>
      </c>
      <c r="S184" s="14">
        <v>1</v>
      </c>
      <c r="T184" s="14">
        <v>0</v>
      </c>
    </row>
    <row r="185" spans="1:20">
      <c r="A185" s="14" t="s">
        <v>21</v>
      </c>
      <c r="B185" s="14" t="s">
        <v>22</v>
      </c>
      <c r="C185" s="14" t="s">
        <v>330</v>
      </c>
      <c r="D185" s="14">
        <v>4</v>
      </c>
      <c r="E185" s="14"/>
      <c r="F185" s="14" t="s">
        <v>335</v>
      </c>
      <c r="G185" s="14">
        <v>1</v>
      </c>
      <c r="H185" s="14" t="s">
        <v>334</v>
      </c>
      <c r="I185" s="14" t="s">
        <v>139</v>
      </c>
      <c r="J185" s="16">
        <v>3</v>
      </c>
      <c r="K185" s="14"/>
      <c r="L185" s="14">
        <v>0</v>
      </c>
      <c r="M185" s="14">
        <v>3</v>
      </c>
      <c r="N185" s="15">
        <v>3</v>
      </c>
      <c r="O185" s="14">
        <v>3</v>
      </c>
      <c r="P185" s="14">
        <v>0</v>
      </c>
      <c r="Q185" s="14">
        <v>1</v>
      </c>
      <c r="R185" s="14">
        <v>1</v>
      </c>
      <c r="S185" s="14">
        <v>1</v>
      </c>
      <c r="T185" s="14">
        <v>0</v>
      </c>
    </row>
    <row r="186" spans="1:20">
      <c r="A186" s="14" t="s">
        <v>21</v>
      </c>
      <c r="B186" s="14" t="s">
        <v>22</v>
      </c>
      <c r="C186" s="14" t="s">
        <v>330</v>
      </c>
      <c r="D186" s="14">
        <v>5</v>
      </c>
      <c r="E186" s="14"/>
      <c r="F186" s="14" t="s">
        <v>336</v>
      </c>
      <c r="G186" s="14">
        <v>1</v>
      </c>
      <c r="H186" s="14" t="s">
        <v>289</v>
      </c>
      <c r="I186" s="14" t="s">
        <v>268</v>
      </c>
      <c r="J186" s="16">
        <v>1</v>
      </c>
      <c r="K186" s="14"/>
      <c r="L186" s="14">
        <v>0</v>
      </c>
      <c r="M186" s="14">
        <v>1</v>
      </c>
      <c r="N186" s="15">
        <v>1</v>
      </c>
      <c r="O186" s="14">
        <v>1</v>
      </c>
      <c r="P186" s="14">
        <v>1</v>
      </c>
      <c r="Q186" s="14">
        <v>0</v>
      </c>
      <c r="R186" s="14">
        <v>0</v>
      </c>
      <c r="S186" s="14">
        <v>0</v>
      </c>
      <c r="T186" s="14">
        <v>0</v>
      </c>
    </row>
    <row r="187" spans="1:20">
      <c r="A187" s="14" t="s">
        <v>21</v>
      </c>
      <c r="B187" s="14" t="s">
        <v>22</v>
      </c>
      <c r="C187" s="14" t="s">
        <v>330</v>
      </c>
      <c r="D187" s="14">
        <v>6</v>
      </c>
      <c r="E187" s="14"/>
      <c r="F187" s="14" t="s">
        <v>337</v>
      </c>
      <c r="G187" s="14">
        <v>1</v>
      </c>
      <c r="H187" s="14" t="s">
        <v>57</v>
      </c>
      <c r="I187" s="14" t="s">
        <v>139</v>
      </c>
      <c r="J187" s="16">
        <v>3</v>
      </c>
      <c r="K187" s="14"/>
      <c r="L187" s="14">
        <v>0</v>
      </c>
      <c r="M187" s="14">
        <v>3</v>
      </c>
      <c r="N187" s="15">
        <v>3</v>
      </c>
      <c r="O187" s="14">
        <v>3</v>
      </c>
      <c r="P187" s="14">
        <v>0</v>
      </c>
      <c r="Q187" s="14">
        <v>1</v>
      </c>
      <c r="R187" s="14">
        <v>1</v>
      </c>
      <c r="S187" s="14">
        <v>1</v>
      </c>
      <c r="T187" s="14">
        <v>0</v>
      </c>
    </row>
    <row r="188" spans="1:20">
      <c r="A188" s="14" t="s">
        <v>21</v>
      </c>
      <c r="B188" s="14" t="s">
        <v>22</v>
      </c>
      <c r="C188" s="14" t="s">
        <v>330</v>
      </c>
      <c r="D188" s="14">
        <v>7</v>
      </c>
      <c r="E188" s="14"/>
      <c r="F188" s="14" t="s">
        <v>338</v>
      </c>
      <c r="G188" s="14">
        <v>0</v>
      </c>
      <c r="H188" s="14" t="s">
        <v>57</v>
      </c>
      <c r="I188" s="14" t="s">
        <v>139</v>
      </c>
      <c r="J188" s="16">
        <v>0</v>
      </c>
      <c r="K188" s="14"/>
      <c r="L188" s="14">
        <v>0</v>
      </c>
      <c r="M188" s="14">
        <v>0</v>
      </c>
      <c r="N188" s="15">
        <v>0</v>
      </c>
      <c r="O188" s="14">
        <v>3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</row>
    <row r="189" spans="1:20">
      <c r="A189" s="14" t="s">
        <v>21</v>
      </c>
      <c r="B189" s="14" t="s">
        <v>22</v>
      </c>
      <c r="C189" s="14" t="s">
        <v>330</v>
      </c>
      <c r="D189" s="14">
        <v>8</v>
      </c>
      <c r="E189" s="14"/>
      <c r="F189" s="14" t="s">
        <v>339</v>
      </c>
      <c r="G189" s="14">
        <v>1</v>
      </c>
      <c r="H189" s="14" t="s">
        <v>279</v>
      </c>
      <c r="I189" s="14" t="s">
        <v>139</v>
      </c>
      <c r="J189" s="16">
        <v>3</v>
      </c>
      <c r="K189" s="14"/>
      <c r="L189" s="14">
        <v>0</v>
      </c>
      <c r="M189" s="14">
        <v>3</v>
      </c>
      <c r="N189" s="15">
        <v>3</v>
      </c>
      <c r="O189" s="14">
        <v>3</v>
      </c>
      <c r="P189" s="14">
        <v>0</v>
      </c>
      <c r="Q189" s="14">
        <v>1</v>
      </c>
      <c r="R189" s="14">
        <v>1</v>
      </c>
      <c r="S189" s="14">
        <v>1</v>
      </c>
      <c r="T189" s="14">
        <v>0</v>
      </c>
    </row>
    <row r="190" spans="1:20">
      <c r="A190" s="14" t="s">
        <v>21</v>
      </c>
      <c r="B190" s="14" t="s">
        <v>22</v>
      </c>
      <c r="C190" s="14" t="s">
        <v>330</v>
      </c>
      <c r="D190" s="14">
        <v>9</v>
      </c>
      <c r="E190" s="14"/>
      <c r="F190" s="14" t="s">
        <v>340</v>
      </c>
      <c r="G190" s="14">
        <v>1</v>
      </c>
      <c r="H190" s="14" t="s">
        <v>57</v>
      </c>
      <c r="I190" s="14" t="s">
        <v>139</v>
      </c>
      <c r="J190" s="16">
        <v>3</v>
      </c>
      <c r="K190" s="14"/>
      <c r="L190" s="14">
        <v>0</v>
      </c>
      <c r="M190" s="14">
        <v>3</v>
      </c>
      <c r="N190" s="15">
        <v>3</v>
      </c>
      <c r="O190" s="14">
        <v>3</v>
      </c>
      <c r="P190" s="14">
        <v>0</v>
      </c>
      <c r="Q190" s="14">
        <v>1</v>
      </c>
      <c r="R190" s="14">
        <v>1</v>
      </c>
      <c r="S190" s="14">
        <v>1</v>
      </c>
      <c r="T190" s="14">
        <v>0</v>
      </c>
    </row>
    <row r="191" spans="1:20">
      <c r="A191" s="14" t="s">
        <v>21</v>
      </c>
      <c r="B191" s="14" t="s">
        <v>22</v>
      </c>
      <c r="C191" s="14" t="s">
        <v>341</v>
      </c>
      <c r="D191" s="14">
        <v>1</v>
      </c>
      <c r="E191" s="14"/>
      <c r="F191" s="14" t="s">
        <v>342</v>
      </c>
      <c r="G191" s="14">
        <v>1</v>
      </c>
      <c r="H191" s="14" t="s">
        <v>289</v>
      </c>
      <c r="I191" s="14" t="s">
        <v>268</v>
      </c>
      <c r="J191" s="16">
        <v>1</v>
      </c>
      <c r="K191" s="14"/>
      <c r="L191" s="14">
        <v>0</v>
      </c>
      <c r="M191" s="14">
        <v>1</v>
      </c>
      <c r="N191" s="15">
        <v>1</v>
      </c>
      <c r="O191" s="14">
        <v>1</v>
      </c>
      <c r="P191" s="14">
        <v>1</v>
      </c>
      <c r="Q191" s="14">
        <v>0</v>
      </c>
      <c r="R191" s="14">
        <v>0</v>
      </c>
      <c r="S191" s="14">
        <v>0</v>
      </c>
      <c r="T191" s="14">
        <v>0</v>
      </c>
    </row>
    <row r="192" spans="1:20">
      <c r="A192" s="14" t="s">
        <v>21</v>
      </c>
      <c r="B192" s="14" t="s">
        <v>22</v>
      </c>
      <c r="C192" s="14" t="s">
        <v>341</v>
      </c>
      <c r="D192" s="14">
        <v>2</v>
      </c>
      <c r="E192" s="14"/>
      <c r="F192" s="14" t="s">
        <v>343</v>
      </c>
      <c r="G192" s="14">
        <v>1</v>
      </c>
      <c r="H192" s="14" t="s">
        <v>281</v>
      </c>
      <c r="I192" s="14" t="s">
        <v>146</v>
      </c>
      <c r="J192" s="16">
        <v>9</v>
      </c>
      <c r="K192" s="14"/>
      <c r="L192" s="14">
        <v>0</v>
      </c>
      <c r="M192" s="14">
        <v>9</v>
      </c>
      <c r="N192" s="15">
        <v>9</v>
      </c>
      <c r="O192" s="14">
        <v>3</v>
      </c>
      <c r="P192" s="14">
        <v>0</v>
      </c>
      <c r="Q192" s="14">
        <v>3</v>
      </c>
      <c r="R192" s="14">
        <v>3</v>
      </c>
      <c r="S192" s="14">
        <v>3</v>
      </c>
      <c r="T192" s="14">
        <v>0</v>
      </c>
    </row>
    <row r="193" spans="1:20">
      <c r="A193" s="14" t="s">
        <v>21</v>
      </c>
      <c r="B193" s="14" t="s">
        <v>22</v>
      </c>
      <c r="C193" s="14" t="s">
        <v>341</v>
      </c>
      <c r="D193" s="14">
        <v>3</v>
      </c>
      <c r="E193" s="14"/>
      <c r="F193" s="14" t="s">
        <v>344</v>
      </c>
      <c r="G193" s="14">
        <v>1</v>
      </c>
      <c r="H193" s="14" t="s">
        <v>345</v>
      </c>
      <c r="I193" s="14" t="s">
        <v>149</v>
      </c>
      <c r="J193" s="16">
        <v>6</v>
      </c>
      <c r="K193" s="14"/>
      <c r="L193" s="14">
        <v>0</v>
      </c>
      <c r="M193" s="14">
        <v>6</v>
      </c>
      <c r="N193" s="15">
        <v>6</v>
      </c>
      <c r="O193" s="14">
        <v>3</v>
      </c>
      <c r="P193" s="14">
        <v>0</v>
      </c>
      <c r="Q193" s="14">
        <v>2</v>
      </c>
      <c r="R193" s="14">
        <v>2</v>
      </c>
      <c r="S193" s="14">
        <v>2</v>
      </c>
      <c r="T193" s="14">
        <v>0</v>
      </c>
    </row>
    <row r="194" spans="1:20">
      <c r="A194" s="14" t="s">
        <v>21</v>
      </c>
      <c r="B194" s="14" t="s">
        <v>22</v>
      </c>
      <c r="C194" s="14" t="s">
        <v>341</v>
      </c>
      <c r="D194" s="14">
        <v>4</v>
      </c>
      <c r="E194" s="14"/>
      <c r="F194" s="14" t="s">
        <v>346</v>
      </c>
      <c r="G194" s="14">
        <v>1</v>
      </c>
      <c r="H194" s="14" t="s">
        <v>163</v>
      </c>
      <c r="I194" s="14" t="s">
        <v>149</v>
      </c>
      <c r="J194" s="16">
        <v>6</v>
      </c>
      <c r="K194" s="14"/>
      <c r="L194" s="14">
        <v>0</v>
      </c>
      <c r="M194" s="14">
        <v>6</v>
      </c>
      <c r="N194" s="15">
        <v>6</v>
      </c>
      <c r="O194" s="14">
        <v>3</v>
      </c>
      <c r="P194" s="14">
        <v>0</v>
      </c>
      <c r="Q194" s="14">
        <v>2</v>
      </c>
      <c r="R194" s="14">
        <v>2</v>
      </c>
      <c r="S194" s="14">
        <v>2</v>
      </c>
      <c r="T194" s="14">
        <v>0</v>
      </c>
    </row>
    <row r="195" spans="1:20">
      <c r="A195" s="14" t="s">
        <v>21</v>
      </c>
      <c r="B195" s="14" t="s">
        <v>22</v>
      </c>
      <c r="C195" s="14" t="s">
        <v>341</v>
      </c>
      <c r="D195" s="14">
        <v>5</v>
      </c>
      <c r="E195" s="14"/>
      <c r="F195" s="14" t="s">
        <v>347</v>
      </c>
      <c r="G195" s="14">
        <v>0</v>
      </c>
      <c r="H195" s="14" t="s">
        <v>348</v>
      </c>
      <c r="I195" s="14" t="s">
        <v>139</v>
      </c>
      <c r="J195" s="16">
        <v>0</v>
      </c>
      <c r="K195" s="14"/>
      <c r="L195" s="14">
        <v>0</v>
      </c>
      <c r="M195" s="14">
        <v>3</v>
      </c>
      <c r="N195" s="15">
        <v>3</v>
      </c>
      <c r="O195" s="14">
        <v>3</v>
      </c>
      <c r="P195" s="14">
        <v>0</v>
      </c>
      <c r="Q195" s="14">
        <v>1</v>
      </c>
      <c r="R195" s="14">
        <v>1</v>
      </c>
      <c r="S195" s="14">
        <v>1</v>
      </c>
      <c r="T195" s="14">
        <v>0</v>
      </c>
    </row>
    <row r="196" spans="1:20">
      <c r="A196" s="14" t="s">
        <v>21</v>
      </c>
      <c r="B196" s="14" t="s">
        <v>22</v>
      </c>
      <c r="C196" s="14" t="s">
        <v>341</v>
      </c>
      <c r="D196" s="14">
        <v>6</v>
      </c>
      <c r="E196" s="14"/>
      <c r="F196" s="14" t="s">
        <v>349</v>
      </c>
      <c r="G196" s="14">
        <v>1</v>
      </c>
      <c r="H196" s="14" t="s">
        <v>289</v>
      </c>
      <c r="I196" s="14" t="s">
        <v>268</v>
      </c>
      <c r="J196" s="16">
        <v>1</v>
      </c>
      <c r="K196" s="14"/>
      <c r="L196" s="14">
        <v>0</v>
      </c>
      <c r="M196" s="14">
        <v>1</v>
      </c>
      <c r="N196" s="15">
        <v>1</v>
      </c>
      <c r="O196" s="14">
        <v>1</v>
      </c>
      <c r="P196" s="14">
        <v>1</v>
      </c>
      <c r="Q196" s="14">
        <v>0</v>
      </c>
      <c r="R196" s="14">
        <v>0</v>
      </c>
      <c r="S196" s="14">
        <v>0</v>
      </c>
      <c r="T196" s="14">
        <v>0</v>
      </c>
    </row>
    <row r="197" spans="1:20">
      <c r="A197" s="14" t="s">
        <v>21</v>
      </c>
      <c r="B197" s="14" t="s">
        <v>22</v>
      </c>
      <c r="C197" s="14" t="s">
        <v>341</v>
      </c>
      <c r="D197" s="14">
        <v>7</v>
      </c>
      <c r="E197" s="14"/>
      <c r="F197" s="14" t="s">
        <v>350</v>
      </c>
      <c r="G197" s="14">
        <v>1</v>
      </c>
      <c r="H197" s="14" t="s">
        <v>345</v>
      </c>
      <c r="I197" s="14" t="s">
        <v>149</v>
      </c>
      <c r="J197" s="16">
        <v>6</v>
      </c>
      <c r="K197" s="14"/>
      <c r="L197" s="14">
        <v>0</v>
      </c>
      <c r="M197" s="14">
        <v>6</v>
      </c>
      <c r="N197" s="15">
        <v>6</v>
      </c>
      <c r="O197" s="14">
        <v>3</v>
      </c>
      <c r="P197" s="14">
        <v>0</v>
      </c>
      <c r="Q197" s="14">
        <v>2</v>
      </c>
      <c r="R197" s="14">
        <v>2</v>
      </c>
      <c r="S197" s="14">
        <v>2</v>
      </c>
      <c r="T197" s="14">
        <v>0</v>
      </c>
    </row>
    <row r="198" spans="1:20">
      <c r="A198" s="14" t="s">
        <v>21</v>
      </c>
      <c r="B198" s="14" t="s">
        <v>22</v>
      </c>
      <c r="C198" s="14" t="s">
        <v>341</v>
      </c>
      <c r="D198" s="14">
        <v>8</v>
      </c>
      <c r="E198" s="14"/>
      <c r="F198" s="14" t="s">
        <v>351</v>
      </c>
      <c r="G198" s="14">
        <v>1</v>
      </c>
      <c r="H198" s="14" t="s">
        <v>163</v>
      </c>
      <c r="I198" s="14" t="s">
        <v>149</v>
      </c>
      <c r="J198" s="16">
        <v>6</v>
      </c>
      <c r="K198" s="14"/>
      <c r="L198" s="14">
        <v>0</v>
      </c>
      <c r="M198" s="14">
        <v>6</v>
      </c>
      <c r="N198" s="15">
        <v>6</v>
      </c>
      <c r="O198" s="14">
        <v>3</v>
      </c>
      <c r="P198" s="14">
        <v>0</v>
      </c>
      <c r="Q198" s="14">
        <v>2</v>
      </c>
      <c r="R198" s="14">
        <v>2</v>
      </c>
      <c r="S198" s="14">
        <v>2</v>
      </c>
      <c r="T198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8FE-87A8-4101-87A3-1A43C019A644}">
  <dimension ref="A1:U82"/>
  <sheetViews>
    <sheetView zoomScale="85" zoomScaleNormal="85" workbookViewId="0">
      <selection activeCell="E7" sqref="E7"/>
    </sheetView>
  </sheetViews>
  <sheetFormatPr defaultRowHeight="14.45"/>
  <cols>
    <col min="1" max="1" width="19" bestFit="1" customWidth="1"/>
    <col min="2" max="2" width="19.42578125" bestFit="1" customWidth="1"/>
    <col min="3" max="3" width="18.42578125" bestFit="1" customWidth="1"/>
    <col min="4" max="4" width="17.5703125" bestFit="1" customWidth="1"/>
    <col min="5" max="5" width="30.5703125" bestFit="1" customWidth="1"/>
    <col min="6" max="6" width="39.28515625" bestFit="1" customWidth="1"/>
    <col min="7" max="7" width="25.7109375" bestFit="1" customWidth="1"/>
    <col min="8" max="8" width="45.5703125" bestFit="1" customWidth="1"/>
    <col min="9" max="9" width="50.28515625" bestFit="1" customWidth="1"/>
    <col min="10" max="10" width="34.42578125" bestFit="1" customWidth="1"/>
    <col min="11" max="11" width="25.28515625" bestFit="1" customWidth="1"/>
    <col min="12" max="12" width="23.28515625" bestFit="1" customWidth="1"/>
    <col min="13" max="13" width="29.5703125" bestFit="1" customWidth="1"/>
    <col min="14" max="14" width="30.140625" bestFit="1" customWidth="1"/>
    <col min="15" max="15" width="19" bestFit="1" customWidth="1"/>
    <col min="16" max="16" width="23.7109375" bestFit="1" customWidth="1"/>
    <col min="17" max="19" width="18.42578125" bestFit="1" customWidth="1"/>
    <col min="20" max="20" width="18" bestFit="1" customWidth="1"/>
    <col min="21" max="21" width="19.42578125" bestFit="1" customWidth="1"/>
  </cols>
  <sheetData>
    <row r="1" spans="1:21" ht="17.45">
      <c r="A1" s="6" t="s">
        <v>352</v>
      </c>
    </row>
    <row r="3" spans="1:21" ht="28.9">
      <c r="A3" s="7" t="s">
        <v>353</v>
      </c>
      <c r="B3" s="7" t="s">
        <v>354</v>
      </c>
      <c r="C3" s="7" t="s">
        <v>355</v>
      </c>
      <c r="D3" s="7" t="s">
        <v>356</v>
      </c>
      <c r="E3" s="7" t="s">
        <v>357</v>
      </c>
      <c r="F3" s="7" t="s">
        <v>358</v>
      </c>
      <c r="G3" s="7" t="s">
        <v>245</v>
      </c>
      <c r="I3" s="8" t="s">
        <v>359</v>
      </c>
    </row>
    <row r="4" spans="1:21">
      <c r="A4" s="9" t="s">
        <v>171</v>
      </c>
      <c r="B4" s="10" t="s">
        <v>167</v>
      </c>
      <c r="C4" s="11">
        <v>55840</v>
      </c>
      <c r="D4" s="11">
        <v>4500</v>
      </c>
      <c r="E4" s="11">
        <v>2</v>
      </c>
      <c r="F4" s="11">
        <v>1200</v>
      </c>
      <c r="G4" s="11">
        <f>D4/F4</f>
        <v>3.75</v>
      </c>
      <c r="I4" s="10" t="s">
        <v>360</v>
      </c>
    </row>
    <row r="5" spans="1:21">
      <c r="A5" s="9" t="s">
        <v>171</v>
      </c>
      <c r="B5" s="10" t="s">
        <v>186</v>
      </c>
      <c r="C5" s="11">
        <v>55840</v>
      </c>
      <c r="D5" s="11">
        <v>4500</v>
      </c>
      <c r="E5" s="11">
        <v>2.1</v>
      </c>
      <c r="F5" s="11">
        <v>1200</v>
      </c>
      <c r="G5" s="11">
        <f>D5/F5</f>
        <v>3.75</v>
      </c>
      <c r="I5" s="10" t="s">
        <v>361</v>
      </c>
    </row>
    <row r="6" spans="1:21">
      <c r="A6" s="9" t="s">
        <v>194</v>
      </c>
      <c r="B6" s="10" t="s">
        <v>192</v>
      </c>
      <c r="C6" s="11">
        <v>11889</v>
      </c>
      <c r="D6" s="11">
        <v>1500</v>
      </c>
      <c r="E6" s="11">
        <v>2.6</v>
      </c>
      <c r="F6" s="11">
        <v>1500</v>
      </c>
      <c r="G6" s="11">
        <f>D6/F6</f>
        <v>1</v>
      </c>
      <c r="I6" s="10" t="s">
        <v>362</v>
      </c>
    </row>
    <row r="7" spans="1:21">
      <c r="A7" s="9" t="s">
        <v>203</v>
      </c>
      <c r="B7" s="10" t="s">
        <v>201</v>
      </c>
      <c r="C7" s="11">
        <v>2365</v>
      </c>
      <c r="D7" s="11">
        <v>1500</v>
      </c>
      <c r="E7" s="11">
        <v>0.5</v>
      </c>
      <c r="F7" s="11">
        <v>800</v>
      </c>
      <c r="G7" s="11">
        <f>D7/F7</f>
        <v>1.875</v>
      </c>
      <c r="I7" s="10" t="s">
        <v>363</v>
      </c>
    </row>
    <row r="10" spans="1:21" ht="17.45">
      <c r="A10" s="6" t="s">
        <v>364</v>
      </c>
    </row>
    <row r="12" spans="1:21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365</v>
      </c>
      <c r="K12" s="12" t="s">
        <v>10</v>
      </c>
      <c r="L12" s="12" t="s">
        <v>11</v>
      </c>
      <c r="M12" s="12" t="s">
        <v>12</v>
      </c>
      <c r="N12" s="12" t="s">
        <v>366</v>
      </c>
      <c r="O12" s="12" t="s">
        <v>367</v>
      </c>
      <c r="P12" s="12" t="s">
        <v>15</v>
      </c>
      <c r="Q12" s="12" t="s">
        <v>16</v>
      </c>
      <c r="R12" s="12" t="s">
        <v>17</v>
      </c>
      <c r="S12" s="12" t="s">
        <v>18</v>
      </c>
      <c r="T12" s="12" t="s">
        <v>19</v>
      </c>
      <c r="U12" s="12" t="s">
        <v>20</v>
      </c>
    </row>
    <row r="13" spans="1:21">
      <c r="A13" s="9" t="s">
        <v>21</v>
      </c>
      <c r="B13" s="9" t="s">
        <v>22</v>
      </c>
      <c r="C13" s="13" t="s">
        <v>166</v>
      </c>
      <c r="D13" s="9">
        <v>1</v>
      </c>
      <c r="E13" s="10" t="s">
        <v>167</v>
      </c>
      <c r="F13" s="10" t="s">
        <v>168</v>
      </c>
      <c r="G13" s="11">
        <f t="shared" ref="G13:G19" si="0">$E$4</f>
        <v>2</v>
      </c>
      <c r="H13" s="10" t="s">
        <v>169</v>
      </c>
      <c r="I13" s="10" t="s">
        <v>170</v>
      </c>
      <c r="J13" s="11">
        <f>G13*1*3</f>
        <v>6</v>
      </c>
      <c r="K13" s="9"/>
      <c r="L13" s="11">
        <v>0</v>
      </c>
      <c r="M13" s="11">
        <f t="shared" ref="M13:M76" si="1">N13</f>
        <v>6</v>
      </c>
      <c r="N13" s="11">
        <f>ROUND(J13,0)</f>
        <v>6</v>
      </c>
      <c r="O13" s="11">
        <v>3</v>
      </c>
      <c r="P13" s="11">
        <v>0</v>
      </c>
      <c r="Q13" s="11">
        <f t="shared" ref="Q13:Q76" si="2">ROUNDDOWN(N13/3,0)</f>
        <v>2</v>
      </c>
      <c r="R13" s="11">
        <f t="shared" ref="R13:R76" si="3">ROUNDDOWN(N13/3,0)</f>
        <v>2</v>
      </c>
      <c r="S13" s="11">
        <f t="shared" ref="S13:S76" si="4">N13-Q13-R13</f>
        <v>2</v>
      </c>
      <c r="T13" s="11">
        <v>0</v>
      </c>
      <c r="U13" s="10" t="s">
        <v>171</v>
      </c>
    </row>
    <row r="14" spans="1:21">
      <c r="A14" s="9" t="s">
        <v>21</v>
      </c>
      <c r="B14" s="9" t="s">
        <v>22</v>
      </c>
      <c r="C14" s="13" t="s">
        <v>166</v>
      </c>
      <c r="D14" s="9">
        <v>2</v>
      </c>
      <c r="E14" s="10" t="s">
        <v>167</v>
      </c>
      <c r="F14" s="10" t="s">
        <v>172</v>
      </c>
      <c r="G14" s="11">
        <f t="shared" si="0"/>
        <v>2</v>
      </c>
      <c r="H14" s="10" t="s">
        <v>173</v>
      </c>
      <c r="I14" s="10" t="s">
        <v>174</v>
      </c>
      <c r="J14" s="11">
        <f>G14*3*3</f>
        <v>18</v>
      </c>
      <c r="K14" s="9"/>
      <c r="L14" s="11">
        <v>0</v>
      </c>
      <c r="M14" s="11">
        <f t="shared" si="1"/>
        <v>18</v>
      </c>
      <c r="N14" s="11">
        <f t="shared" ref="N14:N77" si="5">ROUND(J14,0)</f>
        <v>18</v>
      </c>
      <c r="O14" s="11">
        <v>3</v>
      </c>
      <c r="P14" s="11">
        <v>0</v>
      </c>
      <c r="Q14" s="11">
        <f t="shared" si="2"/>
        <v>6</v>
      </c>
      <c r="R14" s="11">
        <f t="shared" si="3"/>
        <v>6</v>
      </c>
      <c r="S14" s="11">
        <f t="shared" si="4"/>
        <v>6</v>
      </c>
      <c r="T14" s="11">
        <v>0</v>
      </c>
      <c r="U14" s="10" t="s">
        <v>171</v>
      </c>
    </row>
    <row r="15" spans="1:21">
      <c r="A15" s="9" t="s">
        <v>21</v>
      </c>
      <c r="B15" s="9" t="s">
        <v>22</v>
      </c>
      <c r="C15" s="13" t="s">
        <v>166</v>
      </c>
      <c r="D15" s="9">
        <v>3</v>
      </c>
      <c r="E15" s="10" t="s">
        <v>167</v>
      </c>
      <c r="F15" s="10" t="s">
        <v>175</v>
      </c>
      <c r="G15" s="11">
        <f t="shared" si="0"/>
        <v>2</v>
      </c>
      <c r="H15" s="10" t="s">
        <v>176</v>
      </c>
      <c r="I15" s="10" t="s">
        <v>177</v>
      </c>
      <c r="J15" s="11">
        <f>G15*6*3</f>
        <v>36</v>
      </c>
      <c r="K15" s="9"/>
      <c r="L15" s="11">
        <v>0</v>
      </c>
      <c r="M15" s="11">
        <f t="shared" si="1"/>
        <v>36</v>
      </c>
      <c r="N15" s="11">
        <f t="shared" si="5"/>
        <v>36</v>
      </c>
      <c r="O15" s="11">
        <v>3</v>
      </c>
      <c r="P15" s="11">
        <v>0</v>
      </c>
      <c r="Q15" s="11">
        <f t="shared" si="2"/>
        <v>12</v>
      </c>
      <c r="R15" s="11">
        <f t="shared" si="3"/>
        <v>12</v>
      </c>
      <c r="S15" s="11">
        <f t="shared" si="4"/>
        <v>12</v>
      </c>
      <c r="T15" s="11">
        <v>0</v>
      </c>
      <c r="U15" s="10" t="s">
        <v>171</v>
      </c>
    </row>
    <row r="16" spans="1:21">
      <c r="A16" s="9" t="s">
        <v>21</v>
      </c>
      <c r="B16" s="9" t="s">
        <v>22</v>
      </c>
      <c r="C16" s="13" t="s">
        <v>166</v>
      </c>
      <c r="D16" s="9">
        <v>4</v>
      </c>
      <c r="E16" s="10" t="s">
        <v>167</v>
      </c>
      <c r="F16" s="10" t="s">
        <v>178</v>
      </c>
      <c r="G16" s="11">
        <f t="shared" si="0"/>
        <v>2</v>
      </c>
      <c r="H16" s="10" t="s">
        <v>179</v>
      </c>
      <c r="I16" s="10" t="s">
        <v>180</v>
      </c>
      <c r="J16" s="11">
        <f>G16*2*3</f>
        <v>12</v>
      </c>
      <c r="K16" s="9"/>
      <c r="L16" s="11">
        <v>0</v>
      </c>
      <c r="M16" s="11">
        <f t="shared" si="1"/>
        <v>12</v>
      </c>
      <c r="N16" s="11">
        <f t="shared" si="5"/>
        <v>12</v>
      </c>
      <c r="O16" s="11">
        <v>3</v>
      </c>
      <c r="P16" s="11">
        <v>0</v>
      </c>
      <c r="Q16" s="11">
        <f t="shared" si="2"/>
        <v>4</v>
      </c>
      <c r="R16" s="11">
        <f t="shared" si="3"/>
        <v>4</v>
      </c>
      <c r="S16" s="11">
        <f t="shared" si="4"/>
        <v>4</v>
      </c>
      <c r="T16" s="11">
        <v>0</v>
      </c>
      <c r="U16" s="10" t="s">
        <v>171</v>
      </c>
    </row>
    <row r="17" spans="1:21">
      <c r="A17" s="9" t="s">
        <v>21</v>
      </c>
      <c r="B17" s="9" t="s">
        <v>22</v>
      </c>
      <c r="C17" s="13" t="s">
        <v>166</v>
      </c>
      <c r="D17" s="9">
        <v>5</v>
      </c>
      <c r="E17" s="10" t="s">
        <v>167</v>
      </c>
      <c r="F17" s="10" t="s">
        <v>181</v>
      </c>
      <c r="G17" s="11">
        <f t="shared" si="0"/>
        <v>2</v>
      </c>
      <c r="H17" s="10" t="s">
        <v>169</v>
      </c>
      <c r="I17" s="10" t="s">
        <v>170</v>
      </c>
      <c r="J17" s="11">
        <f>G17*1*3</f>
        <v>6</v>
      </c>
      <c r="K17" s="9"/>
      <c r="L17" s="11">
        <v>0</v>
      </c>
      <c r="M17" s="11">
        <f t="shared" si="1"/>
        <v>6</v>
      </c>
      <c r="N17" s="11">
        <f t="shared" si="5"/>
        <v>6</v>
      </c>
      <c r="O17" s="11">
        <v>3</v>
      </c>
      <c r="P17" s="11">
        <v>0</v>
      </c>
      <c r="Q17" s="11">
        <f t="shared" si="2"/>
        <v>2</v>
      </c>
      <c r="R17" s="11">
        <f t="shared" si="3"/>
        <v>2</v>
      </c>
      <c r="S17" s="11">
        <f t="shared" si="4"/>
        <v>2</v>
      </c>
      <c r="T17" s="11">
        <v>0</v>
      </c>
      <c r="U17" s="10" t="s">
        <v>171</v>
      </c>
    </row>
    <row r="18" spans="1:21">
      <c r="A18" s="9" t="s">
        <v>21</v>
      </c>
      <c r="B18" s="9" t="s">
        <v>22</v>
      </c>
      <c r="C18" s="13" t="s">
        <v>166</v>
      </c>
      <c r="D18" s="9">
        <v>6</v>
      </c>
      <c r="E18" s="10" t="s">
        <v>167</v>
      </c>
      <c r="F18" s="10" t="s">
        <v>182</v>
      </c>
      <c r="G18" s="11">
        <f t="shared" si="0"/>
        <v>2</v>
      </c>
      <c r="H18" s="10" t="s">
        <v>169</v>
      </c>
      <c r="I18" s="10" t="s">
        <v>170</v>
      </c>
      <c r="J18" s="11">
        <f>G18*1*3</f>
        <v>6</v>
      </c>
      <c r="K18" s="9"/>
      <c r="L18" s="11">
        <v>0</v>
      </c>
      <c r="M18" s="11">
        <f t="shared" si="1"/>
        <v>6</v>
      </c>
      <c r="N18" s="11">
        <f t="shared" si="5"/>
        <v>6</v>
      </c>
      <c r="O18" s="11">
        <v>3</v>
      </c>
      <c r="P18" s="11">
        <v>0</v>
      </c>
      <c r="Q18" s="11">
        <f t="shared" si="2"/>
        <v>2</v>
      </c>
      <c r="R18" s="11">
        <f t="shared" si="3"/>
        <v>2</v>
      </c>
      <c r="S18" s="11">
        <f t="shared" si="4"/>
        <v>2</v>
      </c>
      <c r="T18" s="11">
        <v>0</v>
      </c>
      <c r="U18" s="10" t="s">
        <v>171</v>
      </c>
    </row>
    <row r="19" spans="1:21">
      <c r="A19" s="9" t="s">
        <v>21</v>
      </c>
      <c r="B19" s="9" t="s">
        <v>22</v>
      </c>
      <c r="C19" s="13" t="s">
        <v>166</v>
      </c>
      <c r="D19" s="9">
        <v>7</v>
      </c>
      <c r="E19" s="10" t="s">
        <v>167</v>
      </c>
      <c r="F19" s="10" t="s">
        <v>183</v>
      </c>
      <c r="G19" s="11">
        <f t="shared" si="0"/>
        <v>2</v>
      </c>
      <c r="H19" s="10" t="s">
        <v>184</v>
      </c>
      <c r="I19" s="10" t="s">
        <v>185</v>
      </c>
      <c r="J19" s="11">
        <f>G19*4*3</f>
        <v>24</v>
      </c>
      <c r="K19" s="9"/>
      <c r="L19" s="11">
        <v>0</v>
      </c>
      <c r="M19" s="11">
        <f t="shared" si="1"/>
        <v>24</v>
      </c>
      <c r="N19" s="11">
        <f t="shared" si="5"/>
        <v>24</v>
      </c>
      <c r="O19" s="11">
        <v>3</v>
      </c>
      <c r="P19" s="11">
        <v>0</v>
      </c>
      <c r="Q19" s="11">
        <f t="shared" si="2"/>
        <v>8</v>
      </c>
      <c r="R19" s="11">
        <f t="shared" si="3"/>
        <v>8</v>
      </c>
      <c r="S19" s="11">
        <f t="shared" si="4"/>
        <v>8</v>
      </c>
      <c r="T19" s="11">
        <v>0</v>
      </c>
      <c r="U19" s="10" t="s">
        <v>171</v>
      </c>
    </row>
    <row r="20" spans="1:21">
      <c r="A20" s="9" t="s">
        <v>21</v>
      </c>
      <c r="B20" s="9" t="s">
        <v>22</v>
      </c>
      <c r="C20" s="13" t="s">
        <v>166</v>
      </c>
      <c r="D20" s="9">
        <v>8</v>
      </c>
      <c r="E20" s="10" t="s">
        <v>186</v>
      </c>
      <c r="F20" s="10" t="s">
        <v>168</v>
      </c>
      <c r="G20" s="11">
        <f t="shared" ref="G20:G26" si="6">$E$5</f>
        <v>2.1</v>
      </c>
      <c r="H20" s="10" t="s">
        <v>169</v>
      </c>
      <c r="I20" s="10" t="s">
        <v>187</v>
      </c>
      <c r="J20" s="11">
        <f>G20*1*3</f>
        <v>6.3000000000000007</v>
      </c>
      <c r="K20" s="9"/>
      <c r="L20" s="11">
        <v>0</v>
      </c>
      <c r="M20" s="11">
        <f t="shared" si="1"/>
        <v>6</v>
      </c>
      <c r="N20" s="11">
        <f t="shared" si="5"/>
        <v>6</v>
      </c>
      <c r="O20" s="11">
        <v>3</v>
      </c>
      <c r="P20" s="11">
        <v>0</v>
      </c>
      <c r="Q20" s="11">
        <f t="shared" si="2"/>
        <v>2</v>
      </c>
      <c r="R20" s="11">
        <f t="shared" si="3"/>
        <v>2</v>
      </c>
      <c r="S20" s="11">
        <f t="shared" si="4"/>
        <v>2</v>
      </c>
      <c r="T20" s="11">
        <v>0</v>
      </c>
      <c r="U20" s="10" t="s">
        <v>171</v>
      </c>
    </row>
    <row r="21" spans="1:21">
      <c r="A21" s="9" t="s">
        <v>21</v>
      </c>
      <c r="B21" s="9" t="s">
        <v>22</v>
      </c>
      <c r="C21" s="13" t="s">
        <v>166</v>
      </c>
      <c r="D21" s="9">
        <v>9</v>
      </c>
      <c r="E21" s="10" t="s">
        <v>186</v>
      </c>
      <c r="F21" s="10" t="s">
        <v>172</v>
      </c>
      <c r="G21" s="11">
        <f t="shared" si="6"/>
        <v>2.1</v>
      </c>
      <c r="H21" s="10" t="s">
        <v>173</v>
      </c>
      <c r="I21" s="10" t="s">
        <v>188</v>
      </c>
      <c r="J21" s="11">
        <f>G21*3*3</f>
        <v>18.900000000000002</v>
      </c>
      <c r="K21" s="9"/>
      <c r="L21" s="11">
        <v>0</v>
      </c>
      <c r="M21" s="11">
        <f t="shared" si="1"/>
        <v>19</v>
      </c>
      <c r="N21" s="11">
        <f t="shared" si="5"/>
        <v>19</v>
      </c>
      <c r="O21" s="11">
        <v>3</v>
      </c>
      <c r="P21" s="11">
        <v>0</v>
      </c>
      <c r="Q21" s="11">
        <f t="shared" si="2"/>
        <v>6</v>
      </c>
      <c r="R21" s="11">
        <f t="shared" si="3"/>
        <v>6</v>
      </c>
      <c r="S21" s="11">
        <f t="shared" si="4"/>
        <v>7</v>
      </c>
      <c r="T21" s="11">
        <v>0</v>
      </c>
      <c r="U21" s="10" t="s">
        <v>171</v>
      </c>
    </row>
    <row r="22" spans="1:21">
      <c r="A22" s="9" t="s">
        <v>21</v>
      </c>
      <c r="B22" s="9" t="s">
        <v>22</v>
      </c>
      <c r="C22" s="13" t="s">
        <v>166</v>
      </c>
      <c r="D22" s="9">
        <v>10</v>
      </c>
      <c r="E22" s="10" t="s">
        <v>186</v>
      </c>
      <c r="F22" s="10" t="s">
        <v>175</v>
      </c>
      <c r="G22" s="11">
        <f t="shared" si="6"/>
        <v>2.1</v>
      </c>
      <c r="H22" s="10" t="s">
        <v>176</v>
      </c>
      <c r="I22" s="10" t="s">
        <v>189</v>
      </c>
      <c r="J22" s="11">
        <f>G22*6*3</f>
        <v>37.800000000000004</v>
      </c>
      <c r="K22" s="9"/>
      <c r="L22" s="11">
        <v>0</v>
      </c>
      <c r="M22" s="11">
        <f t="shared" si="1"/>
        <v>38</v>
      </c>
      <c r="N22" s="11">
        <f t="shared" si="5"/>
        <v>38</v>
      </c>
      <c r="O22" s="11">
        <v>3</v>
      </c>
      <c r="P22" s="11">
        <v>0</v>
      </c>
      <c r="Q22" s="11">
        <f t="shared" si="2"/>
        <v>12</v>
      </c>
      <c r="R22" s="11">
        <f t="shared" si="3"/>
        <v>12</v>
      </c>
      <c r="S22" s="11">
        <f t="shared" si="4"/>
        <v>14</v>
      </c>
      <c r="T22" s="11">
        <v>0</v>
      </c>
      <c r="U22" s="10" t="s">
        <v>171</v>
      </c>
    </row>
    <row r="23" spans="1:21">
      <c r="A23" s="9" t="s">
        <v>21</v>
      </c>
      <c r="B23" s="9" t="s">
        <v>22</v>
      </c>
      <c r="C23" s="13" t="s">
        <v>166</v>
      </c>
      <c r="D23" s="9">
        <v>11</v>
      </c>
      <c r="E23" s="10" t="s">
        <v>186</v>
      </c>
      <c r="F23" s="10" t="s">
        <v>178</v>
      </c>
      <c r="G23" s="11">
        <f t="shared" si="6"/>
        <v>2.1</v>
      </c>
      <c r="H23" s="10" t="s">
        <v>179</v>
      </c>
      <c r="I23" s="10" t="s">
        <v>190</v>
      </c>
      <c r="J23" s="11">
        <f>G23*2*3</f>
        <v>12.600000000000001</v>
      </c>
      <c r="K23" s="9"/>
      <c r="L23" s="11">
        <v>0</v>
      </c>
      <c r="M23" s="11">
        <f t="shared" si="1"/>
        <v>13</v>
      </c>
      <c r="N23" s="11">
        <f t="shared" si="5"/>
        <v>13</v>
      </c>
      <c r="O23" s="11">
        <v>3</v>
      </c>
      <c r="P23" s="11">
        <v>0</v>
      </c>
      <c r="Q23" s="11">
        <f t="shared" si="2"/>
        <v>4</v>
      </c>
      <c r="R23" s="11">
        <f t="shared" si="3"/>
        <v>4</v>
      </c>
      <c r="S23" s="11">
        <f t="shared" si="4"/>
        <v>5</v>
      </c>
      <c r="T23" s="11">
        <v>0</v>
      </c>
      <c r="U23" s="10" t="s">
        <v>171</v>
      </c>
    </row>
    <row r="24" spans="1:21">
      <c r="A24" s="9" t="s">
        <v>21</v>
      </c>
      <c r="B24" s="9" t="s">
        <v>22</v>
      </c>
      <c r="C24" s="13" t="s">
        <v>166</v>
      </c>
      <c r="D24" s="9">
        <v>12</v>
      </c>
      <c r="E24" s="10" t="s">
        <v>186</v>
      </c>
      <c r="F24" s="10" t="s">
        <v>181</v>
      </c>
      <c r="G24" s="11">
        <f t="shared" si="6"/>
        <v>2.1</v>
      </c>
      <c r="H24" s="10" t="s">
        <v>169</v>
      </c>
      <c r="I24" s="10" t="s">
        <v>187</v>
      </c>
      <c r="J24" s="11">
        <f>G24*1*3</f>
        <v>6.3000000000000007</v>
      </c>
      <c r="K24" s="9"/>
      <c r="L24" s="11">
        <v>0</v>
      </c>
      <c r="M24" s="11">
        <f t="shared" si="1"/>
        <v>6</v>
      </c>
      <c r="N24" s="11">
        <f t="shared" si="5"/>
        <v>6</v>
      </c>
      <c r="O24" s="11">
        <v>3</v>
      </c>
      <c r="P24" s="11">
        <v>0</v>
      </c>
      <c r="Q24" s="11">
        <f t="shared" si="2"/>
        <v>2</v>
      </c>
      <c r="R24" s="11">
        <f t="shared" si="3"/>
        <v>2</v>
      </c>
      <c r="S24" s="11">
        <f t="shared" si="4"/>
        <v>2</v>
      </c>
      <c r="T24" s="11">
        <v>0</v>
      </c>
      <c r="U24" s="10" t="s">
        <v>171</v>
      </c>
    </row>
    <row r="25" spans="1:21">
      <c r="A25" s="9" t="s">
        <v>21</v>
      </c>
      <c r="B25" s="9" t="s">
        <v>22</v>
      </c>
      <c r="C25" s="13" t="s">
        <v>166</v>
      </c>
      <c r="D25" s="9">
        <v>13</v>
      </c>
      <c r="E25" s="10" t="s">
        <v>186</v>
      </c>
      <c r="F25" s="10" t="s">
        <v>182</v>
      </c>
      <c r="G25" s="11">
        <f t="shared" si="6"/>
        <v>2.1</v>
      </c>
      <c r="H25" s="10" t="s">
        <v>169</v>
      </c>
      <c r="I25" s="10" t="s">
        <v>187</v>
      </c>
      <c r="J25" s="11">
        <f>G25*1*3</f>
        <v>6.3000000000000007</v>
      </c>
      <c r="K25" s="9"/>
      <c r="L25" s="11">
        <v>0</v>
      </c>
      <c r="M25" s="11">
        <f t="shared" si="1"/>
        <v>6</v>
      </c>
      <c r="N25" s="11">
        <f t="shared" si="5"/>
        <v>6</v>
      </c>
      <c r="O25" s="11">
        <v>3</v>
      </c>
      <c r="P25" s="11">
        <v>0</v>
      </c>
      <c r="Q25" s="11">
        <f t="shared" si="2"/>
        <v>2</v>
      </c>
      <c r="R25" s="11">
        <f t="shared" si="3"/>
        <v>2</v>
      </c>
      <c r="S25" s="11">
        <f t="shared" si="4"/>
        <v>2</v>
      </c>
      <c r="T25" s="11">
        <v>0</v>
      </c>
      <c r="U25" s="10" t="s">
        <v>171</v>
      </c>
    </row>
    <row r="26" spans="1:21">
      <c r="A26" s="9" t="s">
        <v>21</v>
      </c>
      <c r="B26" s="9" t="s">
        <v>22</v>
      </c>
      <c r="C26" s="13" t="s">
        <v>166</v>
      </c>
      <c r="D26" s="9">
        <v>14</v>
      </c>
      <c r="E26" s="10" t="s">
        <v>186</v>
      </c>
      <c r="F26" s="10" t="s">
        <v>183</v>
      </c>
      <c r="G26" s="11">
        <f t="shared" si="6"/>
        <v>2.1</v>
      </c>
      <c r="H26" s="10" t="s">
        <v>184</v>
      </c>
      <c r="I26" s="10" t="s">
        <v>191</v>
      </c>
      <c r="J26" s="11">
        <f>G26*4*3</f>
        <v>25.200000000000003</v>
      </c>
      <c r="K26" s="9"/>
      <c r="L26" s="11">
        <v>0</v>
      </c>
      <c r="M26" s="11">
        <f t="shared" si="1"/>
        <v>25</v>
      </c>
      <c r="N26" s="11">
        <f t="shared" si="5"/>
        <v>25</v>
      </c>
      <c r="O26" s="11">
        <v>3</v>
      </c>
      <c r="P26" s="11">
        <v>0</v>
      </c>
      <c r="Q26" s="11">
        <f t="shared" si="2"/>
        <v>8</v>
      </c>
      <c r="R26" s="11">
        <f t="shared" si="3"/>
        <v>8</v>
      </c>
      <c r="S26" s="11">
        <f t="shared" si="4"/>
        <v>9</v>
      </c>
      <c r="T26" s="11">
        <v>0</v>
      </c>
      <c r="U26" s="10" t="s">
        <v>171</v>
      </c>
    </row>
    <row r="27" spans="1:21">
      <c r="A27" s="9" t="s">
        <v>21</v>
      </c>
      <c r="B27" s="9" t="s">
        <v>22</v>
      </c>
      <c r="C27" s="13" t="s">
        <v>166</v>
      </c>
      <c r="D27" s="9">
        <v>15</v>
      </c>
      <c r="E27" s="10" t="s">
        <v>192</v>
      </c>
      <c r="F27" s="10" t="s">
        <v>168</v>
      </c>
      <c r="G27" s="11">
        <f t="shared" ref="G27:G33" si="7">$E$6</f>
        <v>2.6</v>
      </c>
      <c r="H27" s="10" t="s">
        <v>169</v>
      </c>
      <c r="I27" s="10" t="s">
        <v>193</v>
      </c>
      <c r="J27" s="11">
        <f>G27*1*3</f>
        <v>7.8000000000000007</v>
      </c>
      <c r="K27" s="9"/>
      <c r="L27" s="11">
        <v>0</v>
      </c>
      <c r="M27" s="11">
        <f t="shared" si="1"/>
        <v>8</v>
      </c>
      <c r="N27" s="11">
        <f t="shared" si="5"/>
        <v>8</v>
      </c>
      <c r="O27" s="11">
        <v>3</v>
      </c>
      <c r="P27" s="11">
        <v>0</v>
      </c>
      <c r="Q27" s="11">
        <f t="shared" si="2"/>
        <v>2</v>
      </c>
      <c r="R27" s="11">
        <f t="shared" si="3"/>
        <v>2</v>
      </c>
      <c r="S27" s="11">
        <f t="shared" si="4"/>
        <v>4</v>
      </c>
      <c r="T27" s="11">
        <v>0</v>
      </c>
      <c r="U27" s="10" t="s">
        <v>194</v>
      </c>
    </row>
    <row r="28" spans="1:21">
      <c r="A28" s="9" t="s">
        <v>21</v>
      </c>
      <c r="B28" s="9" t="s">
        <v>22</v>
      </c>
      <c r="C28" s="13" t="s">
        <v>166</v>
      </c>
      <c r="D28" s="9">
        <v>16</v>
      </c>
      <c r="E28" s="10" t="s">
        <v>192</v>
      </c>
      <c r="F28" s="10" t="s">
        <v>172</v>
      </c>
      <c r="G28" s="11">
        <f t="shared" si="7"/>
        <v>2.6</v>
      </c>
      <c r="H28" s="10" t="s">
        <v>195</v>
      </c>
      <c r="I28" s="10" t="s">
        <v>193</v>
      </c>
      <c r="J28" s="11">
        <f>G28*1*3</f>
        <v>7.8000000000000007</v>
      </c>
      <c r="K28" s="9"/>
      <c r="L28" s="11">
        <v>0</v>
      </c>
      <c r="M28" s="11">
        <f t="shared" si="1"/>
        <v>8</v>
      </c>
      <c r="N28" s="11">
        <f t="shared" si="5"/>
        <v>8</v>
      </c>
      <c r="O28" s="11">
        <v>3</v>
      </c>
      <c r="P28" s="11">
        <v>0</v>
      </c>
      <c r="Q28" s="11">
        <f t="shared" si="2"/>
        <v>2</v>
      </c>
      <c r="R28" s="11">
        <f t="shared" si="3"/>
        <v>2</v>
      </c>
      <c r="S28" s="11">
        <f t="shared" si="4"/>
        <v>4</v>
      </c>
      <c r="T28" s="11">
        <v>0</v>
      </c>
      <c r="U28" s="10" t="s">
        <v>194</v>
      </c>
    </row>
    <row r="29" spans="1:21">
      <c r="A29" s="9" t="s">
        <v>21</v>
      </c>
      <c r="B29" s="9" t="s">
        <v>22</v>
      </c>
      <c r="C29" s="13" t="s">
        <v>166</v>
      </c>
      <c r="D29" s="9">
        <v>17</v>
      </c>
      <c r="E29" s="10" t="s">
        <v>192</v>
      </c>
      <c r="F29" s="10" t="s">
        <v>175</v>
      </c>
      <c r="G29" s="11">
        <f t="shared" si="7"/>
        <v>2.6</v>
      </c>
      <c r="H29" s="10" t="s">
        <v>196</v>
      </c>
      <c r="I29" s="10" t="s">
        <v>197</v>
      </c>
      <c r="J29" s="11">
        <f>G29*2*3</f>
        <v>15.600000000000001</v>
      </c>
      <c r="K29" s="9"/>
      <c r="L29" s="11">
        <v>0</v>
      </c>
      <c r="M29" s="11">
        <f t="shared" si="1"/>
        <v>16</v>
      </c>
      <c r="N29" s="11">
        <f t="shared" si="5"/>
        <v>16</v>
      </c>
      <c r="O29" s="11">
        <v>3</v>
      </c>
      <c r="P29" s="11">
        <v>0</v>
      </c>
      <c r="Q29" s="11">
        <f t="shared" si="2"/>
        <v>5</v>
      </c>
      <c r="R29" s="11">
        <f t="shared" si="3"/>
        <v>5</v>
      </c>
      <c r="S29" s="11">
        <f t="shared" si="4"/>
        <v>6</v>
      </c>
      <c r="T29" s="11">
        <v>0</v>
      </c>
      <c r="U29" s="10" t="s">
        <v>194</v>
      </c>
    </row>
    <row r="30" spans="1:21">
      <c r="A30" s="9" t="s">
        <v>21</v>
      </c>
      <c r="B30" s="9" t="s">
        <v>22</v>
      </c>
      <c r="C30" s="13" t="s">
        <v>166</v>
      </c>
      <c r="D30" s="9">
        <v>18</v>
      </c>
      <c r="E30" s="10" t="s">
        <v>192</v>
      </c>
      <c r="F30" s="10" t="s">
        <v>178</v>
      </c>
      <c r="G30" s="11">
        <f t="shared" si="7"/>
        <v>2.6</v>
      </c>
      <c r="H30" s="10" t="s">
        <v>169</v>
      </c>
      <c r="I30" s="10" t="s">
        <v>193</v>
      </c>
      <c r="J30" s="11">
        <f>G30*1*3</f>
        <v>7.8000000000000007</v>
      </c>
      <c r="K30" s="9"/>
      <c r="L30" s="11">
        <v>0</v>
      </c>
      <c r="M30" s="11">
        <f t="shared" si="1"/>
        <v>8</v>
      </c>
      <c r="N30" s="11">
        <f t="shared" si="5"/>
        <v>8</v>
      </c>
      <c r="O30" s="11">
        <v>3</v>
      </c>
      <c r="P30" s="11">
        <v>0</v>
      </c>
      <c r="Q30" s="11">
        <f t="shared" si="2"/>
        <v>2</v>
      </c>
      <c r="R30" s="11">
        <f t="shared" si="3"/>
        <v>2</v>
      </c>
      <c r="S30" s="11">
        <f t="shared" si="4"/>
        <v>4</v>
      </c>
      <c r="T30" s="11">
        <v>0</v>
      </c>
      <c r="U30" s="10" t="s">
        <v>194</v>
      </c>
    </row>
    <row r="31" spans="1:21">
      <c r="A31" s="9" t="s">
        <v>21</v>
      </c>
      <c r="B31" s="9" t="s">
        <v>22</v>
      </c>
      <c r="C31" s="13" t="s">
        <v>166</v>
      </c>
      <c r="D31" s="9">
        <v>19</v>
      </c>
      <c r="E31" s="10" t="s">
        <v>192</v>
      </c>
      <c r="F31" s="10" t="s">
        <v>181</v>
      </c>
      <c r="G31" s="11">
        <f t="shared" si="7"/>
        <v>2.6</v>
      </c>
      <c r="H31" s="10" t="s">
        <v>198</v>
      </c>
      <c r="I31" s="10" t="s">
        <v>199</v>
      </c>
      <c r="J31" s="11">
        <f>G31*0*3</f>
        <v>0</v>
      </c>
      <c r="K31" s="9"/>
      <c r="L31" s="11">
        <v>0</v>
      </c>
      <c r="M31" s="11">
        <f t="shared" si="1"/>
        <v>0</v>
      </c>
      <c r="N31" s="11">
        <f t="shared" si="5"/>
        <v>0</v>
      </c>
      <c r="O31" s="11">
        <v>3</v>
      </c>
      <c r="P31" s="11">
        <v>0</v>
      </c>
      <c r="Q31" s="11">
        <f t="shared" si="2"/>
        <v>0</v>
      </c>
      <c r="R31" s="11">
        <f t="shared" si="3"/>
        <v>0</v>
      </c>
      <c r="S31" s="11">
        <f t="shared" si="4"/>
        <v>0</v>
      </c>
      <c r="T31" s="11">
        <v>0</v>
      </c>
      <c r="U31" s="10" t="s">
        <v>194</v>
      </c>
    </row>
    <row r="32" spans="1:21">
      <c r="A32" s="9" t="s">
        <v>21</v>
      </c>
      <c r="B32" s="9" t="s">
        <v>22</v>
      </c>
      <c r="C32" s="13" t="s">
        <v>166</v>
      </c>
      <c r="D32" s="9">
        <v>20</v>
      </c>
      <c r="E32" s="10" t="s">
        <v>192</v>
      </c>
      <c r="F32" s="10" t="s">
        <v>182</v>
      </c>
      <c r="G32" s="11">
        <f t="shared" si="7"/>
        <v>2.6</v>
      </c>
      <c r="H32" s="10" t="s">
        <v>169</v>
      </c>
      <c r="I32" s="10" t="s">
        <v>193</v>
      </c>
      <c r="J32" s="11">
        <f>G32*1*3</f>
        <v>7.8000000000000007</v>
      </c>
      <c r="K32" s="9"/>
      <c r="L32" s="11">
        <v>0</v>
      </c>
      <c r="M32" s="11">
        <f t="shared" si="1"/>
        <v>8</v>
      </c>
      <c r="N32" s="11">
        <f t="shared" si="5"/>
        <v>8</v>
      </c>
      <c r="O32" s="11">
        <v>3</v>
      </c>
      <c r="P32" s="11">
        <v>0</v>
      </c>
      <c r="Q32" s="11">
        <f t="shared" si="2"/>
        <v>2</v>
      </c>
      <c r="R32" s="11">
        <f t="shared" si="3"/>
        <v>2</v>
      </c>
      <c r="S32" s="11">
        <f t="shared" si="4"/>
        <v>4</v>
      </c>
      <c r="T32" s="11">
        <v>0</v>
      </c>
      <c r="U32" s="10" t="s">
        <v>194</v>
      </c>
    </row>
    <row r="33" spans="1:21">
      <c r="A33" s="9" t="s">
        <v>21</v>
      </c>
      <c r="B33" s="9" t="s">
        <v>22</v>
      </c>
      <c r="C33" s="13" t="s">
        <v>166</v>
      </c>
      <c r="D33" s="9">
        <v>21</v>
      </c>
      <c r="E33" s="10" t="s">
        <v>192</v>
      </c>
      <c r="F33" s="10" t="s">
        <v>183</v>
      </c>
      <c r="G33" s="11">
        <f t="shared" si="7"/>
        <v>2.6</v>
      </c>
      <c r="H33" s="10" t="s">
        <v>184</v>
      </c>
      <c r="I33" s="10" t="s">
        <v>200</v>
      </c>
      <c r="J33" s="11">
        <f>G33*4*3</f>
        <v>31.200000000000003</v>
      </c>
      <c r="K33" s="9"/>
      <c r="L33" s="11">
        <v>0</v>
      </c>
      <c r="M33" s="11">
        <f t="shared" si="1"/>
        <v>31</v>
      </c>
      <c r="N33" s="11">
        <f t="shared" si="5"/>
        <v>31</v>
      </c>
      <c r="O33" s="11">
        <v>3</v>
      </c>
      <c r="P33" s="11">
        <v>0</v>
      </c>
      <c r="Q33" s="11">
        <f t="shared" si="2"/>
        <v>10</v>
      </c>
      <c r="R33" s="11">
        <f t="shared" si="3"/>
        <v>10</v>
      </c>
      <c r="S33" s="11">
        <f t="shared" si="4"/>
        <v>11</v>
      </c>
      <c r="T33" s="11">
        <v>0</v>
      </c>
      <c r="U33" s="10" t="s">
        <v>194</v>
      </c>
    </row>
    <row r="34" spans="1:21">
      <c r="A34" s="9" t="s">
        <v>21</v>
      </c>
      <c r="B34" s="9" t="s">
        <v>22</v>
      </c>
      <c r="C34" s="13" t="s">
        <v>166</v>
      </c>
      <c r="D34" s="9">
        <v>22</v>
      </c>
      <c r="E34" s="10" t="s">
        <v>201</v>
      </c>
      <c r="F34" s="10" t="s">
        <v>168</v>
      </c>
      <c r="G34" s="11">
        <f t="shared" ref="G34:G40" si="8">$E$7</f>
        <v>0.5</v>
      </c>
      <c r="H34" s="10" t="s">
        <v>169</v>
      </c>
      <c r="I34" s="10" t="s">
        <v>202</v>
      </c>
      <c r="J34" s="11">
        <f>G34*1*3</f>
        <v>1.5</v>
      </c>
      <c r="K34" s="9"/>
      <c r="L34" s="11">
        <v>0</v>
      </c>
      <c r="M34" s="11">
        <f t="shared" si="1"/>
        <v>2</v>
      </c>
      <c r="N34" s="11">
        <f t="shared" si="5"/>
        <v>2</v>
      </c>
      <c r="O34" s="11">
        <v>3</v>
      </c>
      <c r="P34" s="11">
        <v>0</v>
      </c>
      <c r="Q34" s="11">
        <f t="shared" si="2"/>
        <v>0</v>
      </c>
      <c r="R34" s="11">
        <f t="shared" si="3"/>
        <v>0</v>
      </c>
      <c r="S34" s="11">
        <f t="shared" si="4"/>
        <v>2</v>
      </c>
      <c r="T34" s="11">
        <v>0</v>
      </c>
      <c r="U34" s="10" t="s">
        <v>203</v>
      </c>
    </row>
    <row r="35" spans="1:21">
      <c r="A35" s="9" t="s">
        <v>21</v>
      </c>
      <c r="B35" s="9" t="s">
        <v>22</v>
      </c>
      <c r="C35" s="13" t="s">
        <v>166</v>
      </c>
      <c r="D35" s="9">
        <v>23</v>
      </c>
      <c r="E35" s="10" t="s">
        <v>201</v>
      </c>
      <c r="F35" s="10" t="s">
        <v>172</v>
      </c>
      <c r="G35" s="11">
        <f t="shared" si="8"/>
        <v>0.5</v>
      </c>
      <c r="H35" s="10" t="s">
        <v>204</v>
      </c>
      <c r="I35" s="10" t="s">
        <v>205</v>
      </c>
      <c r="J35" s="11">
        <f>G35*2*3</f>
        <v>3</v>
      </c>
      <c r="K35" s="9"/>
      <c r="L35" s="11">
        <v>0</v>
      </c>
      <c r="M35" s="11">
        <f t="shared" si="1"/>
        <v>3</v>
      </c>
      <c r="N35" s="11">
        <f t="shared" si="5"/>
        <v>3</v>
      </c>
      <c r="O35" s="11">
        <v>3</v>
      </c>
      <c r="P35" s="11">
        <v>0</v>
      </c>
      <c r="Q35" s="11">
        <f t="shared" si="2"/>
        <v>1</v>
      </c>
      <c r="R35" s="11">
        <f t="shared" si="3"/>
        <v>1</v>
      </c>
      <c r="S35" s="11">
        <f t="shared" si="4"/>
        <v>1</v>
      </c>
      <c r="T35" s="11">
        <v>0</v>
      </c>
      <c r="U35" s="10" t="s">
        <v>203</v>
      </c>
    </row>
    <row r="36" spans="1:21">
      <c r="A36" s="9" t="s">
        <v>21</v>
      </c>
      <c r="B36" s="9" t="s">
        <v>22</v>
      </c>
      <c r="C36" s="13" t="s">
        <v>166</v>
      </c>
      <c r="D36" s="9">
        <v>24</v>
      </c>
      <c r="E36" s="10" t="s">
        <v>201</v>
      </c>
      <c r="F36" s="10" t="s">
        <v>175</v>
      </c>
      <c r="G36" s="11">
        <f t="shared" si="8"/>
        <v>0.5</v>
      </c>
      <c r="H36" s="10" t="s">
        <v>206</v>
      </c>
      <c r="I36" s="10" t="s">
        <v>207</v>
      </c>
      <c r="J36" s="11">
        <f>G36*3*3</f>
        <v>4.5</v>
      </c>
      <c r="K36" s="9"/>
      <c r="L36" s="11">
        <v>0</v>
      </c>
      <c r="M36" s="11">
        <f t="shared" si="1"/>
        <v>5</v>
      </c>
      <c r="N36" s="11">
        <f t="shared" si="5"/>
        <v>5</v>
      </c>
      <c r="O36" s="11">
        <v>3</v>
      </c>
      <c r="P36" s="11">
        <v>0</v>
      </c>
      <c r="Q36" s="11">
        <f t="shared" si="2"/>
        <v>1</v>
      </c>
      <c r="R36" s="11">
        <f t="shared" si="3"/>
        <v>1</v>
      </c>
      <c r="S36" s="11">
        <f t="shared" si="4"/>
        <v>3</v>
      </c>
      <c r="T36" s="11">
        <v>0</v>
      </c>
      <c r="U36" s="10" t="s">
        <v>203</v>
      </c>
    </row>
    <row r="37" spans="1:21">
      <c r="A37" s="9" t="s">
        <v>21</v>
      </c>
      <c r="B37" s="9" t="s">
        <v>22</v>
      </c>
      <c r="C37" s="13" t="s">
        <v>166</v>
      </c>
      <c r="D37" s="9">
        <v>25</v>
      </c>
      <c r="E37" s="10" t="s">
        <v>201</v>
      </c>
      <c r="F37" s="10" t="s">
        <v>178</v>
      </c>
      <c r="G37" s="11">
        <f t="shared" si="8"/>
        <v>0.5</v>
      </c>
      <c r="H37" s="10" t="s">
        <v>169</v>
      </c>
      <c r="I37" s="10" t="s">
        <v>202</v>
      </c>
      <c r="J37" s="11">
        <f>G37*1*3</f>
        <v>1.5</v>
      </c>
      <c r="K37" s="9"/>
      <c r="L37" s="11">
        <v>0</v>
      </c>
      <c r="M37" s="11">
        <f t="shared" si="1"/>
        <v>2</v>
      </c>
      <c r="N37" s="11">
        <f t="shared" si="5"/>
        <v>2</v>
      </c>
      <c r="O37" s="11">
        <v>3</v>
      </c>
      <c r="P37" s="11">
        <v>0</v>
      </c>
      <c r="Q37" s="11">
        <f t="shared" si="2"/>
        <v>0</v>
      </c>
      <c r="R37" s="11">
        <f t="shared" si="3"/>
        <v>0</v>
      </c>
      <c r="S37" s="11">
        <f t="shared" si="4"/>
        <v>2</v>
      </c>
      <c r="T37" s="11">
        <v>0</v>
      </c>
      <c r="U37" s="10" t="s">
        <v>203</v>
      </c>
    </row>
    <row r="38" spans="1:21">
      <c r="A38" s="9" t="s">
        <v>21</v>
      </c>
      <c r="B38" s="9" t="s">
        <v>22</v>
      </c>
      <c r="C38" s="13" t="s">
        <v>166</v>
      </c>
      <c r="D38" s="9">
        <v>26</v>
      </c>
      <c r="E38" s="10" t="s">
        <v>201</v>
      </c>
      <c r="F38" s="10" t="s">
        <v>181</v>
      </c>
      <c r="G38" s="11">
        <f t="shared" si="8"/>
        <v>0.5</v>
      </c>
      <c r="H38" s="10" t="s">
        <v>169</v>
      </c>
      <c r="I38" s="10" t="s">
        <v>202</v>
      </c>
      <c r="J38" s="11">
        <f>G38*1*3</f>
        <v>1.5</v>
      </c>
      <c r="K38" s="9"/>
      <c r="L38" s="11">
        <v>0</v>
      </c>
      <c r="M38" s="11">
        <f t="shared" si="1"/>
        <v>2</v>
      </c>
      <c r="N38" s="11">
        <f t="shared" si="5"/>
        <v>2</v>
      </c>
      <c r="O38" s="11">
        <v>3</v>
      </c>
      <c r="P38" s="11">
        <v>0</v>
      </c>
      <c r="Q38" s="11">
        <f t="shared" si="2"/>
        <v>0</v>
      </c>
      <c r="R38" s="11">
        <f t="shared" si="3"/>
        <v>0</v>
      </c>
      <c r="S38" s="11">
        <f t="shared" si="4"/>
        <v>2</v>
      </c>
      <c r="T38" s="11">
        <v>0</v>
      </c>
      <c r="U38" s="10" t="s">
        <v>203</v>
      </c>
    </row>
    <row r="39" spans="1:21">
      <c r="A39" s="9" t="s">
        <v>21</v>
      </c>
      <c r="B39" s="9" t="s">
        <v>22</v>
      </c>
      <c r="C39" s="13" t="s">
        <v>166</v>
      </c>
      <c r="D39" s="9">
        <v>27</v>
      </c>
      <c r="E39" s="10" t="s">
        <v>201</v>
      </c>
      <c r="F39" s="10" t="s">
        <v>182</v>
      </c>
      <c r="G39" s="11">
        <f t="shared" si="8"/>
        <v>0.5</v>
      </c>
      <c r="H39" s="10" t="s">
        <v>169</v>
      </c>
      <c r="I39" s="10" t="s">
        <v>202</v>
      </c>
      <c r="J39" s="11">
        <f>G39*1*3</f>
        <v>1.5</v>
      </c>
      <c r="K39" s="9"/>
      <c r="L39" s="11">
        <v>0</v>
      </c>
      <c r="M39" s="11">
        <f t="shared" si="1"/>
        <v>2</v>
      </c>
      <c r="N39" s="11">
        <f t="shared" si="5"/>
        <v>2</v>
      </c>
      <c r="O39" s="11">
        <v>3</v>
      </c>
      <c r="P39" s="11">
        <v>0</v>
      </c>
      <c r="Q39" s="11">
        <f t="shared" si="2"/>
        <v>0</v>
      </c>
      <c r="R39" s="11">
        <f t="shared" si="3"/>
        <v>0</v>
      </c>
      <c r="S39" s="11">
        <f t="shared" si="4"/>
        <v>2</v>
      </c>
      <c r="T39" s="11">
        <v>0</v>
      </c>
      <c r="U39" s="10" t="s">
        <v>203</v>
      </c>
    </row>
    <row r="40" spans="1:21">
      <c r="A40" s="9" t="s">
        <v>21</v>
      </c>
      <c r="B40" s="9" t="s">
        <v>22</v>
      </c>
      <c r="C40" s="13" t="s">
        <v>166</v>
      </c>
      <c r="D40" s="9">
        <v>28</v>
      </c>
      <c r="E40" s="10" t="s">
        <v>201</v>
      </c>
      <c r="F40" s="10" t="s">
        <v>183</v>
      </c>
      <c r="G40" s="11">
        <f t="shared" si="8"/>
        <v>0.5</v>
      </c>
      <c r="H40" s="10" t="s">
        <v>184</v>
      </c>
      <c r="I40" s="10" t="s">
        <v>208</v>
      </c>
      <c r="J40" s="11">
        <f>G40*4*3</f>
        <v>6</v>
      </c>
      <c r="K40" s="9"/>
      <c r="L40" s="11">
        <v>0</v>
      </c>
      <c r="M40" s="11">
        <f t="shared" si="1"/>
        <v>6</v>
      </c>
      <c r="N40" s="11">
        <f t="shared" si="5"/>
        <v>6</v>
      </c>
      <c r="O40" s="11">
        <v>3</v>
      </c>
      <c r="P40" s="11">
        <v>0</v>
      </c>
      <c r="Q40" s="11">
        <f t="shared" si="2"/>
        <v>2</v>
      </c>
      <c r="R40" s="11">
        <f t="shared" si="3"/>
        <v>2</v>
      </c>
      <c r="S40" s="11">
        <f t="shared" si="4"/>
        <v>2</v>
      </c>
      <c r="T40" s="11">
        <v>0</v>
      </c>
      <c r="U40" s="10" t="s">
        <v>203</v>
      </c>
    </row>
    <row r="41" spans="1:21">
      <c r="A41" s="9" t="s">
        <v>21</v>
      </c>
      <c r="B41" s="9" t="s">
        <v>22</v>
      </c>
      <c r="C41" s="13" t="s">
        <v>209</v>
      </c>
      <c r="D41" s="9">
        <v>29</v>
      </c>
      <c r="E41" s="10" t="s">
        <v>210</v>
      </c>
      <c r="F41" s="10" t="s">
        <v>211</v>
      </c>
      <c r="G41" s="11">
        <v>1</v>
      </c>
      <c r="H41" s="10" t="s">
        <v>212</v>
      </c>
      <c r="I41" s="10" t="s">
        <v>213</v>
      </c>
      <c r="J41" s="11">
        <f>SUM($E$4:$E$7)*3</f>
        <v>21.599999999999998</v>
      </c>
      <c r="K41" s="9"/>
      <c r="L41" s="11">
        <v>0</v>
      </c>
      <c r="M41" s="11">
        <f t="shared" si="1"/>
        <v>22</v>
      </c>
      <c r="N41" s="11">
        <f t="shared" si="5"/>
        <v>22</v>
      </c>
      <c r="O41" s="11">
        <v>3</v>
      </c>
      <c r="P41" s="11">
        <v>0</v>
      </c>
      <c r="Q41" s="11">
        <f t="shared" si="2"/>
        <v>7</v>
      </c>
      <c r="R41" s="11">
        <f t="shared" si="3"/>
        <v>7</v>
      </c>
      <c r="S41" s="11">
        <f t="shared" si="4"/>
        <v>8</v>
      </c>
      <c r="T41" s="11">
        <v>0</v>
      </c>
      <c r="U41" s="10"/>
    </row>
    <row r="42" spans="1:21">
      <c r="A42" s="9" t="s">
        <v>21</v>
      </c>
      <c r="B42" s="9" t="s">
        <v>22</v>
      </c>
      <c r="C42" s="13" t="s">
        <v>209</v>
      </c>
      <c r="D42" s="9">
        <v>30</v>
      </c>
      <c r="E42" s="10" t="s">
        <v>210</v>
      </c>
      <c r="F42" s="10" t="s">
        <v>95</v>
      </c>
      <c r="G42" s="11">
        <v>1</v>
      </c>
      <c r="H42" s="10" t="s">
        <v>214</v>
      </c>
      <c r="I42" s="10" t="s">
        <v>159</v>
      </c>
      <c r="J42" s="11">
        <f>4*3</f>
        <v>12</v>
      </c>
      <c r="K42" s="9"/>
      <c r="L42" s="11">
        <v>0</v>
      </c>
      <c r="M42" s="11">
        <f t="shared" si="1"/>
        <v>12</v>
      </c>
      <c r="N42" s="11">
        <f t="shared" si="5"/>
        <v>12</v>
      </c>
      <c r="O42" s="11">
        <v>3</v>
      </c>
      <c r="P42" s="11">
        <v>0</v>
      </c>
      <c r="Q42" s="11">
        <f t="shared" si="2"/>
        <v>4</v>
      </c>
      <c r="R42" s="11">
        <f t="shared" si="3"/>
        <v>4</v>
      </c>
      <c r="S42" s="11">
        <f t="shared" si="4"/>
        <v>4</v>
      </c>
      <c r="T42" s="11">
        <v>0</v>
      </c>
      <c r="U42" s="10"/>
    </row>
    <row r="43" spans="1:21">
      <c r="A43" s="9" t="s">
        <v>21</v>
      </c>
      <c r="B43" s="9" t="s">
        <v>22</v>
      </c>
      <c r="C43" s="13" t="s">
        <v>209</v>
      </c>
      <c r="D43" s="9">
        <v>31</v>
      </c>
      <c r="E43" s="10" t="s">
        <v>210</v>
      </c>
      <c r="F43" s="10" t="s">
        <v>215</v>
      </c>
      <c r="G43" s="11">
        <v>1</v>
      </c>
      <c r="H43" s="10" t="s">
        <v>212</v>
      </c>
      <c r="I43" s="10" t="s">
        <v>216</v>
      </c>
      <c r="J43" s="11">
        <f>SUM($E$4:$E$7)*3</f>
        <v>21.599999999999998</v>
      </c>
      <c r="K43" s="9"/>
      <c r="L43" s="11">
        <v>0</v>
      </c>
      <c r="M43" s="11">
        <f t="shared" si="1"/>
        <v>22</v>
      </c>
      <c r="N43" s="11">
        <f t="shared" si="5"/>
        <v>22</v>
      </c>
      <c r="O43" s="11">
        <v>3</v>
      </c>
      <c r="P43" s="11">
        <v>0</v>
      </c>
      <c r="Q43" s="11">
        <f t="shared" si="2"/>
        <v>7</v>
      </c>
      <c r="R43" s="11">
        <f t="shared" si="3"/>
        <v>7</v>
      </c>
      <c r="S43" s="11">
        <f t="shared" si="4"/>
        <v>8</v>
      </c>
      <c r="T43" s="11">
        <v>0</v>
      </c>
      <c r="U43" s="10"/>
    </row>
    <row r="44" spans="1:21">
      <c r="A44" s="9" t="s">
        <v>21</v>
      </c>
      <c r="B44" s="9" t="s">
        <v>22</v>
      </c>
      <c r="C44" s="13" t="s">
        <v>209</v>
      </c>
      <c r="D44" s="9">
        <v>32</v>
      </c>
      <c r="E44" s="10" t="s">
        <v>210</v>
      </c>
      <c r="F44" s="10" t="s">
        <v>217</v>
      </c>
      <c r="G44" s="11">
        <v>1</v>
      </c>
      <c r="H44" s="10" t="s">
        <v>218</v>
      </c>
      <c r="I44" s="10" t="s">
        <v>219</v>
      </c>
      <c r="J44" s="11">
        <f>ROUNDUP(SUM($E$4:$E$7)/2,0)*3</f>
        <v>12</v>
      </c>
      <c r="K44" s="9"/>
      <c r="L44" s="11">
        <v>0</v>
      </c>
      <c r="M44" s="11">
        <f t="shared" si="1"/>
        <v>12</v>
      </c>
      <c r="N44" s="11">
        <f t="shared" si="5"/>
        <v>12</v>
      </c>
      <c r="O44" s="11">
        <v>3</v>
      </c>
      <c r="P44" s="11">
        <v>0</v>
      </c>
      <c r="Q44" s="11">
        <f t="shared" si="2"/>
        <v>4</v>
      </c>
      <c r="R44" s="11">
        <f t="shared" si="3"/>
        <v>4</v>
      </c>
      <c r="S44" s="11">
        <f t="shared" si="4"/>
        <v>4</v>
      </c>
      <c r="T44" s="11">
        <v>0</v>
      </c>
      <c r="U44" s="10"/>
    </row>
    <row r="45" spans="1:21">
      <c r="A45" s="9" t="s">
        <v>21</v>
      </c>
      <c r="B45" s="9" t="s">
        <v>22</v>
      </c>
      <c r="C45" s="13" t="s">
        <v>209</v>
      </c>
      <c r="D45" s="9">
        <v>33</v>
      </c>
      <c r="E45" s="10" t="s">
        <v>210</v>
      </c>
      <c r="F45" s="10" t="s">
        <v>220</v>
      </c>
      <c r="G45" s="11">
        <v>1</v>
      </c>
      <c r="H45" s="10" t="s">
        <v>218</v>
      </c>
      <c r="I45" s="10" t="s">
        <v>219</v>
      </c>
      <c r="J45" s="11">
        <f>ROUNDUP(SUM($E$4:$E$7)/2,0)*3</f>
        <v>12</v>
      </c>
      <c r="K45" s="9"/>
      <c r="L45" s="11">
        <v>0</v>
      </c>
      <c r="M45" s="11">
        <f t="shared" si="1"/>
        <v>12</v>
      </c>
      <c r="N45" s="11">
        <f t="shared" si="5"/>
        <v>12</v>
      </c>
      <c r="O45" s="11">
        <v>3</v>
      </c>
      <c r="P45" s="11">
        <v>0</v>
      </c>
      <c r="Q45" s="11">
        <f t="shared" si="2"/>
        <v>4</v>
      </c>
      <c r="R45" s="11">
        <f t="shared" si="3"/>
        <v>4</v>
      </c>
      <c r="S45" s="11">
        <f t="shared" si="4"/>
        <v>4</v>
      </c>
      <c r="T45" s="11">
        <v>0</v>
      </c>
      <c r="U45" s="10"/>
    </row>
    <row r="46" spans="1:21">
      <c r="A46" s="9" t="s">
        <v>21</v>
      </c>
      <c r="B46" s="9" t="s">
        <v>22</v>
      </c>
      <c r="C46" s="13" t="s">
        <v>209</v>
      </c>
      <c r="D46" s="9">
        <v>34</v>
      </c>
      <c r="E46" s="10" t="s">
        <v>210</v>
      </c>
      <c r="F46" s="10" t="s">
        <v>221</v>
      </c>
      <c r="G46" s="11">
        <v>1</v>
      </c>
      <c r="H46" s="10" t="s">
        <v>222</v>
      </c>
      <c r="I46" s="10" t="s">
        <v>223</v>
      </c>
      <c r="J46" s="11">
        <f>SUM($E$4:$E$7)*3*3</f>
        <v>64.8</v>
      </c>
      <c r="K46" s="9"/>
      <c r="L46" s="11">
        <v>0</v>
      </c>
      <c r="M46" s="11">
        <f t="shared" si="1"/>
        <v>65</v>
      </c>
      <c r="N46" s="11">
        <f t="shared" si="5"/>
        <v>65</v>
      </c>
      <c r="O46" s="11">
        <v>3</v>
      </c>
      <c r="P46" s="11">
        <v>0</v>
      </c>
      <c r="Q46" s="11">
        <f t="shared" si="2"/>
        <v>21</v>
      </c>
      <c r="R46" s="11">
        <f t="shared" si="3"/>
        <v>21</v>
      </c>
      <c r="S46" s="11">
        <f t="shared" si="4"/>
        <v>23</v>
      </c>
      <c r="T46" s="11">
        <v>0</v>
      </c>
      <c r="U46" s="10"/>
    </row>
    <row r="47" spans="1:21">
      <c r="A47" s="9" t="s">
        <v>21</v>
      </c>
      <c r="B47" s="9" t="s">
        <v>22</v>
      </c>
      <c r="C47" s="13" t="s">
        <v>209</v>
      </c>
      <c r="D47" s="9">
        <v>35</v>
      </c>
      <c r="E47" s="10" t="s">
        <v>210</v>
      </c>
      <c r="F47" s="10" t="s">
        <v>224</v>
      </c>
      <c r="G47" s="11">
        <v>1</v>
      </c>
      <c r="H47" s="10" t="s">
        <v>218</v>
      </c>
      <c r="I47" s="10" t="s">
        <v>219</v>
      </c>
      <c r="J47" s="11">
        <f>ROUNDUP(SUM($E$4:$E$7)/2,0)*3</f>
        <v>12</v>
      </c>
      <c r="K47" s="9"/>
      <c r="L47" s="11">
        <v>0</v>
      </c>
      <c r="M47" s="11">
        <f t="shared" si="1"/>
        <v>12</v>
      </c>
      <c r="N47" s="11">
        <f t="shared" si="5"/>
        <v>12</v>
      </c>
      <c r="O47" s="11">
        <v>3</v>
      </c>
      <c r="P47" s="11">
        <v>0</v>
      </c>
      <c r="Q47" s="11">
        <f t="shared" si="2"/>
        <v>4</v>
      </c>
      <c r="R47" s="11">
        <f t="shared" si="3"/>
        <v>4</v>
      </c>
      <c r="S47" s="11">
        <f t="shared" si="4"/>
        <v>4</v>
      </c>
      <c r="T47" s="11">
        <v>0</v>
      </c>
      <c r="U47" s="10"/>
    </row>
    <row r="48" spans="1:21">
      <c r="A48" s="9" t="s">
        <v>21</v>
      </c>
      <c r="B48" s="9" t="s">
        <v>22</v>
      </c>
      <c r="C48" s="13" t="s">
        <v>209</v>
      </c>
      <c r="D48" s="9">
        <v>36</v>
      </c>
      <c r="E48" s="10" t="s">
        <v>210</v>
      </c>
      <c r="F48" s="10" t="s">
        <v>225</v>
      </c>
      <c r="G48" s="11">
        <v>1</v>
      </c>
      <c r="H48" s="10" t="s">
        <v>226</v>
      </c>
      <c r="I48" s="10" t="s">
        <v>227</v>
      </c>
      <c r="J48" s="11">
        <f>ROUNDUP(4/3,0)*3</f>
        <v>6</v>
      </c>
      <c r="K48" s="9"/>
      <c r="L48" s="11">
        <v>0</v>
      </c>
      <c r="M48" s="11">
        <f t="shared" si="1"/>
        <v>6</v>
      </c>
      <c r="N48" s="11">
        <f t="shared" si="5"/>
        <v>6</v>
      </c>
      <c r="O48" s="11">
        <v>3</v>
      </c>
      <c r="P48" s="11">
        <v>0</v>
      </c>
      <c r="Q48" s="11">
        <f t="shared" si="2"/>
        <v>2</v>
      </c>
      <c r="R48" s="11">
        <f t="shared" si="3"/>
        <v>2</v>
      </c>
      <c r="S48" s="11">
        <f t="shared" si="4"/>
        <v>2</v>
      </c>
      <c r="T48" s="11">
        <v>0</v>
      </c>
      <c r="U48" s="10"/>
    </row>
    <row r="49" spans="1:21">
      <c r="A49" s="9" t="s">
        <v>21</v>
      </c>
      <c r="B49" s="9" t="s">
        <v>22</v>
      </c>
      <c r="C49" s="13" t="s">
        <v>209</v>
      </c>
      <c r="D49" s="9">
        <v>37</v>
      </c>
      <c r="E49" s="10" t="s">
        <v>210</v>
      </c>
      <c r="F49" s="10" t="s">
        <v>228</v>
      </c>
      <c r="G49" s="11">
        <v>1</v>
      </c>
      <c r="H49" s="10" t="s">
        <v>229</v>
      </c>
      <c r="I49" s="10" t="s">
        <v>230</v>
      </c>
      <c r="J49" s="11">
        <f>7*3</f>
        <v>21</v>
      </c>
      <c r="K49" s="9"/>
      <c r="L49" s="11">
        <v>0</v>
      </c>
      <c r="M49" s="11">
        <f t="shared" si="1"/>
        <v>21</v>
      </c>
      <c r="N49" s="11">
        <f t="shared" si="5"/>
        <v>21</v>
      </c>
      <c r="O49" s="11">
        <v>3</v>
      </c>
      <c r="P49" s="11">
        <v>0</v>
      </c>
      <c r="Q49" s="11">
        <f t="shared" si="2"/>
        <v>7</v>
      </c>
      <c r="R49" s="11">
        <f t="shared" si="3"/>
        <v>7</v>
      </c>
      <c r="S49" s="11">
        <f t="shared" si="4"/>
        <v>7</v>
      </c>
      <c r="T49" s="11">
        <v>0</v>
      </c>
      <c r="U49" s="10"/>
    </row>
    <row r="50" spans="1:21">
      <c r="A50" s="9" t="s">
        <v>21</v>
      </c>
      <c r="B50" s="9" t="s">
        <v>22</v>
      </c>
      <c r="C50" s="13" t="s">
        <v>209</v>
      </c>
      <c r="D50" s="9">
        <v>38</v>
      </c>
      <c r="E50" s="10" t="s">
        <v>210</v>
      </c>
      <c r="F50" s="10" t="s">
        <v>125</v>
      </c>
      <c r="G50" s="11">
        <v>1</v>
      </c>
      <c r="H50" s="10" t="s">
        <v>163</v>
      </c>
      <c r="I50" s="10" t="s">
        <v>149</v>
      </c>
      <c r="J50" s="11">
        <f>2*3</f>
        <v>6</v>
      </c>
      <c r="K50" s="9"/>
      <c r="L50" s="11">
        <v>0</v>
      </c>
      <c r="M50" s="11">
        <f t="shared" si="1"/>
        <v>6</v>
      </c>
      <c r="N50" s="11">
        <f t="shared" si="5"/>
        <v>6</v>
      </c>
      <c r="O50" s="11">
        <v>3</v>
      </c>
      <c r="P50" s="11">
        <v>0</v>
      </c>
      <c r="Q50" s="11">
        <f t="shared" si="2"/>
        <v>2</v>
      </c>
      <c r="R50" s="11">
        <f t="shared" si="3"/>
        <v>2</v>
      </c>
      <c r="S50" s="11">
        <f t="shared" si="4"/>
        <v>2</v>
      </c>
      <c r="T50" s="11">
        <v>0</v>
      </c>
      <c r="U50" s="10"/>
    </row>
    <row r="51" spans="1:21">
      <c r="A51" s="9" t="s">
        <v>21</v>
      </c>
      <c r="B51" s="9" t="s">
        <v>22</v>
      </c>
      <c r="C51" s="13" t="s">
        <v>209</v>
      </c>
      <c r="D51" s="9">
        <v>39</v>
      </c>
      <c r="E51" s="10" t="s">
        <v>210</v>
      </c>
      <c r="F51" s="10" t="s">
        <v>231</v>
      </c>
      <c r="G51" s="11">
        <v>1</v>
      </c>
      <c r="H51" s="10" t="s">
        <v>232</v>
      </c>
      <c r="I51" s="10" t="s">
        <v>233</v>
      </c>
      <c r="J51" s="11">
        <f>6*3</f>
        <v>18</v>
      </c>
      <c r="K51" s="9"/>
      <c r="L51" s="11">
        <v>0</v>
      </c>
      <c r="M51" s="11">
        <f t="shared" si="1"/>
        <v>18</v>
      </c>
      <c r="N51" s="11">
        <f t="shared" si="5"/>
        <v>18</v>
      </c>
      <c r="O51" s="11">
        <v>3</v>
      </c>
      <c r="P51" s="11">
        <v>0</v>
      </c>
      <c r="Q51" s="11">
        <f t="shared" si="2"/>
        <v>6</v>
      </c>
      <c r="R51" s="11">
        <f t="shared" si="3"/>
        <v>6</v>
      </c>
      <c r="S51" s="11">
        <f t="shared" si="4"/>
        <v>6</v>
      </c>
      <c r="T51" s="11">
        <v>0</v>
      </c>
      <c r="U51" s="10"/>
    </row>
    <row r="52" spans="1:21">
      <c r="A52" s="9" t="s">
        <v>21</v>
      </c>
      <c r="B52" s="9" t="s">
        <v>22</v>
      </c>
      <c r="C52" s="13" t="s">
        <v>209</v>
      </c>
      <c r="D52" s="9">
        <v>40</v>
      </c>
      <c r="E52" s="10" t="s">
        <v>210</v>
      </c>
      <c r="F52" s="10" t="s">
        <v>234</v>
      </c>
      <c r="G52" s="11">
        <v>1</v>
      </c>
      <c r="H52" s="10" t="s">
        <v>232</v>
      </c>
      <c r="I52" s="10" t="s">
        <v>233</v>
      </c>
      <c r="J52" s="11">
        <f>6*3</f>
        <v>18</v>
      </c>
      <c r="K52" s="9"/>
      <c r="L52" s="11">
        <v>0</v>
      </c>
      <c r="M52" s="11">
        <f t="shared" si="1"/>
        <v>18</v>
      </c>
      <c r="N52" s="11">
        <f t="shared" si="5"/>
        <v>18</v>
      </c>
      <c r="O52" s="11">
        <v>3</v>
      </c>
      <c r="P52" s="11">
        <v>0</v>
      </c>
      <c r="Q52" s="11">
        <f t="shared" si="2"/>
        <v>6</v>
      </c>
      <c r="R52" s="11">
        <f t="shared" si="3"/>
        <v>6</v>
      </c>
      <c r="S52" s="11">
        <f t="shared" si="4"/>
        <v>6</v>
      </c>
      <c r="T52" s="11">
        <v>0</v>
      </c>
      <c r="U52" s="10"/>
    </row>
    <row r="53" spans="1:21">
      <c r="A53" s="9" t="s">
        <v>21</v>
      </c>
      <c r="B53" s="9" t="s">
        <v>22</v>
      </c>
      <c r="C53" s="13" t="s">
        <v>209</v>
      </c>
      <c r="D53" s="9">
        <v>41</v>
      </c>
      <c r="E53" s="10" t="s">
        <v>210</v>
      </c>
      <c r="F53" s="10" t="s">
        <v>235</v>
      </c>
      <c r="G53" s="11">
        <v>1</v>
      </c>
      <c r="H53" s="10" t="s">
        <v>57</v>
      </c>
      <c r="I53" s="10" t="s">
        <v>139</v>
      </c>
      <c r="J53" s="11">
        <f>1*3</f>
        <v>3</v>
      </c>
      <c r="K53" s="9"/>
      <c r="L53" s="11">
        <v>0</v>
      </c>
      <c r="M53" s="11">
        <f t="shared" si="1"/>
        <v>3</v>
      </c>
      <c r="N53" s="11">
        <f t="shared" si="5"/>
        <v>3</v>
      </c>
      <c r="O53" s="11">
        <v>3</v>
      </c>
      <c r="P53" s="11">
        <v>0</v>
      </c>
      <c r="Q53" s="11">
        <f t="shared" si="2"/>
        <v>1</v>
      </c>
      <c r="R53" s="11">
        <f t="shared" si="3"/>
        <v>1</v>
      </c>
      <c r="S53" s="11">
        <f t="shared" si="4"/>
        <v>1</v>
      </c>
      <c r="T53" s="11">
        <v>0</v>
      </c>
      <c r="U53" s="10"/>
    </row>
    <row r="54" spans="1:21">
      <c r="A54" s="9" t="s">
        <v>21</v>
      </c>
      <c r="B54" s="9" t="s">
        <v>22</v>
      </c>
      <c r="C54" s="13" t="s">
        <v>209</v>
      </c>
      <c r="D54" s="9">
        <v>42</v>
      </c>
      <c r="E54" s="10" t="s">
        <v>210</v>
      </c>
      <c r="F54" s="10" t="s">
        <v>236</v>
      </c>
      <c r="G54" s="11">
        <v>1</v>
      </c>
      <c r="H54" s="10" t="s">
        <v>163</v>
      </c>
      <c r="I54" s="10" t="s">
        <v>149</v>
      </c>
      <c r="J54" s="11">
        <f>2*3</f>
        <v>6</v>
      </c>
      <c r="K54" s="9"/>
      <c r="L54" s="11">
        <v>0</v>
      </c>
      <c r="M54" s="11">
        <f t="shared" si="1"/>
        <v>6</v>
      </c>
      <c r="N54" s="11">
        <f t="shared" si="5"/>
        <v>6</v>
      </c>
      <c r="O54" s="11">
        <v>3</v>
      </c>
      <c r="P54" s="11">
        <v>0</v>
      </c>
      <c r="Q54" s="11">
        <f t="shared" si="2"/>
        <v>2</v>
      </c>
      <c r="R54" s="11">
        <f t="shared" si="3"/>
        <v>2</v>
      </c>
      <c r="S54" s="11">
        <f t="shared" si="4"/>
        <v>2</v>
      </c>
      <c r="T54" s="11">
        <v>0</v>
      </c>
      <c r="U54" s="10"/>
    </row>
    <row r="55" spans="1:21">
      <c r="A55" s="9" t="s">
        <v>21</v>
      </c>
      <c r="B55" s="9" t="s">
        <v>22</v>
      </c>
      <c r="C55" s="13" t="s">
        <v>209</v>
      </c>
      <c r="D55" s="9">
        <v>43</v>
      </c>
      <c r="E55" s="10" t="s">
        <v>210</v>
      </c>
      <c r="F55" s="10" t="s">
        <v>237</v>
      </c>
      <c r="G55" s="11">
        <v>1</v>
      </c>
      <c r="H55" s="10" t="s">
        <v>232</v>
      </c>
      <c r="I55" s="10" t="s">
        <v>233</v>
      </c>
      <c r="J55" s="11">
        <f>6*3</f>
        <v>18</v>
      </c>
      <c r="K55" s="9"/>
      <c r="L55" s="11">
        <v>0</v>
      </c>
      <c r="M55" s="11">
        <f t="shared" si="1"/>
        <v>18</v>
      </c>
      <c r="N55" s="11">
        <f t="shared" si="5"/>
        <v>18</v>
      </c>
      <c r="O55" s="11">
        <v>3</v>
      </c>
      <c r="P55" s="11">
        <v>0</v>
      </c>
      <c r="Q55" s="11">
        <f t="shared" si="2"/>
        <v>6</v>
      </c>
      <c r="R55" s="11">
        <f t="shared" si="3"/>
        <v>6</v>
      </c>
      <c r="S55" s="11">
        <f t="shared" si="4"/>
        <v>6</v>
      </c>
      <c r="T55" s="11">
        <v>0</v>
      </c>
      <c r="U55" s="10"/>
    </row>
    <row r="56" spans="1:21">
      <c r="A56" s="9" t="s">
        <v>21</v>
      </c>
      <c r="B56" s="9" t="s">
        <v>22</v>
      </c>
      <c r="C56" s="13" t="s">
        <v>209</v>
      </c>
      <c r="D56" s="9">
        <v>44</v>
      </c>
      <c r="E56" s="10" t="s">
        <v>210</v>
      </c>
      <c r="F56" s="10" t="s">
        <v>238</v>
      </c>
      <c r="G56" s="11">
        <v>1</v>
      </c>
      <c r="H56" s="10" t="s">
        <v>214</v>
      </c>
      <c r="I56" s="10" t="s">
        <v>159</v>
      </c>
      <c r="J56" s="11">
        <f>4*3</f>
        <v>12</v>
      </c>
      <c r="K56" s="9"/>
      <c r="L56" s="11">
        <v>0</v>
      </c>
      <c r="M56" s="11">
        <f t="shared" si="1"/>
        <v>12</v>
      </c>
      <c r="N56" s="11">
        <f t="shared" si="5"/>
        <v>12</v>
      </c>
      <c r="O56" s="11">
        <v>3</v>
      </c>
      <c r="P56" s="11">
        <v>0</v>
      </c>
      <c r="Q56" s="11">
        <f t="shared" si="2"/>
        <v>4</v>
      </c>
      <c r="R56" s="11">
        <f t="shared" si="3"/>
        <v>4</v>
      </c>
      <c r="S56" s="11">
        <f t="shared" si="4"/>
        <v>4</v>
      </c>
      <c r="T56" s="11">
        <v>0</v>
      </c>
      <c r="U56" s="10"/>
    </row>
    <row r="57" spans="1:21">
      <c r="A57" s="9" t="s">
        <v>21</v>
      </c>
      <c r="B57" s="9" t="s">
        <v>22</v>
      </c>
      <c r="C57" s="13" t="s">
        <v>209</v>
      </c>
      <c r="D57" s="9">
        <v>45</v>
      </c>
      <c r="E57" s="10" t="s">
        <v>210</v>
      </c>
      <c r="F57" s="10" t="s">
        <v>239</v>
      </c>
      <c r="G57" s="11">
        <v>1</v>
      </c>
      <c r="H57" s="10" t="s">
        <v>240</v>
      </c>
      <c r="I57" s="10" t="s">
        <v>241</v>
      </c>
      <c r="J57" s="11">
        <f>4</f>
        <v>4</v>
      </c>
      <c r="K57" s="9"/>
      <c r="L57" s="11">
        <v>0</v>
      </c>
      <c r="M57" s="11">
        <f t="shared" si="1"/>
        <v>4</v>
      </c>
      <c r="N57" s="11">
        <f t="shared" si="5"/>
        <v>4</v>
      </c>
      <c r="O57" s="11">
        <v>3</v>
      </c>
      <c r="P57" s="11">
        <v>0</v>
      </c>
      <c r="Q57" s="11">
        <f t="shared" si="2"/>
        <v>1</v>
      </c>
      <c r="R57" s="11">
        <f t="shared" si="3"/>
        <v>1</v>
      </c>
      <c r="S57" s="11">
        <f t="shared" si="4"/>
        <v>2</v>
      </c>
      <c r="T57" s="11">
        <v>0</v>
      </c>
      <c r="U57" s="10"/>
    </row>
    <row r="58" spans="1:21">
      <c r="A58" s="9" t="s">
        <v>21</v>
      </c>
      <c r="B58" s="9" t="s">
        <v>22</v>
      </c>
      <c r="C58" s="13" t="s">
        <v>209</v>
      </c>
      <c r="D58" s="9">
        <v>46</v>
      </c>
      <c r="E58" s="10" t="s">
        <v>210</v>
      </c>
      <c r="F58" s="10" t="s">
        <v>242</v>
      </c>
      <c r="G58" s="11">
        <v>1</v>
      </c>
      <c r="H58" s="10" t="s">
        <v>243</v>
      </c>
      <c r="I58" s="10" t="s">
        <v>244</v>
      </c>
      <c r="J58" s="11">
        <f>((11889/3)/600)*3</f>
        <v>19.815000000000001</v>
      </c>
      <c r="K58" s="9"/>
      <c r="L58" s="11">
        <v>0</v>
      </c>
      <c r="M58" s="11">
        <f t="shared" si="1"/>
        <v>20</v>
      </c>
      <c r="N58" s="11">
        <f t="shared" si="5"/>
        <v>20</v>
      </c>
      <c r="O58" s="11">
        <v>3</v>
      </c>
      <c r="P58" s="11">
        <v>0</v>
      </c>
      <c r="Q58" s="11">
        <f t="shared" si="2"/>
        <v>6</v>
      </c>
      <c r="R58" s="11">
        <f t="shared" si="3"/>
        <v>6</v>
      </c>
      <c r="S58" s="11">
        <f t="shared" si="4"/>
        <v>8</v>
      </c>
      <c r="T58" s="11">
        <v>0</v>
      </c>
      <c r="U58" s="10"/>
    </row>
    <row r="59" spans="1:21">
      <c r="A59" s="9" t="s">
        <v>21</v>
      </c>
      <c r="B59" s="9" t="s">
        <v>22</v>
      </c>
      <c r="C59" s="13" t="s">
        <v>245</v>
      </c>
      <c r="D59" s="9">
        <v>47</v>
      </c>
      <c r="E59" s="10" t="s">
        <v>246</v>
      </c>
      <c r="F59" s="10" t="s">
        <v>247</v>
      </c>
      <c r="G59" s="11">
        <f>G4</f>
        <v>3.75</v>
      </c>
      <c r="H59" s="10" t="s">
        <v>248</v>
      </c>
      <c r="I59" s="10" t="s">
        <v>249</v>
      </c>
      <c r="J59" s="11">
        <f>ROUNDUP(($G$4*($E$4+$E$5)),0)*3</f>
        <v>48</v>
      </c>
      <c r="K59" s="9"/>
      <c r="L59" s="11">
        <v>0</v>
      </c>
      <c r="M59" s="11">
        <f t="shared" si="1"/>
        <v>48</v>
      </c>
      <c r="N59" s="11">
        <f t="shared" si="5"/>
        <v>48</v>
      </c>
      <c r="O59" s="11">
        <v>3</v>
      </c>
      <c r="P59" s="11">
        <v>0</v>
      </c>
      <c r="Q59" s="11">
        <f t="shared" si="2"/>
        <v>16</v>
      </c>
      <c r="R59" s="11">
        <f t="shared" si="3"/>
        <v>16</v>
      </c>
      <c r="S59" s="11">
        <f t="shared" si="4"/>
        <v>16</v>
      </c>
      <c r="T59" s="11">
        <v>0</v>
      </c>
      <c r="U59" s="10" t="s">
        <v>171</v>
      </c>
    </row>
    <row r="60" spans="1:21">
      <c r="A60" s="9" t="s">
        <v>21</v>
      </c>
      <c r="B60" s="9" t="s">
        <v>22</v>
      </c>
      <c r="C60" s="13" t="s">
        <v>245</v>
      </c>
      <c r="D60" s="9">
        <v>48</v>
      </c>
      <c r="E60" s="10" t="s">
        <v>246</v>
      </c>
      <c r="F60" s="10" t="s">
        <v>250</v>
      </c>
      <c r="G60" s="11">
        <f>G4</f>
        <v>3.75</v>
      </c>
      <c r="H60" s="10" t="s">
        <v>214</v>
      </c>
      <c r="I60" s="10" t="s">
        <v>159</v>
      </c>
      <c r="J60" s="11">
        <f>4*3</f>
        <v>12</v>
      </c>
      <c r="K60" s="9"/>
      <c r="L60" s="11">
        <v>0</v>
      </c>
      <c r="M60" s="11">
        <f t="shared" si="1"/>
        <v>12</v>
      </c>
      <c r="N60" s="11">
        <f t="shared" si="5"/>
        <v>12</v>
      </c>
      <c r="O60" s="11">
        <v>3</v>
      </c>
      <c r="P60" s="11">
        <v>0</v>
      </c>
      <c r="Q60" s="11">
        <f t="shared" si="2"/>
        <v>4</v>
      </c>
      <c r="R60" s="11">
        <f t="shared" si="3"/>
        <v>4</v>
      </c>
      <c r="S60" s="11">
        <f t="shared" si="4"/>
        <v>4</v>
      </c>
      <c r="T60" s="11">
        <v>0</v>
      </c>
      <c r="U60" s="10" t="s">
        <v>171</v>
      </c>
    </row>
    <row r="61" spans="1:21">
      <c r="A61" s="9" t="s">
        <v>21</v>
      </c>
      <c r="B61" s="9" t="s">
        <v>22</v>
      </c>
      <c r="C61" s="13" t="s">
        <v>245</v>
      </c>
      <c r="D61" s="9">
        <v>49</v>
      </c>
      <c r="E61" s="10" t="s">
        <v>246</v>
      </c>
      <c r="F61" s="10" t="s">
        <v>251</v>
      </c>
      <c r="G61" s="11">
        <f>G4</f>
        <v>3.75</v>
      </c>
      <c r="H61" s="10" t="s">
        <v>252</v>
      </c>
      <c r="I61" s="10" t="s">
        <v>253</v>
      </c>
      <c r="J61" s="11">
        <f>5*3</f>
        <v>15</v>
      </c>
      <c r="K61" s="9"/>
      <c r="L61" s="11">
        <v>0</v>
      </c>
      <c r="M61" s="11">
        <f t="shared" si="1"/>
        <v>15</v>
      </c>
      <c r="N61" s="11">
        <f t="shared" si="5"/>
        <v>15</v>
      </c>
      <c r="O61" s="11">
        <v>3</v>
      </c>
      <c r="P61" s="11">
        <v>0</v>
      </c>
      <c r="Q61" s="11">
        <f t="shared" si="2"/>
        <v>5</v>
      </c>
      <c r="R61" s="11">
        <f t="shared" si="3"/>
        <v>5</v>
      </c>
      <c r="S61" s="11">
        <f t="shared" si="4"/>
        <v>5</v>
      </c>
      <c r="T61" s="11">
        <v>0</v>
      </c>
      <c r="U61" s="10" t="s">
        <v>171</v>
      </c>
    </row>
    <row r="62" spans="1:21">
      <c r="A62" s="9" t="s">
        <v>21</v>
      </c>
      <c r="B62" s="9" t="s">
        <v>22</v>
      </c>
      <c r="C62" s="13" t="s">
        <v>245</v>
      </c>
      <c r="D62" s="9">
        <v>50</v>
      </c>
      <c r="E62" s="10" t="s">
        <v>246</v>
      </c>
      <c r="F62" s="10" t="s">
        <v>254</v>
      </c>
      <c r="G62" s="11">
        <f>G4</f>
        <v>3.75</v>
      </c>
      <c r="H62" s="10" t="s">
        <v>163</v>
      </c>
      <c r="I62" s="10" t="s">
        <v>149</v>
      </c>
      <c r="J62" s="11">
        <f>2*3</f>
        <v>6</v>
      </c>
      <c r="K62" s="9"/>
      <c r="L62" s="11">
        <v>0</v>
      </c>
      <c r="M62" s="11">
        <f t="shared" si="1"/>
        <v>6</v>
      </c>
      <c r="N62" s="11">
        <f t="shared" si="5"/>
        <v>6</v>
      </c>
      <c r="O62" s="11">
        <v>3</v>
      </c>
      <c r="P62" s="11">
        <v>0</v>
      </c>
      <c r="Q62" s="11">
        <f t="shared" si="2"/>
        <v>2</v>
      </c>
      <c r="R62" s="11">
        <f t="shared" si="3"/>
        <v>2</v>
      </c>
      <c r="S62" s="11">
        <f t="shared" si="4"/>
        <v>2</v>
      </c>
      <c r="T62" s="11">
        <v>0</v>
      </c>
      <c r="U62" s="10" t="s">
        <v>171</v>
      </c>
    </row>
    <row r="63" spans="1:21">
      <c r="A63" s="9" t="s">
        <v>21</v>
      </c>
      <c r="B63" s="9" t="s">
        <v>22</v>
      </c>
      <c r="C63" s="13" t="s">
        <v>245</v>
      </c>
      <c r="D63" s="9">
        <v>52</v>
      </c>
      <c r="E63" s="10" t="s">
        <v>255</v>
      </c>
      <c r="F63" s="10" t="s">
        <v>247</v>
      </c>
      <c r="G63" s="11">
        <f>G6</f>
        <v>1</v>
      </c>
      <c r="H63" s="10" t="s">
        <v>248</v>
      </c>
      <c r="I63" s="10" t="s">
        <v>256</v>
      </c>
      <c r="J63" s="11">
        <f>ROUNDUP(($G$6*$E$6),0)*3</f>
        <v>9</v>
      </c>
      <c r="K63" s="9"/>
      <c r="L63" s="11">
        <v>0</v>
      </c>
      <c r="M63" s="11">
        <f t="shared" si="1"/>
        <v>9</v>
      </c>
      <c r="N63" s="11">
        <f t="shared" si="5"/>
        <v>9</v>
      </c>
      <c r="O63" s="11">
        <v>3</v>
      </c>
      <c r="P63" s="11">
        <v>0</v>
      </c>
      <c r="Q63" s="11">
        <f t="shared" si="2"/>
        <v>3</v>
      </c>
      <c r="R63" s="11">
        <f t="shared" si="3"/>
        <v>3</v>
      </c>
      <c r="S63" s="11">
        <f t="shared" si="4"/>
        <v>3</v>
      </c>
      <c r="T63" s="11">
        <v>0</v>
      </c>
      <c r="U63" s="10" t="s">
        <v>194</v>
      </c>
    </row>
    <row r="64" spans="1:21">
      <c r="A64" s="9" t="s">
        <v>21</v>
      </c>
      <c r="B64" s="9" t="s">
        <v>22</v>
      </c>
      <c r="C64" s="13" t="s">
        <v>245</v>
      </c>
      <c r="D64" s="9">
        <v>53</v>
      </c>
      <c r="E64" s="10" t="s">
        <v>255</v>
      </c>
      <c r="F64" s="10" t="s">
        <v>250</v>
      </c>
      <c r="G64" s="11">
        <f>G6</f>
        <v>1</v>
      </c>
      <c r="H64" s="10" t="s">
        <v>163</v>
      </c>
      <c r="I64" s="10" t="s">
        <v>149</v>
      </c>
      <c r="J64" s="11">
        <f>2*3</f>
        <v>6</v>
      </c>
      <c r="K64" s="9"/>
      <c r="L64" s="11">
        <v>0</v>
      </c>
      <c r="M64" s="11">
        <f t="shared" si="1"/>
        <v>6</v>
      </c>
      <c r="N64" s="11">
        <f t="shared" si="5"/>
        <v>6</v>
      </c>
      <c r="O64" s="11">
        <v>3</v>
      </c>
      <c r="P64" s="11">
        <v>0</v>
      </c>
      <c r="Q64" s="11">
        <f t="shared" si="2"/>
        <v>2</v>
      </c>
      <c r="R64" s="11">
        <f t="shared" si="3"/>
        <v>2</v>
      </c>
      <c r="S64" s="11">
        <f t="shared" si="4"/>
        <v>2</v>
      </c>
      <c r="T64" s="11">
        <v>0</v>
      </c>
      <c r="U64" s="10" t="s">
        <v>194</v>
      </c>
    </row>
    <row r="65" spans="1:21">
      <c r="A65" s="9" t="s">
        <v>21</v>
      </c>
      <c r="B65" s="9" t="s">
        <v>22</v>
      </c>
      <c r="C65" s="13" t="s">
        <v>245</v>
      </c>
      <c r="D65" s="9">
        <v>54</v>
      </c>
      <c r="E65" s="10" t="s">
        <v>255</v>
      </c>
      <c r="F65" s="10" t="s">
        <v>251</v>
      </c>
      <c r="G65" s="11">
        <f>G6</f>
        <v>1</v>
      </c>
      <c r="H65" s="10" t="s">
        <v>57</v>
      </c>
      <c r="I65" s="10" t="s">
        <v>139</v>
      </c>
      <c r="J65" s="11">
        <f>1*3</f>
        <v>3</v>
      </c>
      <c r="K65" s="9"/>
      <c r="L65" s="11">
        <v>0</v>
      </c>
      <c r="M65" s="11">
        <f t="shared" si="1"/>
        <v>3</v>
      </c>
      <c r="N65" s="11">
        <f t="shared" si="5"/>
        <v>3</v>
      </c>
      <c r="O65" s="11">
        <v>3</v>
      </c>
      <c r="P65" s="11">
        <v>0</v>
      </c>
      <c r="Q65" s="11">
        <f t="shared" si="2"/>
        <v>1</v>
      </c>
      <c r="R65" s="11">
        <f t="shared" si="3"/>
        <v>1</v>
      </c>
      <c r="S65" s="11">
        <f t="shared" si="4"/>
        <v>1</v>
      </c>
      <c r="T65" s="11">
        <v>0</v>
      </c>
      <c r="U65" s="10" t="s">
        <v>194</v>
      </c>
    </row>
    <row r="66" spans="1:21">
      <c r="A66" s="9" t="s">
        <v>21</v>
      </c>
      <c r="B66" s="9" t="s">
        <v>22</v>
      </c>
      <c r="C66" s="13" t="s">
        <v>245</v>
      </c>
      <c r="D66" s="9">
        <v>55</v>
      </c>
      <c r="E66" s="10" t="s">
        <v>255</v>
      </c>
      <c r="F66" s="10" t="s">
        <v>254</v>
      </c>
      <c r="G66" s="11">
        <f>G6</f>
        <v>1</v>
      </c>
      <c r="H66" s="10" t="s">
        <v>57</v>
      </c>
      <c r="I66" s="10" t="s">
        <v>139</v>
      </c>
      <c r="J66" s="11">
        <f>1*3</f>
        <v>3</v>
      </c>
      <c r="K66" s="9"/>
      <c r="L66" s="11">
        <v>0</v>
      </c>
      <c r="M66" s="11">
        <f t="shared" si="1"/>
        <v>3</v>
      </c>
      <c r="N66" s="11">
        <f t="shared" si="5"/>
        <v>3</v>
      </c>
      <c r="O66" s="11">
        <v>3</v>
      </c>
      <c r="P66" s="11">
        <v>0</v>
      </c>
      <c r="Q66" s="11">
        <f t="shared" si="2"/>
        <v>1</v>
      </c>
      <c r="R66" s="11">
        <f t="shared" si="3"/>
        <v>1</v>
      </c>
      <c r="S66" s="11">
        <f t="shared" si="4"/>
        <v>1</v>
      </c>
      <c r="T66" s="11">
        <v>0</v>
      </c>
      <c r="U66" s="10" t="s">
        <v>194</v>
      </c>
    </row>
    <row r="67" spans="1:21">
      <c r="A67" s="9" t="s">
        <v>21</v>
      </c>
      <c r="B67" s="9" t="s">
        <v>22</v>
      </c>
      <c r="C67" s="13" t="s">
        <v>245</v>
      </c>
      <c r="D67" s="9">
        <v>56</v>
      </c>
      <c r="E67" s="10" t="s">
        <v>257</v>
      </c>
      <c r="F67" s="10" t="s">
        <v>247</v>
      </c>
      <c r="G67" s="11">
        <f>G7</f>
        <v>1.875</v>
      </c>
      <c r="H67" s="10" t="s">
        <v>248</v>
      </c>
      <c r="I67" s="10" t="s">
        <v>258</v>
      </c>
      <c r="J67" s="11">
        <f>ROUNDUP(($G$7*$E$7),0)*3</f>
        <v>3</v>
      </c>
      <c r="K67" s="9"/>
      <c r="L67" s="11">
        <v>0</v>
      </c>
      <c r="M67" s="11">
        <f t="shared" si="1"/>
        <v>3</v>
      </c>
      <c r="N67" s="11">
        <f t="shared" si="5"/>
        <v>3</v>
      </c>
      <c r="O67" s="11">
        <v>3</v>
      </c>
      <c r="P67" s="11">
        <v>0</v>
      </c>
      <c r="Q67" s="11">
        <f t="shared" si="2"/>
        <v>1</v>
      </c>
      <c r="R67" s="11">
        <f t="shared" si="3"/>
        <v>1</v>
      </c>
      <c r="S67" s="11">
        <f t="shared" si="4"/>
        <v>1</v>
      </c>
      <c r="T67" s="11">
        <v>0</v>
      </c>
      <c r="U67" s="10" t="s">
        <v>203</v>
      </c>
    </row>
    <row r="68" spans="1:21">
      <c r="A68" s="9" t="s">
        <v>21</v>
      </c>
      <c r="B68" s="9" t="s">
        <v>22</v>
      </c>
      <c r="C68" s="13" t="s">
        <v>245</v>
      </c>
      <c r="D68" s="9">
        <v>57</v>
      </c>
      <c r="E68" s="10" t="s">
        <v>257</v>
      </c>
      <c r="F68" s="10" t="s">
        <v>250</v>
      </c>
      <c r="G68" s="11">
        <f>G7</f>
        <v>1.875</v>
      </c>
      <c r="H68" s="10" t="s">
        <v>57</v>
      </c>
      <c r="I68" s="10" t="s">
        <v>139</v>
      </c>
      <c r="J68" s="11">
        <f>1*3</f>
        <v>3</v>
      </c>
      <c r="K68" s="9"/>
      <c r="L68" s="11">
        <v>0</v>
      </c>
      <c r="M68" s="11">
        <f t="shared" si="1"/>
        <v>3</v>
      </c>
      <c r="N68" s="11">
        <f t="shared" si="5"/>
        <v>3</v>
      </c>
      <c r="O68" s="11">
        <v>3</v>
      </c>
      <c r="P68" s="11">
        <v>0</v>
      </c>
      <c r="Q68" s="11">
        <f t="shared" si="2"/>
        <v>1</v>
      </c>
      <c r="R68" s="11">
        <f t="shared" si="3"/>
        <v>1</v>
      </c>
      <c r="S68" s="11">
        <f t="shared" si="4"/>
        <v>1</v>
      </c>
      <c r="T68" s="11">
        <v>0</v>
      </c>
      <c r="U68" s="10" t="s">
        <v>203</v>
      </c>
    </row>
    <row r="69" spans="1:21">
      <c r="A69" s="9" t="s">
        <v>21</v>
      </c>
      <c r="B69" s="9" t="s">
        <v>22</v>
      </c>
      <c r="C69" s="13" t="s">
        <v>245</v>
      </c>
      <c r="D69" s="9">
        <v>58</v>
      </c>
      <c r="E69" s="10" t="s">
        <v>257</v>
      </c>
      <c r="F69" s="10" t="s">
        <v>251</v>
      </c>
      <c r="G69" s="11">
        <f>G7</f>
        <v>1.875</v>
      </c>
      <c r="H69" s="10" t="s">
        <v>259</v>
      </c>
      <c r="I69" s="10" t="s">
        <v>260</v>
      </c>
      <c r="J69" s="11">
        <f>0</f>
        <v>0</v>
      </c>
      <c r="K69" s="9"/>
      <c r="L69" s="11">
        <v>0</v>
      </c>
      <c r="M69" s="11">
        <f t="shared" si="1"/>
        <v>0</v>
      </c>
      <c r="N69" s="11">
        <f t="shared" si="5"/>
        <v>0</v>
      </c>
      <c r="O69" s="11">
        <v>3</v>
      </c>
      <c r="P69" s="11">
        <v>0</v>
      </c>
      <c r="Q69" s="11">
        <f t="shared" si="2"/>
        <v>0</v>
      </c>
      <c r="R69" s="11">
        <f t="shared" si="3"/>
        <v>0</v>
      </c>
      <c r="S69" s="11">
        <f t="shared" si="4"/>
        <v>0</v>
      </c>
      <c r="T69" s="11">
        <v>0</v>
      </c>
      <c r="U69" s="10" t="s">
        <v>203</v>
      </c>
    </row>
    <row r="70" spans="1:21">
      <c r="A70" s="9" t="s">
        <v>21</v>
      </c>
      <c r="B70" s="9" t="s">
        <v>22</v>
      </c>
      <c r="C70" s="13" t="s">
        <v>245</v>
      </c>
      <c r="D70" s="9">
        <v>59</v>
      </c>
      <c r="E70" s="10" t="s">
        <v>257</v>
      </c>
      <c r="F70" s="10" t="s">
        <v>254</v>
      </c>
      <c r="G70" s="11">
        <f>G7</f>
        <v>1.875</v>
      </c>
      <c r="H70" s="10" t="s">
        <v>259</v>
      </c>
      <c r="I70" s="10" t="s">
        <v>260</v>
      </c>
      <c r="J70" s="11">
        <f>0</f>
        <v>0</v>
      </c>
      <c r="K70" s="9"/>
      <c r="L70" s="11">
        <v>0</v>
      </c>
      <c r="M70" s="11">
        <f t="shared" si="1"/>
        <v>0</v>
      </c>
      <c r="N70" s="11">
        <f t="shared" si="5"/>
        <v>0</v>
      </c>
      <c r="O70" s="11">
        <v>3</v>
      </c>
      <c r="P70" s="11">
        <v>0</v>
      </c>
      <c r="Q70" s="11">
        <f t="shared" si="2"/>
        <v>0</v>
      </c>
      <c r="R70" s="11">
        <f t="shared" si="3"/>
        <v>0</v>
      </c>
      <c r="S70" s="11">
        <f t="shared" si="4"/>
        <v>0</v>
      </c>
      <c r="T70" s="11">
        <v>0</v>
      </c>
      <c r="U70" s="10" t="s">
        <v>203</v>
      </c>
    </row>
    <row r="71" spans="1:21">
      <c r="A71" s="9" t="s">
        <v>21</v>
      </c>
      <c r="B71" s="9" t="s">
        <v>22</v>
      </c>
      <c r="C71" s="13" t="s">
        <v>261</v>
      </c>
      <c r="D71" s="9">
        <v>60</v>
      </c>
      <c r="E71" s="10" t="s">
        <v>261</v>
      </c>
      <c r="F71" s="10" t="s">
        <v>132</v>
      </c>
      <c r="G71" s="11">
        <v>1</v>
      </c>
      <c r="H71" s="10" t="s">
        <v>57</v>
      </c>
      <c r="I71" s="10" t="s">
        <v>139</v>
      </c>
      <c r="J71" s="11">
        <f>1*3</f>
        <v>3</v>
      </c>
      <c r="K71" s="9"/>
      <c r="L71" s="11">
        <v>0</v>
      </c>
      <c r="M71" s="11">
        <f t="shared" si="1"/>
        <v>3</v>
      </c>
      <c r="N71" s="11">
        <f t="shared" si="5"/>
        <v>3</v>
      </c>
      <c r="O71" s="11">
        <v>3</v>
      </c>
      <c r="P71" s="11">
        <v>0</v>
      </c>
      <c r="Q71" s="11">
        <f t="shared" si="2"/>
        <v>1</v>
      </c>
      <c r="R71" s="11">
        <f t="shared" si="3"/>
        <v>1</v>
      </c>
      <c r="S71" s="11">
        <f t="shared" si="4"/>
        <v>1</v>
      </c>
      <c r="T71" s="11">
        <v>0</v>
      </c>
      <c r="U71" s="10"/>
    </row>
    <row r="72" spans="1:21">
      <c r="A72" s="9" t="s">
        <v>21</v>
      </c>
      <c r="B72" s="9" t="s">
        <v>22</v>
      </c>
      <c r="C72" s="13" t="s">
        <v>261</v>
      </c>
      <c r="D72" s="9">
        <v>61</v>
      </c>
      <c r="E72" s="10" t="s">
        <v>261</v>
      </c>
      <c r="F72" s="10" t="s">
        <v>73</v>
      </c>
      <c r="G72" s="11">
        <v>1</v>
      </c>
      <c r="H72" s="10" t="s">
        <v>57</v>
      </c>
      <c r="I72" s="10" t="s">
        <v>139</v>
      </c>
      <c r="J72" s="11">
        <f>1*3</f>
        <v>3</v>
      </c>
      <c r="K72" s="9"/>
      <c r="L72" s="11">
        <v>0</v>
      </c>
      <c r="M72" s="11">
        <f t="shared" si="1"/>
        <v>3</v>
      </c>
      <c r="N72" s="11">
        <f t="shared" si="5"/>
        <v>3</v>
      </c>
      <c r="O72" s="11">
        <v>3</v>
      </c>
      <c r="P72" s="11">
        <v>0</v>
      </c>
      <c r="Q72" s="11">
        <f t="shared" si="2"/>
        <v>1</v>
      </c>
      <c r="R72" s="11">
        <f t="shared" si="3"/>
        <v>1</v>
      </c>
      <c r="S72" s="11">
        <f t="shared" si="4"/>
        <v>1</v>
      </c>
      <c r="T72" s="11">
        <v>0</v>
      </c>
      <c r="U72" s="10"/>
    </row>
    <row r="73" spans="1:21">
      <c r="A73" s="9" t="s">
        <v>21</v>
      </c>
      <c r="B73" s="9" t="s">
        <v>22</v>
      </c>
      <c r="C73" s="13" t="s">
        <v>261</v>
      </c>
      <c r="D73" s="9">
        <v>62</v>
      </c>
      <c r="E73" s="10" t="s">
        <v>261</v>
      </c>
      <c r="F73" s="10" t="s">
        <v>262</v>
      </c>
      <c r="G73" s="11">
        <v>1</v>
      </c>
      <c r="H73" s="10" t="s">
        <v>57</v>
      </c>
      <c r="I73" s="10" t="s">
        <v>139</v>
      </c>
      <c r="J73" s="11">
        <f>1*3</f>
        <v>3</v>
      </c>
      <c r="K73" s="9"/>
      <c r="L73" s="11">
        <v>0</v>
      </c>
      <c r="M73" s="11">
        <f t="shared" si="1"/>
        <v>3</v>
      </c>
      <c r="N73" s="11">
        <f t="shared" si="5"/>
        <v>3</v>
      </c>
      <c r="O73" s="11">
        <v>3</v>
      </c>
      <c r="P73" s="11">
        <v>0</v>
      </c>
      <c r="Q73" s="11">
        <f t="shared" si="2"/>
        <v>1</v>
      </c>
      <c r="R73" s="11">
        <f t="shared" si="3"/>
        <v>1</v>
      </c>
      <c r="S73" s="11">
        <f t="shared" si="4"/>
        <v>1</v>
      </c>
      <c r="T73" s="11">
        <v>0</v>
      </c>
      <c r="U73" s="10"/>
    </row>
    <row r="74" spans="1:21">
      <c r="A74" s="9" t="s">
        <v>21</v>
      </c>
      <c r="B74" s="9" t="s">
        <v>22</v>
      </c>
      <c r="C74" s="13" t="s">
        <v>261</v>
      </c>
      <c r="D74" s="9">
        <v>63</v>
      </c>
      <c r="E74" s="10" t="s">
        <v>261</v>
      </c>
      <c r="F74" s="10" t="s">
        <v>263</v>
      </c>
      <c r="G74" s="11">
        <v>1</v>
      </c>
      <c r="H74" s="10" t="s">
        <v>264</v>
      </c>
      <c r="I74" s="10" t="s">
        <v>265</v>
      </c>
      <c r="J74" s="11">
        <f>1*2</f>
        <v>2</v>
      </c>
      <c r="K74" s="9"/>
      <c r="L74" s="11">
        <v>0</v>
      </c>
      <c r="M74" s="11">
        <f t="shared" si="1"/>
        <v>2</v>
      </c>
      <c r="N74" s="11">
        <f t="shared" si="5"/>
        <v>2</v>
      </c>
      <c r="O74" s="11">
        <v>3</v>
      </c>
      <c r="P74" s="11">
        <v>0</v>
      </c>
      <c r="Q74" s="11">
        <f t="shared" si="2"/>
        <v>0</v>
      </c>
      <c r="R74" s="11">
        <f t="shared" si="3"/>
        <v>0</v>
      </c>
      <c r="S74" s="11">
        <f t="shared" si="4"/>
        <v>2</v>
      </c>
      <c r="T74" s="11">
        <v>0</v>
      </c>
      <c r="U74" s="10"/>
    </row>
    <row r="75" spans="1:21">
      <c r="A75" s="9" t="s">
        <v>21</v>
      </c>
      <c r="B75" s="9" t="s">
        <v>22</v>
      </c>
      <c r="C75" s="13" t="s">
        <v>261</v>
      </c>
      <c r="D75" s="9">
        <v>64</v>
      </c>
      <c r="E75" s="10" t="s">
        <v>261</v>
      </c>
      <c r="F75" s="10" t="s">
        <v>266</v>
      </c>
      <c r="G75" s="11">
        <v>1</v>
      </c>
      <c r="H75" s="10" t="s">
        <v>267</v>
      </c>
      <c r="I75" s="10" t="s">
        <v>268</v>
      </c>
      <c r="J75" s="11">
        <f>1*1</f>
        <v>1</v>
      </c>
      <c r="K75" s="9"/>
      <c r="L75" s="11">
        <v>0</v>
      </c>
      <c r="M75" s="11">
        <f t="shared" si="1"/>
        <v>1</v>
      </c>
      <c r="N75" s="11">
        <f t="shared" si="5"/>
        <v>1</v>
      </c>
      <c r="O75" s="11">
        <v>3</v>
      </c>
      <c r="P75" s="11">
        <v>0</v>
      </c>
      <c r="Q75" s="11">
        <f t="shared" si="2"/>
        <v>0</v>
      </c>
      <c r="R75" s="11">
        <f t="shared" si="3"/>
        <v>0</v>
      </c>
      <c r="S75" s="11">
        <f t="shared" si="4"/>
        <v>1</v>
      </c>
      <c r="T75" s="11">
        <v>0</v>
      </c>
      <c r="U75" s="10"/>
    </row>
    <row r="76" spans="1:21">
      <c r="A76" s="9" t="s">
        <v>21</v>
      </c>
      <c r="B76" s="9" t="s">
        <v>22</v>
      </c>
      <c r="C76" s="13" t="s">
        <v>261</v>
      </c>
      <c r="D76" s="9">
        <v>65</v>
      </c>
      <c r="E76" s="10" t="s">
        <v>261</v>
      </c>
      <c r="F76" s="10" t="s">
        <v>269</v>
      </c>
      <c r="G76" s="11">
        <v>1</v>
      </c>
      <c r="H76" s="10" t="s">
        <v>57</v>
      </c>
      <c r="I76" s="10" t="s">
        <v>139</v>
      </c>
      <c r="J76" s="11">
        <f>1*3</f>
        <v>3</v>
      </c>
      <c r="K76" s="9"/>
      <c r="L76" s="11">
        <v>0</v>
      </c>
      <c r="M76" s="11">
        <f t="shared" si="1"/>
        <v>3</v>
      </c>
      <c r="N76" s="11">
        <f t="shared" si="5"/>
        <v>3</v>
      </c>
      <c r="O76" s="11">
        <v>3</v>
      </c>
      <c r="P76" s="11">
        <v>0</v>
      </c>
      <c r="Q76" s="11">
        <f t="shared" si="2"/>
        <v>1</v>
      </c>
      <c r="R76" s="11">
        <f t="shared" si="3"/>
        <v>1</v>
      </c>
      <c r="S76" s="11">
        <f t="shared" si="4"/>
        <v>1</v>
      </c>
      <c r="T76" s="11">
        <v>0</v>
      </c>
      <c r="U76" s="10"/>
    </row>
    <row r="77" spans="1:21">
      <c r="A77" s="9" t="s">
        <v>21</v>
      </c>
      <c r="B77" s="9" t="s">
        <v>22</v>
      </c>
      <c r="C77" s="13" t="s">
        <v>261</v>
      </c>
      <c r="D77" s="9">
        <v>66</v>
      </c>
      <c r="E77" s="10" t="s">
        <v>261</v>
      </c>
      <c r="F77" s="10" t="s">
        <v>270</v>
      </c>
      <c r="G77" s="11">
        <v>2</v>
      </c>
      <c r="H77" s="10" t="s">
        <v>163</v>
      </c>
      <c r="I77" s="10" t="s">
        <v>149</v>
      </c>
      <c r="J77" s="11">
        <f>2*3</f>
        <v>6</v>
      </c>
      <c r="K77" s="9"/>
      <c r="L77" s="11">
        <v>0</v>
      </c>
      <c r="M77" s="11">
        <f t="shared" ref="M77:M82" si="9">N77</f>
        <v>6</v>
      </c>
      <c r="N77" s="11">
        <f t="shared" si="5"/>
        <v>6</v>
      </c>
      <c r="O77" s="11">
        <v>3</v>
      </c>
      <c r="P77" s="11">
        <v>0</v>
      </c>
      <c r="Q77" s="11">
        <f t="shared" ref="Q77:Q82" si="10">ROUNDDOWN(N77/3,0)</f>
        <v>2</v>
      </c>
      <c r="R77" s="11">
        <f t="shared" ref="R77:R82" si="11">ROUNDDOWN(N77/3,0)</f>
        <v>2</v>
      </c>
      <c r="S77" s="11">
        <f t="shared" ref="S77:S82" si="12">N77-Q77-R77</f>
        <v>2</v>
      </c>
      <c r="T77" s="11">
        <v>0</v>
      </c>
      <c r="U77" s="10"/>
    </row>
    <row r="78" spans="1:21">
      <c r="A78" s="9" t="s">
        <v>21</v>
      </c>
      <c r="B78" s="9" t="s">
        <v>22</v>
      </c>
      <c r="C78" s="13" t="s">
        <v>261</v>
      </c>
      <c r="D78" s="9">
        <v>67</v>
      </c>
      <c r="E78" s="10" t="s">
        <v>261</v>
      </c>
      <c r="F78" s="10" t="s">
        <v>239</v>
      </c>
      <c r="G78" s="11">
        <v>1</v>
      </c>
      <c r="H78" s="10" t="s">
        <v>57</v>
      </c>
      <c r="I78" s="10" t="s">
        <v>139</v>
      </c>
      <c r="J78" s="11">
        <f>1*3</f>
        <v>3</v>
      </c>
      <c r="K78" s="9"/>
      <c r="L78" s="11">
        <v>0</v>
      </c>
      <c r="M78" s="11">
        <f t="shared" si="9"/>
        <v>3</v>
      </c>
      <c r="N78" s="11">
        <f t="shared" ref="N78:N82" si="13">ROUND(J78,0)</f>
        <v>3</v>
      </c>
      <c r="O78" s="11">
        <v>3</v>
      </c>
      <c r="P78" s="11">
        <v>0</v>
      </c>
      <c r="Q78" s="11">
        <f t="shared" si="10"/>
        <v>1</v>
      </c>
      <c r="R78" s="11">
        <f t="shared" si="11"/>
        <v>1</v>
      </c>
      <c r="S78" s="11">
        <f t="shared" si="12"/>
        <v>1</v>
      </c>
      <c r="T78" s="11">
        <v>0</v>
      </c>
      <c r="U78" s="10"/>
    </row>
    <row r="79" spans="1:21">
      <c r="A79" s="9" t="s">
        <v>21</v>
      </c>
      <c r="B79" s="9" t="s">
        <v>22</v>
      </c>
      <c r="C79" s="13" t="s">
        <v>261</v>
      </c>
      <c r="D79" s="9">
        <v>68</v>
      </c>
      <c r="E79" s="10" t="s">
        <v>261</v>
      </c>
      <c r="F79" s="10" t="s">
        <v>271</v>
      </c>
      <c r="G79" s="11">
        <v>2</v>
      </c>
      <c r="H79" s="10" t="s">
        <v>272</v>
      </c>
      <c r="I79" s="10" t="s">
        <v>273</v>
      </c>
      <c r="J79" s="11">
        <f>2*2</f>
        <v>4</v>
      </c>
      <c r="K79" s="9"/>
      <c r="L79" s="11">
        <v>0</v>
      </c>
      <c r="M79" s="11">
        <f t="shared" si="9"/>
        <v>4</v>
      </c>
      <c r="N79" s="11">
        <f t="shared" si="13"/>
        <v>4</v>
      </c>
      <c r="O79" s="11">
        <v>3</v>
      </c>
      <c r="P79" s="11">
        <v>0</v>
      </c>
      <c r="Q79" s="11">
        <f t="shared" si="10"/>
        <v>1</v>
      </c>
      <c r="R79" s="11">
        <f t="shared" si="11"/>
        <v>1</v>
      </c>
      <c r="S79" s="11">
        <f t="shared" si="12"/>
        <v>2</v>
      </c>
      <c r="T79" s="11">
        <v>0</v>
      </c>
      <c r="U79" s="10"/>
    </row>
    <row r="80" spans="1:21">
      <c r="A80" s="9" t="s">
        <v>21</v>
      </c>
      <c r="B80" s="9" t="s">
        <v>22</v>
      </c>
      <c r="C80" s="13" t="s">
        <v>261</v>
      </c>
      <c r="D80" s="9">
        <v>69</v>
      </c>
      <c r="E80" s="10" t="s">
        <v>261</v>
      </c>
      <c r="F80" s="10" t="s">
        <v>274</v>
      </c>
      <c r="G80" s="11">
        <v>1</v>
      </c>
      <c r="H80" s="10" t="s">
        <v>264</v>
      </c>
      <c r="I80" s="10" t="s">
        <v>265</v>
      </c>
      <c r="J80" s="11">
        <f>1*2</f>
        <v>2</v>
      </c>
      <c r="K80" s="9"/>
      <c r="L80" s="11">
        <v>0</v>
      </c>
      <c r="M80" s="11">
        <f t="shared" si="9"/>
        <v>2</v>
      </c>
      <c r="N80" s="11">
        <f t="shared" si="13"/>
        <v>2</v>
      </c>
      <c r="O80" s="11">
        <v>3</v>
      </c>
      <c r="P80" s="11">
        <v>0</v>
      </c>
      <c r="Q80" s="11">
        <f t="shared" si="10"/>
        <v>0</v>
      </c>
      <c r="R80" s="11">
        <f t="shared" si="11"/>
        <v>0</v>
      </c>
      <c r="S80" s="11">
        <f t="shared" si="12"/>
        <v>2</v>
      </c>
      <c r="T80" s="11">
        <v>0</v>
      </c>
      <c r="U80" s="10"/>
    </row>
    <row r="81" spans="1:21">
      <c r="A81" s="9" t="s">
        <v>21</v>
      </c>
      <c r="B81" s="9" t="s">
        <v>22</v>
      </c>
      <c r="C81" s="13" t="s">
        <v>261</v>
      </c>
      <c r="D81" s="9">
        <v>70</v>
      </c>
      <c r="E81" s="10" t="s">
        <v>261</v>
      </c>
      <c r="F81" s="10" t="s">
        <v>275</v>
      </c>
      <c r="G81" s="11">
        <v>1</v>
      </c>
      <c r="H81" s="10" t="s">
        <v>57</v>
      </c>
      <c r="I81" s="10" t="s">
        <v>139</v>
      </c>
      <c r="J81" s="11">
        <f>1*3</f>
        <v>3</v>
      </c>
      <c r="K81" s="9"/>
      <c r="L81" s="11">
        <v>0</v>
      </c>
      <c r="M81" s="11">
        <f t="shared" si="9"/>
        <v>3</v>
      </c>
      <c r="N81" s="11">
        <f t="shared" si="13"/>
        <v>3</v>
      </c>
      <c r="O81" s="11">
        <v>3</v>
      </c>
      <c r="P81" s="11">
        <v>0</v>
      </c>
      <c r="Q81" s="11">
        <f t="shared" si="10"/>
        <v>1</v>
      </c>
      <c r="R81" s="11">
        <f t="shared" si="11"/>
        <v>1</v>
      </c>
      <c r="S81" s="11">
        <f t="shared" si="12"/>
        <v>1</v>
      </c>
      <c r="T81" s="11">
        <v>0</v>
      </c>
      <c r="U81" s="10"/>
    </row>
    <row r="82" spans="1:21">
      <c r="A82" s="9" t="s">
        <v>21</v>
      </c>
      <c r="B82" s="9" t="s">
        <v>22</v>
      </c>
      <c r="C82" s="13" t="s">
        <v>261</v>
      </c>
      <c r="D82" s="9">
        <v>71</v>
      </c>
      <c r="E82" s="10" t="s">
        <v>261</v>
      </c>
      <c r="F82" s="10" t="s">
        <v>276</v>
      </c>
      <c r="G82" s="11">
        <v>1</v>
      </c>
      <c r="H82" s="10" t="s">
        <v>57</v>
      </c>
      <c r="I82" s="10" t="s">
        <v>139</v>
      </c>
      <c r="J82" s="11">
        <f>1*3</f>
        <v>3</v>
      </c>
      <c r="K82" s="9"/>
      <c r="L82" s="11">
        <v>0</v>
      </c>
      <c r="M82" s="11">
        <f t="shared" si="9"/>
        <v>3</v>
      </c>
      <c r="N82" s="11">
        <f t="shared" si="13"/>
        <v>3</v>
      </c>
      <c r="O82" s="11">
        <v>3</v>
      </c>
      <c r="P82" s="11">
        <v>0</v>
      </c>
      <c r="Q82" s="11">
        <f t="shared" si="10"/>
        <v>1</v>
      </c>
      <c r="R82" s="11">
        <f t="shared" si="11"/>
        <v>1</v>
      </c>
      <c r="S82" s="11">
        <f t="shared" si="12"/>
        <v>1</v>
      </c>
      <c r="T82" s="11">
        <v>0</v>
      </c>
      <c r="U8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8323-E295-43FC-B30E-17290612F124}">
  <dimension ref="A1:K34"/>
  <sheetViews>
    <sheetView workbookViewId="0">
      <selection activeCell="H3" sqref="H3"/>
    </sheetView>
  </sheetViews>
  <sheetFormatPr defaultRowHeight="14.45"/>
  <cols>
    <col min="6" max="6" width="13.7109375" bestFit="1" customWidth="1"/>
    <col min="7" max="7" width="47.7109375" bestFit="1" customWidth="1"/>
    <col min="8" max="8" width="18" bestFit="1" customWidth="1"/>
  </cols>
  <sheetData>
    <row r="1" spans="1:11">
      <c r="A1" t="s">
        <v>368</v>
      </c>
      <c r="B1" t="s">
        <v>369</v>
      </c>
      <c r="C1" t="s">
        <v>23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140</v>
      </c>
      <c r="K1" t="s">
        <v>133</v>
      </c>
    </row>
    <row r="2" spans="1:11">
      <c r="A2" t="s">
        <v>376</v>
      </c>
      <c r="B2">
        <v>120</v>
      </c>
      <c r="E2" s="2">
        <v>943.03440000000001</v>
      </c>
      <c r="F2">
        <v>1</v>
      </c>
      <c r="G2" s="2">
        <v>943.03440000000001</v>
      </c>
      <c r="H2">
        <v>40066.828174528782</v>
      </c>
      <c r="I2" t="s">
        <v>171</v>
      </c>
      <c r="J2">
        <v>10</v>
      </c>
      <c r="K2">
        <v>5</v>
      </c>
    </row>
    <row r="3" spans="1:11">
      <c r="A3" t="s">
        <v>377</v>
      </c>
      <c r="B3">
        <v>120</v>
      </c>
      <c r="E3" s="2">
        <v>943.03440000000001</v>
      </c>
      <c r="F3">
        <v>1</v>
      </c>
      <c r="G3" s="2">
        <v>943.03440000000001</v>
      </c>
      <c r="H3" t="s">
        <v>378</v>
      </c>
      <c r="I3" t="s">
        <v>203</v>
      </c>
      <c r="J3">
        <v>0</v>
      </c>
      <c r="K3">
        <v>2</v>
      </c>
    </row>
    <row r="4" spans="1:11">
      <c r="A4" t="s">
        <v>379</v>
      </c>
      <c r="B4">
        <v>120</v>
      </c>
      <c r="E4" s="2">
        <v>943.03440000000001</v>
      </c>
      <c r="F4">
        <v>1</v>
      </c>
      <c r="G4" s="2">
        <v>943.03440000000001</v>
      </c>
      <c r="H4">
        <v>2365.319587628866</v>
      </c>
      <c r="I4" t="s">
        <v>380</v>
      </c>
      <c r="J4">
        <v>10</v>
      </c>
      <c r="K4">
        <v>7</v>
      </c>
    </row>
    <row r="5" spans="1:11">
      <c r="A5" t="s">
        <v>381</v>
      </c>
      <c r="B5">
        <v>120</v>
      </c>
      <c r="E5" s="2">
        <v>943.03440000000001</v>
      </c>
      <c r="F5">
        <v>1</v>
      </c>
      <c r="G5" s="2">
        <v>943.03440000000001</v>
      </c>
      <c r="I5" t="s">
        <v>382</v>
      </c>
      <c r="J5">
        <v>14</v>
      </c>
      <c r="K5">
        <v>17</v>
      </c>
    </row>
    <row r="6" spans="1:11">
      <c r="A6" t="s">
        <v>383</v>
      </c>
      <c r="B6">
        <v>120</v>
      </c>
      <c r="E6" s="2">
        <v>943.03440000000001</v>
      </c>
      <c r="F6">
        <v>1</v>
      </c>
      <c r="G6" s="2">
        <v>943.03440000000001</v>
      </c>
      <c r="I6" t="s">
        <v>384</v>
      </c>
      <c r="J6">
        <v>4</v>
      </c>
      <c r="K6">
        <v>10</v>
      </c>
    </row>
    <row r="7" spans="1:11">
      <c r="A7" t="s">
        <v>385</v>
      </c>
      <c r="B7">
        <v>120</v>
      </c>
      <c r="E7" s="2">
        <v>943.03440000000001</v>
      </c>
      <c r="F7">
        <v>0</v>
      </c>
      <c r="G7" s="2">
        <v>0</v>
      </c>
    </row>
    <row r="8" spans="1:11">
      <c r="A8" t="s">
        <v>386</v>
      </c>
      <c r="B8">
        <v>220</v>
      </c>
      <c r="E8" s="2">
        <v>1728.8963999999999</v>
      </c>
      <c r="F8">
        <v>1</v>
      </c>
      <c r="G8" s="2">
        <v>1728.8963999999999</v>
      </c>
    </row>
    <row r="9" spans="1:11">
      <c r="A9" t="s">
        <v>387</v>
      </c>
      <c r="B9">
        <v>220</v>
      </c>
      <c r="E9" s="2">
        <v>1728.8963999999999</v>
      </c>
      <c r="F9">
        <v>1</v>
      </c>
      <c r="G9" s="2">
        <v>1728.8963999999999</v>
      </c>
    </row>
    <row r="10" spans="1:11">
      <c r="A10" t="s">
        <v>388</v>
      </c>
      <c r="B10">
        <v>220</v>
      </c>
      <c r="E10" s="2">
        <v>1728.8963999999999</v>
      </c>
      <c r="F10">
        <v>1</v>
      </c>
      <c r="G10" s="2">
        <v>1728.8963999999999</v>
      </c>
    </row>
    <row r="11" spans="1:11">
      <c r="A11" t="s">
        <v>389</v>
      </c>
      <c r="B11">
        <v>220</v>
      </c>
      <c r="E11" s="2">
        <v>1728.8963999999999</v>
      </c>
      <c r="F11">
        <v>1</v>
      </c>
      <c r="G11" s="2">
        <v>1728.8963999999999</v>
      </c>
    </row>
    <row r="12" spans="1:11">
      <c r="A12" t="s">
        <v>390</v>
      </c>
      <c r="B12">
        <v>220</v>
      </c>
      <c r="E12" s="2">
        <v>1728.8963999999999</v>
      </c>
      <c r="F12">
        <v>1</v>
      </c>
      <c r="G12" s="2">
        <v>1728.8963999999999</v>
      </c>
    </row>
    <row r="13" spans="1:11">
      <c r="A13" t="s">
        <v>391</v>
      </c>
      <c r="B13">
        <v>220</v>
      </c>
      <c r="E13" s="2">
        <v>1728.8963999999999</v>
      </c>
      <c r="F13">
        <v>0</v>
      </c>
      <c r="G13" s="2">
        <v>0</v>
      </c>
    </row>
    <row r="14" spans="1:11">
      <c r="A14" t="s">
        <v>392</v>
      </c>
      <c r="B14">
        <v>1050</v>
      </c>
      <c r="E14" s="2">
        <v>6417.8730000000005</v>
      </c>
      <c r="F14">
        <v>2</v>
      </c>
      <c r="G14" s="2">
        <f>F14*E14</f>
        <v>12835.746000000001</v>
      </c>
    </row>
    <row r="15" spans="1:11">
      <c r="A15" t="s">
        <v>393</v>
      </c>
      <c r="B15">
        <v>1050</v>
      </c>
      <c r="E15" s="2">
        <v>6417.8730000000005</v>
      </c>
      <c r="F15">
        <v>1</v>
      </c>
      <c r="G15" s="2">
        <f>F15*E15</f>
        <v>6417.8730000000005</v>
      </c>
    </row>
    <row r="16" spans="1:11">
      <c r="A16" t="s">
        <v>394</v>
      </c>
      <c r="B16">
        <v>750</v>
      </c>
      <c r="E16" s="2">
        <v>4584.1950000000006</v>
      </c>
      <c r="F16">
        <v>0</v>
      </c>
      <c r="G16" s="2">
        <f>F16*E16</f>
        <v>0</v>
      </c>
    </row>
    <row r="17" spans="1:7">
      <c r="A17" t="s">
        <v>395</v>
      </c>
      <c r="B17">
        <v>750</v>
      </c>
      <c r="E17" s="2">
        <v>4584.1950000000006</v>
      </c>
      <c r="F17">
        <v>1</v>
      </c>
      <c r="G17" s="2">
        <f>F17*E17</f>
        <v>4584.1950000000006</v>
      </c>
    </row>
    <row r="18" spans="1:7">
      <c r="A18" t="s">
        <v>396</v>
      </c>
      <c r="B18">
        <v>500</v>
      </c>
      <c r="E18" s="2">
        <v>3056.13</v>
      </c>
      <c r="F18">
        <v>1</v>
      </c>
      <c r="G18" s="2">
        <f>F18*E18</f>
        <v>3056.13</v>
      </c>
    </row>
    <row r="19" spans="1:7">
      <c r="A19" t="s">
        <v>397</v>
      </c>
      <c r="B19">
        <v>220</v>
      </c>
      <c r="D19" s="2">
        <v>441.93600000000004</v>
      </c>
      <c r="F19">
        <v>0</v>
      </c>
      <c r="G19">
        <v>0</v>
      </c>
    </row>
    <row r="20" spans="1:7">
      <c r="A20" t="s">
        <v>398</v>
      </c>
      <c r="B20">
        <v>220</v>
      </c>
      <c r="D20" s="2">
        <v>441.93600000000004</v>
      </c>
      <c r="F20">
        <v>0</v>
      </c>
      <c r="G20">
        <v>0</v>
      </c>
    </row>
    <row r="21" spans="1:7">
      <c r="A21" t="s">
        <v>399</v>
      </c>
      <c r="B21">
        <v>220</v>
      </c>
      <c r="D21" s="2">
        <v>441.93600000000004</v>
      </c>
      <c r="F21">
        <v>0</v>
      </c>
      <c r="G21">
        <v>0</v>
      </c>
    </row>
    <row r="22" spans="1:7">
      <c r="A22" t="s">
        <v>400</v>
      </c>
      <c r="B22">
        <v>220</v>
      </c>
      <c r="D22" s="2">
        <v>441.93600000000004</v>
      </c>
      <c r="F22">
        <v>0</v>
      </c>
      <c r="G22">
        <v>0</v>
      </c>
    </row>
    <row r="23" spans="1:7">
      <c r="A23" t="s">
        <v>401</v>
      </c>
      <c r="B23">
        <v>1050</v>
      </c>
      <c r="D23" s="2">
        <v>1792.854</v>
      </c>
      <c r="F23">
        <v>1</v>
      </c>
      <c r="G23" s="2">
        <v>1792.854</v>
      </c>
    </row>
    <row r="24" spans="1:7">
      <c r="A24" t="s">
        <v>402</v>
      </c>
      <c r="B24">
        <v>1050</v>
      </c>
      <c r="D24" s="2">
        <v>1792.854</v>
      </c>
      <c r="F24">
        <v>1</v>
      </c>
      <c r="G24" s="2">
        <v>1792.854</v>
      </c>
    </row>
    <row r="25" spans="1:7">
      <c r="A25" t="s">
        <v>403</v>
      </c>
      <c r="B25">
        <v>1050</v>
      </c>
      <c r="D25" s="2">
        <v>1792.854</v>
      </c>
      <c r="F25">
        <v>0</v>
      </c>
      <c r="G25">
        <v>0</v>
      </c>
    </row>
    <row r="26" spans="1:7">
      <c r="A26" t="s">
        <v>404</v>
      </c>
      <c r="B26">
        <v>1050</v>
      </c>
      <c r="D26" s="2">
        <v>1792.854</v>
      </c>
      <c r="F26">
        <v>0</v>
      </c>
      <c r="G26">
        <v>0</v>
      </c>
    </row>
    <row r="27" spans="1:7">
      <c r="A27" t="s">
        <v>405</v>
      </c>
      <c r="B27">
        <v>300</v>
      </c>
      <c r="D27" s="2">
        <v>512.24400000000003</v>
      </c>
      <c r="F27">
        <v>0</v>
      </c>
      <c r="G27">
        <v>0</v>
      </c>
    </row>
    <row r="28" spans="1:7">
      <c r="A28" t="s">
        <v>406</v>
      </c>
      <c r="B28">
        <v>300</v>
      </c>
      <c r="D28" s="2">
        <v>512.24400000000003</v>
      </c>
      <c r="F28">
        <v>0</v>
      </c>
      <c r="G28">
        <v>0</v>
      </c>
    </row>
    <row r="29" spans="1:7">
      <c r="A29" t="s">
        <v>407</v>
      </c>
      <c r="B29">
        <v>1050</v>
      </c>
      <c r="D29" s="2">
        <v>1792.854</v>
      </c>
      <c r="F29">
        <v>0</v>
      </c>
      <c r="G29">
        <v>0</v>
      </c>
    </row>
    <row r="30" spans="1:7">
      <c r="A30" t="s">
        <v>408</v>
      </c>
      <c r="B30">
        <v>1050</v>
      </c>
      <c r="D30" s="2">
        <v>1792.854</v>
      </c>
      <c r="F30">
        <v>0</v>
      </c>
      <c r="G30">
        <v>0</v>
      </c>
    </row>
    <row r="31" spans="1:7">
      <c r="A31" t="s">
        <v>409</v>
      </c>
      <c r="B31">
        <v>1050</v>
      </c>
      <c r="D31" s="2">
        <v>1792.854</v>
      </c>
      <c r="F31">
        <v>0</v>
      </c>
      <c r="G31">
        <v>0</v>
      </c>
    </row>
    <row r="32" spans="1:7">
      <c r="A32" t="s">
        <v>410</v>
      </c>
      <c r="B32">
        <v>1050</v>
      </c>
      <c r="D32" s="2">
        <v>1792.854</v>
      </c>
      <c r="F32">
        <v>0</v>
      </c>
      <c r="G32">
        <v>0</v>
      </c>
    </row>
    <row r="33" spans="1:7">
      <c r="A33" t="s">
        <v>411</v>
      </c>
      <c r="B33">
        <v>1050</v>
      </c>
      <c r="D33" s="2">
        <v>1792.854</v>
      </c>
      <c r="F33">
        <v>0</v>
      </c>
      <c r="G33">
        <v>0</v>
      </c>
    </row>
    <row r="34" spans="1:7">
      <c r="A34" t="s">
        <v>412</v>
      </c>
      <c r="B34">
        <v>1050</v>
      </c>
      <c r="D34" s="2">
        <v>1792.854</v>
      </c>
      <c r="F34">
        <v>0</v>
      </c>
      <c r="G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DD6-FAC9-4FD5-BA6F-AE70B1FBBD8C}">
  <dimension ref="A1:H2"/>
  <sheetViews>
    <sheetView workbookViewId="0">
      <selection activeCell="H2" sqref="H2"/>
    </sheetView>
  </sheetViews>
  <sheetFormatPr defaultRowHeight="14.45"/>
  <cols>
    <col min="2" max="2" width="12" bestFit="1" customWidth="1"/>
    <col min="3" max="3" width="12.7109375" bestFit="1" customWidth="1"/>
    <col min="4" max="4" width="20" bestFit="1" customWidth="1"/>
    <col min="5" max="5" width="11.5703125" bestFit="1" customWidth="1"/>
    <col min="6" max="6" width="16" bestFit="1" customWidth="1"/>
    <col min="7" max="7" width="10.5703125" bestFit="1" customWidth="1"/>
    <col min="8" max="8" width="12.5703125" bestFit="1" customWidth="1"/>
  </cols>
  <sheetData>
    <row r="1" spans="1:8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</row>
    <row r="2" spans="1:8">
      <c r="A2">
        <v>95</v>
      </c>
      <c r="B2" s="1">
        <f>Capacity!F2+Capacity!F3+Capacity!F5</f>
        <v>43452.538199999995</v>
      </c>
      <c r="D2">
        <v>220</v>
      </c>
      <c r="E2">
        <v>36</v>
      </c>
      <c r="F2">
        <f>E2*D2*A2%</f>
        <v>7524</v>
      </c>
      <c r="G2">
        <f>F2*0.98</f>
        <v>7373.5199999999995</v>
      </c>
      <c r="H2">
        <f>ROUND(B2/F2,0)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0336-AA29-48A6-8E08-256469AF30F1}">
  <dimension ref="A1:E41"/>
  <sheetViews>
    <sheetView workbookViewId="0">
      <selection activeCell="E35" sqref="E35"/>
    </sheetView>
  </sheetViews>
  <sheetFormatPr defaultRowHeight="14.45"/>
  <cols>
    <col min="1" max="1" width="14.28515625" bestFit="1" customWidth="1"/>
    <col min="2" max="2" width="10.140625" bestFit="1" customWidth="1"/>
    <col min="3" max="3" width="12.28515625" bestFit="1" customWidth="1"/>
    <col min="4" max="4" width="18.42578125" bestFit="1" customWidth="1"/>
    <col min="5" max="5" width="19.85546875" bestFit="1" customWidth="1"/>
  </cols>
  <sheetData>
    <row r="1" spans="1:5">
      <c r="A1" t="s">
        <v>421</v>
      </c>
      <c r="B1" t="s">
        <v>422</v>
      </c>
      <c r="C1" t="s">
        <v>423</v>
      </c>
      <c r="D1" t="s">
        <v>424</v>
      </c>
      <c r="E1" t="s">
        <v>425</v>
      </c>
    </row>
    <row r="2" spans="1:5">
      <c r="A2" t="s">
        <v>426</v>
      </c>
      <c r="C2" t="s">
        <v>426</v>
      </c>
      <c r="D2" t="s">
        <v>427</v>
      </c>
      <c r="E2">
        <v>244</v>
      </c>
    </row>
    <row r="3" spans="1:5">
      <c r="A3" t="s">
        <v>426</v>
      </c>
      <c r="C3" t="s">
        <v>426</v>
      </c>
      <c r="D3" t="s">
        <v>428</v>
      </c>
      <c r="E3">
        <v>11889</v>
      </c>
    </row>
    <row r="4" spans="1:5">
      <c r="A4" t="s">
        <v>426</v>
      </c>
      <c r="C4" t="s">
        <v>426</v>
      </c>
      <c r="D4" t="s">
        <v>429</v>
      </c>
      <c r="E4">
        <v>1994</v>
      </c>
    </row>
    <row r="5" spans="1:5">
      <c r="A5" t="s">
        <v>426</v>
      </c>
      <c r="C5" t="s">
        <v>426</v>
      </c>
      <c r="D5" t="s">
        <v>430</v>
      </c>
      <c r="E5">
        <v>354</v>
      </c>
    </row>
    <row r="6" spans="1:5">
      <c r="A6" t="s">
        <v>426</v>
      </c>
      <c r="C6" t="s">
        <v>426</v>
      </c>
      <c r="D6" t="s">
        <v>22</v>
      </c>
      <c r="E6">
        <v>53481</v>
      </c>
    </row>
    <row r="7" spans="1:5">
      <c r="A7" t="s">
        <v>426</v>
      </c>
      <c r="C7" t="s">
        <v>426</v>
      </c>
      <c r="D7" t="s">
        <v>431</v>
      </c>
      <c r="E7">
        <v>67963</v>
      </c>
    </row>
    <row r="8" spans="1:5">
      <c r="A8" t="s">
        <v>426</v>
      </c>
      <c r="C8" t="s">
        <v>426</v>
      </c>
      <c r="D8" t="s">
        <v>432</v>
      </c>
      <c r="E8">
        <v>2080</v>
      </c>
    </row>
    <row r="9" spans="1:5">
      <c r="A9" t="s">
        <v>433</v>
      </c>
      <c r="B9" t="s">
        <v>434</v>
      </c>
      <c r="C9" t="s">
        <v>435</v>
      </c>
      <c r="D9" t="s">
        <v>436</v>
      </c>
      <c r="E9">
        <v>10247</v>
      </c>
    </row>
    <row r="10" spans="1:5">
      <c r="A10" t="s">
        <v>433</v>
      </c>
      <c r="B10" t="s">
        <v>434</v>
      </c>
      <c r="C10" t="s">
        <v>435</v>
      </c>
      <c r="D10" t="s">
        <v>437</v>
      </c>
      <c r="E10">
        <v>1190</v>
      </c>
    </row>
    <row r="11" spans="1:5">
      <c r="A11" t="s">
        <v>433</v>
      </c>
      <c r="B11" t="s">
        <v>434</v>
      </c>
      <c r="C11" t="s">
        <v>435</v>
      </c>
      <c r="D11" t="s">
        <v>438</v>
      </c>
      <c r="E11">
        <v>13563</v>
      </c>
    </row>
    <row r="12" spans="1:5">
      <c r="A12" t="s">
        <v>433</v>
      </c>
      <c r="B12" t="s">
        <v>434</v>
      </c>
      <c r="C12" t="s">
        <v>435</v>
      </c>
      <c r="D12" t="s">
        <v>439</v>
      </c>
      <c r="E12">
        <v>24999</v>
      </c>
    </row>
    <row r="13" spans="1:5">
      <c r="A13" t="s">
        <v>433</v>
      </c>
      <c r="B13" t="s">
        <v>440</v>
      </c>
      <c r="C13" t="s">
        <v>435</v>
      </c>
      <c r="D13" t="s">
        <v>441</v>
      </c>
      <c r="E13">
        <v>617</v>
      </c>
    </row>
    <row r="14" spans="1:5">
      <c r="A14" t="s">
        <v>433</v>
      </c>
      <c r="B14" t="s">
        <v>440</v>
      </c>
      <c r="C14" t="s">
        <v>435</v>
      </c>
      <c r="D14" t="s">
        <v>436</v>
      </c>
      <c r="E14">
        <v>28424</v>
      </c>
    </row>
    <row r="15" spans="1:5">
      <c r="A15" t="s">
        <v>433</v>
      </c>
      <c r="B15" t="s">
        <v>440</v>
      </c>
      <c r="C15" t="s">
        <v>435</v>
      </c>
      <c r="D15" t="s">
        <v>442</v>
      </c>
      <c r="E15">
        <v>12257</v>
      </c>
    </row>
    <row r="16" spans="1:5">
      <c r="A16" t="s">
        <v>433</v>
      </c>
      <c r="B16" t="s">
        <v>440</v>
      </c>
      <c r="C16" t="s">
        <v>435</v>
      </c>
      <c r="D16" t="s">
        <v>443</v>
      </c>
      <c r="E16">
        <v>41297</v>
      </c>
    </row>
    <row r="17" spans="1:5">
      <c r="A17" t="s">
        <v>433</v>
      </c>
      <c r="C17" t="s">
        <v>435</v>
      </c>
      <c r="D17" t="s">
        <v>431</v>
      </c>
      <c r="E17">
        <v>66296</v>
      </c>
    </row>
    <row r="18" spans="1:5">
      <c r="A18" t="s">
        <v>444</v>
      </c>
      <c r="C18" t="s">
        <v>445</v>
      </c>
      <c r="D18" t="s">
        <v>441</v>
      </c>
      <c r="E18">
        <v>2294</v>
      </c>
    </row>
    <row r="19" spans="1:5">
      <c r="A19" t="s">
        <v>444</v>
      </c>
      <c r="C19" t="s">
        <v>445</v>
      </c>
      <c r="D19" t="s">
        <v>436</v>
      </c>
      <c r="E19">
        <v>38670</v>
      </c>
    </row>
    <row r="20" spans="1:5">
      <c r="A20" t="s">
        <v>444</v>
      </c>
      <c r="C20" t="s">
        <v>445</v>
      </c>
      <c r="D20" t="s">
        <v>437</v>
      </c>
      <c r="E20">
        <v>1190</v>
      </c>
    </row>
    <row r="21" spans="1:5">
      <c r="A21" t="s">
        <v>444</v>
      </c>
      <c r="C21" t="s">
        <v>445</v>
      </c>
      <c r="D21" t="s">
        <v>442</v>
      </c>
      <c r="E21">
        <v>12257</v>
      </c>
    </row>
    <row r="22" spans="1:5">
      <c r="A22" t="s">
        <v>444</v>
      </c>
      <c r="C22" t="s">
        <v>445</v>
      </c>
      <c r="D22" t="s">
        <v>438</v>
      </c>
      <c r="E22">
        <v>13563</v>
      </c>
    </row>
    <row r="23" spans="1:5">
      <c r="A23" t="s">
        <v>444</v>
      </c>
      <c r="C23" t="s">
        <v>445</v>
      </c>
      <c r="D23" t="s">
        <v>431</v>
      </c>
      <c r="E23">
        <v>67973</v>
      </c>
    </row>
    <row r="24" spans="1:5">
      <c r="A24" t="s">
        <v>446</v>
      </c>
      <c r="C24" t="s">
        <v>445</v>
      </c>
      <c r="D24" t="s">
        <v>441</v>
      </c>
      <c r="E24">
        <v>2365</v>
      </c>
    </row>
    <row r="25" spans="1:5">
      <c r="A25" t="s">
        <v>446</v>
      </c>
      <c r="C25" t="s">
        <v>445</v>
      </c>
      <c r="D25" t="s">
        <v>436</v>
      </c>
      <c r="E25">
        <v>40067</v>
      </c>
    </row>
    <row r="26" spans="1:5">
      <c r="A26" t="s">
        <v>446</v>
      </c>
      <c r="C26" t="s">
        <v>445</v>
      </c>
      <c r="D26" t="s">
        <v>442</v>
      </c>
      <c r="E26">
        <v>12257</v>
      </c>
    </row>
    <row r="27" spans="1:5">
      <c r="A27" t="s">
        <v>446</v>
      </c>
      <c r="C27" t="s">
        <v>445</v>
      </c>
      <c r="D27" t="s">
        <v>447</v>
      </c>
      <c r="E27" s="1">
        <f>(54.42*1.1)*3.9</f>
        <v>233.46180000000004</v>
      </c>
    </row>
    <row r="28" spans="1:5">
      <c r="A28" t="s">
        <v>446</v>
      </c>
      <c r="C28" t="s">
        <v>445</v>
      </c>
      <c r="D28" t="s">
        <v>448</v>
      </c>
      <c r="E28" s="3">
        <f>E24-E27</f>
        <v>2131.5382</v>
      </c>
    </row>
    <row r="29" spans="1:5">
      <c r="A29" t="s">
        <v>446</v>
      </c>
      <c r="C29" t="s">
        <v>445</v>
      </c>
      <c r="D29" t="s">
        <v>431</v>
      </c>
      <c r="E29">
        <v>54689</v>
      </c>
    </row>
    <row r="30" spans="1:5">
      <c r="A30" t="s">
        <v>73</v>
      </c>
      <c r="C30" t="s">
        <v>73</v>
      </c>
      <c r="D30" t="s">
        <v>449</v>
      </c>
      <c r="E30">
        <v>81</v>
      </c>
    </row>
    <row r="31" spans="1:5">
      <c r="A31" t="s">
        <v>73</v>
      </c>
      <c r="C31" t="s">
        <v>73</v>
      </c>
      <c r="D31" t="s">
        <v>450</v>
      </c>
      <c r="E31">
        <v>6881</v>
      </c>
    </row>
    <row r="32" spans="1:5">
      <c r="A32" t="s">
        <v>73</v>
      </c>
      <c r="C32" t="s">
        <v>73</v>
      </c>
      <c r="D32" t="s">
        <v>431</v>
      </c>
      <c r="E32">
        <v>6962</v>
      </c>
    </row>
    <row r="33" spans="1:5">
      <c r="A33" t="s">
        <v>54</v>
      </c>
      <c r="C33" t="s">
        <v>451</v>
      </c>
      <c r="D33" t="s">
        <v>452</v>
      </c>
      <c r="E33">
        <v>1201</v>
      </c>
    </row>
    <row r="34" spans="1:5">
      <c r="A34" t="s">
        <v>54</v>
      </c>
      <c r="C34" t="s">
        <v>451</v>
      </c>
      <c r="D34" t="s">
        <v>453</v>
      </c>
      <c r="E34">
        <v>1696</v>
      </c>
    </row>
    <row r="35" spans="1:5">
      <c r="A35" t="s">
        <v>54</v>
      </c>
      <c r="C35" t="s">
        <v>451</v>
      </c>
      <c r="D35" t="s">
        <v>454</v>
      </c>
      <c r="E35">
        <v>149</v>
      </c>
    </row>
    <row r="36" spans="1:5">
      <c r="A36" t="s">
        <v>54</v>
      </c>
      <c r="C36" t="s">
        <v>451</v>
      </c>
      <c r="D36" t="s">
        <v>455</v>
      </c>
      <c r="E36">
        <v>375</v>
      </c>
    </row>
    <row r="37" spans="1:5">
      <c r="A37" t="s">
        <v>54</v>
      </c>
      <c r="C37" t="s">
        <v>451</v>
      </c>
      <c r="D37" t="s">
        <v>456</v>
      </c>
      <c r="E37">
        <v>1505</v>
      </c>
    </row>
    <row r="38" spans="1:5">
      <c r="A38" t="s">
        <v>54</v>
      </c>
      <c r="C38" t="s">
        <v>451</v>
      </c>
      <c r="D38" t="s">
        <v>431</v>
      </c>
      <c r="E38">
        <v>4926</v>
      </c>
    </row>
    <row r="39" spans="1:5">
      <c r="A39" t="s">
        <v>48</v>
      </c>
      <c r="C39" t="s">
        <v>451</v>
      </c>
      <c r="D39" t="s">
        <v>457</v>
      </c>
      <c r="E39">
        <v>611</v>
      </c>
    </row>
    <row r="40" spans="1:5">
      <c r="A40" t="s">
        <v>48</v>
      </c>
      <c r="C40" t="s">
        <v>451</v>
      </c>
      <c r="D40" t="s">
        <v>458</v>
      </c>
      <c r="E40">
        <v>1067</v>
      </c>
    </row>
    <row r="41" spans="1:5">
      <c r="A41" t="s">
        <v>48</v>
      </c>
      <c r="C41" t="s">
        <v>451</v>
      </c>
      <c r="D41" t="s">
        <v>431</v>
      </c>
      <c r="E41">
        <v>1677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F251-FA84-4288-B649-F2FB2D002A38}">
  <dimension ref="A1:H7"/>
  <sheetViews>
    <sheetView workbookViewId="0">
      <selection activeCell="F7" sqref="F7"/>
    </sheetView>
  </sheetViews>
  <sheetFormatPr defaultRowHeight="14.45"/>
  <cols>
    <col min="1" max="1" width="30.7109375" bestFit="1" customWidth="1"/>
    <col min="2" max="2" width="12" bestFit="1" customWidth="1"/>
    <col min="3" max="3" width="8.5703125" bestFit="1" customWidth="1"/>
    <col min="4" max="4" width="9.28515625" bestFit="1" customWidth="1"/>
    <col min="5" max="5" width="14.85546875" bestFit="1" customWidth="1"/>
    <col min="6" max="6" width="41.28515625" customWidth="1"/>
    <col min="7" max="7" width="17.7109375" customWidth="1"/>
    <col min="8" max="8" width="14.85546875" bestFit="1" customWidth="1"/>
  </cols>
  <sheetData>
    <row r="1" spans="1:8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461</v>
      </c>
      <c r="G1" t="s">
        <v>462</v>
      </c>
      <c r="H1" t="s">
        <v>463</v>
      </c>
    </row>
    <row r="2" spans="1:8">
      <c r="A2" t="s">
        <v>464</v>
      </c>
      <c r="B2" s="2">
        <v>0.41</v>
      </c>
      <c r="C2">
        <v>7000</v>
      </c>
      <c r="D2" s="1">
        <f>C2*B2/3.9</f>
        <v>735.89743589743591</v>
      </c>
      <c r="E2" s="2">
        <f>C2*B2*30/100000</f>
        <v>0.86099999999999999</v>
      </c>
      <c r="F2" s="1">
        <f>Packing!E27</f>
        <v>233.46180000000004</v>
      </c>
      <c r="G2" s="1">
        <f>F2*B2/3.9</f>
        <v>24.543420000000001</v>
      </c>
      <c r="H2" s="2">
        <f>F2*B2*30/100000</f>
        <v>2.8715801400000001E-2</v>
      </c>
    </row>
    <row r="3" spans="1:8">
      <c r="A3" t="s">
        <v>465</v>
      </c>
      <c r="B3" s="2">
        <v>0.4</v>
      </c>
      <c r="C3">
        <v>5000</v>
      </c>
      <c r="D3" s="1">
        <f>C3*B3/3.9</f>
        <v>512.82051282051282</v>
      </c>
      <c r="E3" s="2">
        <f>C3*B3*30/100000</f>
        <v>0.6</v>
      </c>
      <c r="F3" s="1">
        <f>Packing!E28</f>
        <v>2131.5382</v>
      </c>
      <c r="G3" s="1">
        <f>F3*B3/3.9</f>
        <v>218.61930256410255</v>
      </c>
      <c r="H3" s="2">
        <f>F3*B3*30/100000</f>
        <v>0.25578458399999998</v>
      </c>
    </row>
    <row r="4" spans="1:8">
      <c r="A4" t="s">
        <v>194</v>
      </c>
      <c r="B4" s="2">
        <v>0.4</v>
      </c>
      <c r="C4">
        <v>28000</v>
      </c>
      <c r="D4" s="1">
        <f>C4*B4/3.9</f>
        <v>2871.7948717948721</v>
      </c>
      <c r="E4" s="2">
        <f>C4*B4*30/100000</f>
        <v>3.36</v>
      </c>
      <c r="F4" s="1">
        <f>Packing!E3</f>
        <v>11889</v>
      </c>
      <c r="G4" s="1">
        <f>F4*B4/3.9</f>
        <v>1219.3846153846155</v>
      </c>
      <c r="H4" s="2">
        <f>F4*B4*30/100000</f>
        <v>1.4266799999999999</v>
      </c>
    </row>
    <row r="5" spans="1:8">
      <c r="A5" t="s">
        <v>466</v>
      </c>
      <c r="B5">
        <v>0.42</v>
      </c>
      <c r="C5">
        <v>47000</v>
      </c>
      <c r="D5" s="1">
        <f>C5*B5/3.9</f>
        <v>5061.5384615384619</v>
      </c>
      <c r="E5" s="2">
        <f>C5*B5*30/100000</f>
        <v>5.9219999999999997</v>
      </c>
      <c r="F5" s="1">
        <f>Packing!E7-F2-F4-F6</f>
        <v>41087.538199999995</v>
      </c>
      <c r="G5" s="1">
        <f>F5*B5/3.9</f>
        <v>4424.8118061538453</v>
      </c>
      <c r="H5" s="2">
        <f>F5*B5*30/100000</f>
        <v>5.177029813199999</v>
      </c>
    </row>
    <row r="6" spans="1:8">
      <c r="A6" t="s">
        <v>467</v>
      </c>
      <c r="B6">
        <v>0.42</v>
      </c>
      <c r="C6">
        <v>9700</v>
      </c>
      <c r="D6" s="1">
        <f>C6*B6/3.9</f>
        <v>1044.6153846153845</v>
      </c>
      <c r="E6" s="2">
        <f>C6*B6*30/100000</f>
        <v>1.2222</v>
      </c>
      <c r="F6" s="1">
        <f>Packing!E10+Packing!E11</f>
        <v>14753</v>
      </c>
      <c r="G6" s="1">
        <f>F6*B6/3.9</f>
        <v>1588.7846153846156</v>
      </c>
      <c r="H6" s="2">
        <f>F6*B6*30/100000</f>
        <v>1.8588780000000003</v>
      </c>
    </row>
    <row r="7" spans="1:8">
      <c r="C7">
        <f t="shared" ref="C7:H7" si="0">SUM(C2:C6)</f>
        <v>96700</v>
      </c>
      <c r="D7" s="1">
        <f t="shared" si="0"/>
        <v>10226.666666666666</v>
      </c>
      <c r="E7" s="2">
        <f t="shared" si="0"/>
        <v>11.965199999999999</v>
      </c>
      <c r="F7" s="1">
        <f>SUM(F2:F6)</f>
        <v>70094.538199999995</v>
      </c>
      <c r="G7" s="1">
        <f>SUM(G2:G6)</f>
        <v>7476.1437594871795</v>
      </c>
      <c r="H7" s="2">
        <f t="shared" si="0"/>
        <v>8.7470881986000002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3809-19A9-4592-8491-98D2E9AED150}">
  <dimension ref="A1:C14"/>
  <sheetViews>
    <sheetView workbookViewId="0">
      <selection activeCell="D15" sqref="D15"/>
    </sheetView>
  </sheetViews>
  <sheetFormatPr defaultRowHeight="14.45"/>
  <cols>
    <col min="1" max="1" width="22.28515625" bestFit="1" customWidth="1"/>
    <col min="2" max="2" width="7.85546875" bestFit="1" customWidth="1"/>
    <col min="3" max="3" width="8" bestFit="1" customWidth="1"/>
  </cols>
  <sheetData>
    <row r="1" spans="1:3">
      <c r="A1" t="s">
        <v>468</v>
      </c>
      <c r="B1" t="s">
        <v>469</v>
      </c>
      <c r="C1" t="s">
        <v>470</v>
      </c>
    </row>
    <row r="2" spans="1:3">
      <c r="A2" t="s">
        <v>471</v>
      </c>
      <c r="B2" t="s">
        <v>203</v>
      </c>
      <c r="C2">
        <v>5.5</v>
      </c>
    </row>
    <row r="3" spans="1:3">
      <c r="A3" t="s">
        <v>471</v>
      </c>
      <c r="B3" t="s">
        <v>171</v>
      </c>
      <c r="C3">
        <v>7</v>
      </c>
    </row>
    <row r="4" spans="1:3">
      <c r="A4" t="s">
        <v>413</v>
      </c>
      <c r="B4" t="s">
        <v>203</v>
      </c>
      <c r="C4">
        <v>0.9</v>
      </c>
    </row>
    <row r="5" spans="1:3">
      <c r="A5" t="s">
        <v>413</v>
      </c>
      <c r="B5" t="s">
        <v>171</v>
      </c>
      <c r="C5">
        <v>0.9</v>
      </c>
    </row>
    <row r="6" spans="1:3">
      <c r="A6" t="s">
        <v>472</v>
      </c>
      <c r="B6" t="s">
        <v>203</v>
      </c>
      <c r="C6">
        <v>0.97</v>
      </c>
    </row>
    <row r="7" spans="1:3">
      <c r="A7" t="s">
        <v>472</v>
      </c>
      <c r="B7" t="s">
        <v>171</v>
      </c>
      <c r="C7">
        <v>0.97</v>
      </c>
    </row>
    <row r="8" spans="1:3">
      <c r="A8" t="s">
        <v>473</v>
      </c>
      <c r="B8" t="s">
        <v>203</v>
      </c>
      <c r="C8">
        <f>C2*1400*C5*C6</f>
        <v>6722.0999999999995</v>
      </c>
    </row>
    <row r="9" spans="1:3">
      <c r="A9" t="s">
        <v>473</v>
      </c>
      <c r="B9" t="s">
        <v>171</v>
      </c>
      <c r="C9">
        <f>C3*1400*C5*C7</f>
        <v>8555.4</v>
      </c>
    </row>
    <row r="10" spans="1:3">
      <c r="A10" t="s">
        <v>474</v>
      </c>
      <c r="B10" t="s">
        <v>203</v>
      </c>
      <c r="C10">
        <v>0</v>
      </c>
    </row>
    <row r="11" spans="1:3">
      <c r="A11" t="s">
        <v>474</v>
      </c>
      <c r="B11" t="s">
        <v>171</v>
      </c>
      <c r="C11" s="1">
        <f>SUM(Capacity!G5:G6)*1.05</f>
        <v>6314.276242615384</v>
      </c>
    </row>
    <row r="12" spans="1:3">
      <c r="A12" t="s">
        <v>475</v>
      </c>
      <c r="B12" t="s">
        <v>203</v>
      </c>
      <c r="C12">
        <f>IFERROR(C8/C10,0)</f>
        <v>0</v>
      </c>
    </row>
    <row r="13" spans="1:3">
      <c r="A13" t="s">
        <v>475</v>
      </c>
      <c r="B13" t="s">
        <v>171</v>
      </c>
      <c r="C13">
        <f>C11/C9</f>
        <v>0.73804570711075868</v>
      </c>
    </row>
    <row r="14" spans="1:3">
      <c r="A14" t="s">
        <v>475</v>
      </c>
      <c r="B14" t="s">
        <v>380</v>
      </c>
      <c r="C14">
        <f>ROUND(0.718,0)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5C3F-A0E6-45AA-9491-AD0B6D5B6EE3}">
  <dimension ref="A1:D110"/>
  <sheetViews>
    <sheetView workbookViewId="0">
      <selection activeCell="D23" sqref="D23"/>
    </sheetView>
  </sheetViews>
  <sheetFormatPr defaultRowHeight="14.45"/>
  <cols>
    <col min="1" max="1" width="9.85546875" bestFit="1" customWidth="1"/>
    <col min="2" max="2" width="24.28515625" bestFit="1" customWidth="1"/>
    <col min="3" max="3" width="19" bestFit="1" customWidth="1"/>
    <col min="4" max="4" width="11" bestFit="1" customWidth="1"/>
  </cols>
  <sheetData>
    <row r="1" spans="1:4">
      <c r="A1" t="s">
        <v>2</v>
      </c>
      <c r="B1" t="s">
        <v>445</v>
      </c>
      <c r="C1" t="s">
        <v>476</v>
      </c>
      <c r="D1" t="s">
        <v>470</v>
      </c>
    </row>
    <row r="2" spans="1:4">
      <c r="A2" t="s">
        <v>477</v>
      </c>
      <c r="B2" t="s">
        <v>478</v>
      </c>
      <c r="C2" t="s">
        <v>479</v>
      </c>
      <c r="D2" s="1">
        <f>Capacity!F3</f>
        <v>2131.5382</v>
      </c>
    </row>
    <row r="3" spans="1:4">
      <c r="A3" t="s">
        <v>477</v>
      </c>
      <c r="B3" t="s">
        <v>478</v>
      </c>
      <c r="C3" t="s">
        <v>480</v>
      </c>
      <c r="D3">
        <f>D2*25</f>
        <v>53288.455000000002</v>
      </c>
    </row>
    <row r="4" spans="1:4">
      <c r="A4" t="s">
        <v>477</v>
      </c>
      <c r="B4" t="s">
        <v>478</v>
      </c>
      <c r="C4" t="s">
        <v>481</v>
      </c>
      <c r="D4">
        <v>0</v>
      </c>
    </row>
    <row r="5" spans="1:4">
      <c r="A5" t="s">
        <v>477</v>
      </c>
      <c r="B5" t="s">
        <v>478</v>
      </c>
      <c r="C5" t="s">
        <v>440</v>
      </c>
      <c r="D5">
        <v>0</v>
      </c>
    </row>
    <row r="6" spans="1:4">
      <c r="A6" t="s">
        <v>477</v>
      </c>
      <c r="B6" t="s">
        <v>478</v>
      </c>
      <c r="C6" t="s">
        <v>482</v>
      </c>
      <c r="D6">
        <v>0</v>
      </c>
    </row>
    <row r="7" spans="1:4">
      <c r="A7" t="s">
        <v>477</v>
      </c>
      <c r="B7" t="s">
        <v>478</v>
      </c>
      <c r="C7" t="s">
        <v>483</v>
      </c>
      <c r="D7">
        <v>0</v>
      </c>
    </row>
    <row r="8" spans="1:4">
      <c r="A8" t="s">
        <v>477</v>
      </c>
      <c r="B8" t="s">
        <v>478</v>
      </c>
      <c r="C8" t="s">
        <v>484</v>
      </c>
      <c r="D8">
        <v>0</v>
      </c>
    </row>
    <row r="9" spans="1:4">
      <c r="A9" t="s">
        <v>477</v>
      </c>
      <c r="B9" t="s">
        <v>485</v>
      </c>
      <c r="C9" t="s">
        <v>479</v>
      </c>
      <c r="D9" s="1">
        <f>Capacity!F2</f>
        <v>233.46180000000004</v>
      </c>
    </row>
    <row r="10" spans="1:4">
      <c r="A10" t="s">
        <v>477</v>
      </c>
      <c r="B10" t="s">
        <v>485</v>
      </c>
      <c r="C10" t="s">
        <v>480</v>
      </c>
      <c r="D10">
        <f>D9*25</f>
        <v>5836.545000000001</v>
      </c>
    </row>
    <row r="11" spans="1:4">
      <c r="A11" t="s">
        <v>477</v>
      </c>
      <c r="B11" t="s">
        <v>485</v>
      </c>
      <c r="C11" t="s">
        <v>481</v>
      </c>
      <c r="D11" s="1">
        <f>Capacity!G2</f>
        <v>24.543420000000001</v>
      </c>
    </row>
    <row r="12" spans="1:4">
      <c r="A12" t="s">
        <v>477</v>
      </c>
      <c r="B12" t="s">
        <v>485</v>
      </c>
      <c r="C12" t="s">
        <v>440</v>
      </c>
      <c r="D12" s="1">
        <f>D9</f>
        <v>233.46180000000004</v>
      </c>
    </row>
    <row r="13" spans="1:4">
      <c r="A13" t="s">
        <v>477</v>
      </c>
      <c r="B13" t="s">
        <v>485</v>
      </c>
      <c r="C13" t="s">
        <v>482</v>
      </c>
      <c r="D13" s="1">
        <f>D9</f>
        <v>233.46180000000004</v>
      </c>
    </row>
    <row r="14" spans="1:4">
      <c r="A14" t="s">
        <v>477</v>
      </c>
      <c r="B14" t="s">
        <v>485</v>
      </c>
      <c r="C14" t="s">
        <v>483</v>
      </c>
      <c r="D14">
        <v>0</v>
      </c>
    </row>
    <row r="15" spans="1:4">
      <c r="A15" t="s">
        <v>477</v>
      </c>
      <c r="B15" t="s">
        <v>485</v>
      </c>
      <c r="C15" t="s">
        <v>484</v>
      </c>
      <c r="D15">
        <v>0</v>
      </c>
    </row>
    <row r="16" spans="1:4">
      <c r="A16" t="s">
        <v>477</v>
      </c>
      <c r="B16" t="s">
        <v>486</v>
      </c>
      <c r="C16" t="s">
        <v>479</v>
      </c>
      <c r="D16" s="1">
        <f>Capacity!F5</f>
        <v>41087.538199999995</v>
      </c>
    </row>
    <row r="17" spans="1:4">
      <c r="A17" t="s">
        <v>477</v>
      </c>
      <c r="B17" t="s">
        <v>486</v>
      </c>
      <c r="C17" t="s">
        <v>480</v>
      </c>
      <c r="D17">
        <f>D16*25</f>
        <v>1027188.4549999998</v>
      </c>
    </row>
    <row r="18" spans="1:4">
      <c r="A18" t="s">
        <v>477</v>
      </c>
      <c r="B18" t="s">
        <v>486</v>
      </c>
      <c r="C18" t="s">
        <v>481</v>
      </c>
      <c r="D18" s="1">
        <f>Capacity!G5</f>
        <v>4424.8118061538453</v>
      </c>
    </row>
    <row r="19" spans="1:4">
      <c r="A19" t="s">
        <v>477</v>
      </c>
      <c r="B19" t="s">
        <v>486</v>
      </c>
      <c r="C19" t="s">
        <v>440</v>
      </c>
      <c r="D19">
        <f>D16*0.85</f>
        <v>34924.407469999998</v>
      </c>
    </row>
    <row r="20" spans="1:4">
      <c r="A20" t="s">
        <v>477</v>
      </c>
      <c r="B20" t="s">
        <v>486</v>
      </c>
      <c r="C20" t="s">
        <v>484</v>
      </c>
      <c r="D20" s="1">
        <f>(D16-D19)</f>
        <v>6163.1307299999971</v>
      </c>
    </row>
    <row r="21" spans="1:4">
      <c r="A21" t="s">
        <v>477</v>
      </c>
      <c r="B21" t="s">
        <v>486</v>
      </c>
      <c r="C21" t="s">
        <v>482</v>
      </c>
      <c r="D21">
        <f>D16*0.5</f>
        <v>20543.769099999998</v>
      </c>
    </row>
    <row r="22" spans="1:4">
      <c r="A22" t="s">
        <v>477</v>
      </c>
      <c r="B22" t="s">
        <v>486</v>
      </c>
      <c r="C22" t="s">
        <v>483</v>
      </c>
      <c r="D22">
        <v>1000</v>
      </c>
    </row>
    <row r="23" spans="1:4">
      <c r="A23" t="s">
        <v>477</v>
      </c>
      <c r="B23" t="s">
        <v>487</v>
      </c>
      <c r="C23" t="s">
        <v>479</v>
      </c>
      <c r="D23" s="1">
        <f>Capacity!F6</f>
        <v>14753</v>
      </c>
    </row>
    <row r="24" spans="1:4">
      <c r="A24" t="s">
        <v>477</v>
      </c>
      <c r="B24" t="s">
        <v>487</v>
      </c>
      <c r="C24" t="s">
        <v>480</v>
      </c>
      <c r="D24">
        <f>D23*25</f>
        <v>368825</v>
      </c>
    </row>
    <row r="25" spans="1:4">
      <c r="A25" t="s">
        <v>477</v>
      </c>
      <c r="B25" t="s">
        <v>487</v>
      </c>
      <c r="C25" t="s">
        <v>481</v>
      </c>
      <c r="D25" s="1">
        <f>Capacity!G6</f>
        <v>1588.7846153846156</v>
      </c>
    </row>
    <row r="26" spans="1:4">
      <c r="A26" t="s">
        <v>477</v>
      </c>
      <c r="B26" t="s">
        <v>487</v>
      </c>
      <c r="C26" t="s">
        <v>440</v>
      </c>
      <c r="D26">
        <v>0</v>
      </c>
    </row>
    <row r="27" spans="1:4">
      <c r="A27" t="s">
        <v>477</v>
      </c>
      <c r="B27" t="s">
        <v>487</v>
      </c>
      <c r="C27" t="s">
        <v>484</v>
      </c>
      <c r="D27" s="1">
        <f>D23</f>
        <v>14753</v>
      </c>
    </row>
    <row r="28" spans="1:4">
      <c r="A28" t="s">
        <v>477</v>
      </c>
      <c r="B28" t="s">
        <v>487</v>
      </c>
      <c r="C28" t="s">
        <v>482</v>
      </c>
      <c r="D28" s="1">
        <f>D27-D29</f>
        <v>7253</v>
      </c>
    </row>
    <row r="29" spans="1:4">
      <c r="A29" t="s">
        <v>477</v>
      </c>
      <c r="B29" t="s">
        <v>487</v>
      </c>
      <c r="C29" t="s">
        <v>483</v>
      </c>
      <c r="D29">
        <v>7500</v>
      </c>
    </row>
    <row r="30" spans="1:4">
      <c r="A30" t="s">
        <v>477</v>
      </c>
      <c r="B30" t="s">
        <v>488</v>
      </c>
      <c r="C30" t="s">
        <v>479</v>
      </c>
      <c r="D30">
        <v>0</v>
      </c>
    </row>
    <row r="31" spans="1:4">
      <c r="A31" t="s">
        <v>477</v>
      </c>
      <c r="B31" t="s">
        <v>488</v>
      </c>
      <c r="C31" t="s">
        <v>480</v>
      </c>
      <c r="D31">
        <f>D30*25</f>
        <v>0</v>
      </c>
    </row>
    <row r="32" spans="1:4">
      <c r="A32" t="s">
        <v>477</v>
      </c>
      <c r="B32" t="s">
        <v>488</v>
      </c>
      <c r="C32" t="s">
        <v>481</v>
      </c>
      <c r="D32">
        <v>0</v>
      </c>
    </row>
    <row r="33" spans="1:4">
      <c r="A33" t="s">
        <v>477</v>
      </c>
      <c r="B33" t="s">
        <v>488</v>
      </c>
      <c r="C33" t="s">
        <v>440</v>
      </c>
      <c r="D33">
        <v>0</v>
      </c>
    </row>
    <row r="34" spans="1:4">
      <c r="A34" t="s">
        <v>477</v>
      </c>
      <c r="B34" t="s">
        <v>488</v>
      </c>
      <c r="C34" t="s">
        <v>484</v>
      </c>
      <c r="D34">
        <v>0</v>
      </c>
    </row>
    <row r="35" spans="1:4">
      <c r="A35" t="s">
        <v>477</v>
      </c>
      <c r="B35" t="s">
        <v>488</v>
      </c>
      <c r="C35" t="s">
        <v>482</v>
      </c>
      <c r="D35">
        <v>0</v>
      </c>
    </row>
    <row r="36" spans="1:4">
      <c r="A36" t="s">
        <v>477</v>
      </c>
      <c r="B36" t="s">
        <v>488</v>
      </c>
      <c r="C36" t="s">
        <v>483</v>
      </c>
      <c r="D36">
        <v>0</v>
      </c>
    </row>
    <row r="37" spans="1:4">
      <c r="A37" t="s">
        <v>477</v>
      </c>
      <c r="B37" t="s">
        <v>194</v>
      </c>
      <c r="C37" t="s">
        <v>479</v>
      </c>
      <c r="D37" s="1">
        <f>Capacity!F4</f>
        <v>11889</v>
      </c>
    </row>
    <row r="38" spans="1:4">
      <c r="A38" t="s">
        <v>477</v>
      </c>
      <c r="B38" t="s">
        <v>194</v>
      </c>
      <c r="C38" t="s">
        <v>480</v>
      </c>
      <c r="D38">
        <f>D37*25</f>
        <v>297225</v>
      </c>
    </row>
    <row r="39" spans="1:4">
      <c r="A39" t="s">
        <v>477</v>
      </c>
      <c r="B39" t="s">
        <v>194</v>
      </c>
      <c r="C39" t="s">
        <v>481</v>
      </c>
      <c r="D39">
        <v>0</v>
      </c>
    </row>
    <row r="40" spans="1:4">
      <c r="A40" t="s">
        <v>477</v>
      </c>
      <c r="B40" t="s">
        <v>194</v>
      </c>
      <c r="C40" t="s">
        <v>440</v>
      </c>
      <c r="D40" s="1">
        <f>D37</f>
        <v>11889</v>
      </c>
    </row>
    <row r="41" spans="1:4">
      <c r="A41" t="s">
        <v>477</v>
      </c>
      <c r="B41" t="s">
        <v>194</v>
      </c>
      <c r="C41" t="s">
        <v>484</v>
      </c>
      <c r="D41">
        <v>0</v>
      </c>
    </row>
    <row r="42" spans="1:4">
      <c r="A42" t="s">
        <v>477</v>
      </c>
      <c r="B42" t="s">
        <v>194</v>
      </c>
      <c r="C42" t="s">
        <v>482</v>
      </c>
      <c r="D42">
        <v>0</v>
      </c>
    </row>
    <row r="43" spans="1:4">
      <c r="A43" t="s">
        <v>477</v>
      </c>
      <c r="B43" t="s">
        <v>194</v>
      </c>
      <c r="C43" t="s">
        <v>483</v>
      </c>
      <c r="D43">
        <v>0</v>
      </c>
    </row>
    <row r="44" spans="1:4">
      <c r="A44" t="s">
        <v>477</v>
      </c>
      <c r="B44" t="s">
        <v>489</v>
      </c>
      <c r="C44" t="s">
        <v>479</v>
      </c>
      <c r="D44" s="1">
        <f>D2+D9+D16+D23+D30+D37</f>
        <v>70094.538199999995</v>
      </c>
    </row>
    <row r="45" spans="1:4">
      <c r="A45" t="s">
        <v>477</v>
      </c>
      <c r="B45" t="s">
        <v>489</v>
      </c>
      <c r="C45" t="s">
        <v>480</v>
      </c>
      <c r="D45">
        <f>D3+D10+D17+D24+D31+D38</f>
        <v>1752363.4549999998</v>
      </c>
    </row>
    <row r="46" spans="1:4">
      <c r="A46" t="s">
        <v>477</v>
      </c>
      <c r="B46" t="s">
        <v>489</v>
      </c>
      <c r="C46" t="s">
        <v>481</v>
      </c>
      <c r="D46" s="1">
        <f>D4+D11+D18+D25+D32+D39</f>
        <v>6038.139841538461</v>
      </c>
    </row>
    <row r="47" spans="1:4">
      <c r="A47" t="s">
        <v>477</v>
      </c>
      <c r="B47" t="s">
        <v>489</v>
      </c>
      <c r="C47" t="s">
        <v>440</v>
      </c>
      <c r="D47" s="1">
        <f>D5+D12+D19+D26+D33+D40</f>
        <v>47046.869269999996</v>
      </c>
    </row>
    <row r="48" spans="1:4">
      <c r="A48" t="s">
        <v>477</v>
      </c>
      <c r="B48" t="s">
        <v>489</v>
      </c>
      <c r="C48" t="s">
        <v>484</v>
      </c>
      <c r="D48" s="1">
        <f>D8+D15+D20+D27+D34+D41</f>
        <v>20916.130729999997</v>
      </c>
    </row>
    <row r="49" spans="1:4">
      <c r="A49" t="s">
        <v>477</v>
      </c>
      <c r="B49" t="s">
        <v>489</v>
      </c>
      <c r="C49" t="s">
        <v>482</v>
      </c>
      <c r="D49">
        <v>28030</v>
      </c>
    </row>
    <row r="50" spans="1:4">
      <c r="A50" t="s">
        <v>477</v>
      </c>
      <c r="B50" t="s">
        <v>489</v>
      </c>
      <c r="C50" t="s">
        <v>483</v>
      </c>
      <c r="D50">
        <f>D7+D14+D22+D29+D36+D43</f>
        <v>8500</v>
      </c>
    </row>
    <row r="51" spans="1:4">
      <c r="A51" t="s">
        <v>477</v>
      </c>
      <c r="B51" t="s">
        <v>490</v>
      </c>
      <c r="C51" t="s">
        <v>479</v>
      </c>
      <c r="D51" s="2">
        <f>Capacity!H7</f>
        <v>8.7470881986000002</v>
      </c>
    </row>
    <row r="52" spans="1:4">
      <c r="A52" t="s">
        <v>477</v>
      </c>
      <c r="B52" t="s">
        <v>490</v>
      </c>
      <c r="C52" t="s">
        <v>480</v>
      </c>
      <c r="D52">
        <f>D51*30</f>
        <v>262.41264595799998</v>
      </c>
    </row>
    <row r="53" spans="1:4">
      <c r="A53" t="s">
        <v>477</v>
      </c>
      <c r="B53" t="s">
        <v>490</v>
      </c>
      <c r="C53" t="s">
        <v>483</v>
      </c>
      <c r="D53" s="1">
        <f>D44-D37-D50-D49</f>
        <v>21675.538199999995</v>
      </c>
    </row>
    <row r="54" spans="1:4">
      <c r="A54" t="s">
        <v>491</v>
      </c>
      <c r="B54" t="s">
        <v>492</v>
      </c>
      <c r="C54" t="s">
        <v>493</v>
      </c>
      <c r="D54">
        <f>13*60*24*0.8*0.65</f>
        <v>9734.4</v>
      </c>
    </row>
    <row r="55" spans="1:4">
      <c r="A55" t="s">
        <v>491</v>
      </c>
      <c r="B55" t="s">
        <v>492</v>
      </c>
      <c r="C55" t="s">
        <v>494</v>
      </c>
      <c r="D55" s="1">
        <f>D46</f>
        <v>6038.139841538461</v>
      </c>
    </row>
    <row r="56" spans="1:4">
      <c r="A56" t="s">
        <v>491</v>
      </c>
      <c r="B56" t="s">
        <v>492</v>
      </c>
      <c r="C56" t="s">
        <v>495</v>
      </c>
      <c r="D56">
        <f>D55/D54</f>
        <v>0.6202888561738229</v>
      </c>
    </row>
    <row r="57" spans="1:4">
      <c r="A57" t="s">
        <v>491</v>
      </c>
      <c r="B57" t="s">
        <v>492</v>
      </c>
      <c r="C57" t="s">
        <v>496</v>
      </c>
      <c r="D57">
        <v>1</v>
      </c>
    </row>
    <row r="58" spans="1:4">
      <c r="A58" t="s">
        <v>491</v>
      </c>
      <c r="B58" t="s">
        <v>492</v>
      </c>
      <c r="C58" t="s">
        <v>497</v>
      </c>
      <c r="D58">
        <f>D56-D57</f>
        <v>-0.3797111438261771</v>
      </c>
    </row>
    <row r="59" spans="1:4">
      <c r="A59" t="s">
        <v>491</v>
      </c>
      <c r="B59" t="s">
        <v>498</v>
      </c>
      <c r="C59" t="s">
        <v>493</v>
      </c>
      <c r="D59">
        <f>10*60*24*0.8</f>
        <v>11520</v>
      </c>
    </row>
    <row r="60" spans="1:4">
      <c r="A60" t="s">
        <v>491</v>
      </c>
      <c r="B60" t="s">
        <v>498</v>
      </c>
      <c r="C60" t="s">
        <v>494</v>
      </c>
      <c r="D60">
        <f>D49</f>
        <v>28030</v>
      </c>
    </row>
    <row r="61" spans="1:4">
      <c r="A61" t="s">
        <v>491</v>
      </c>
      <c r="B61" t="s">
        <v>498</v>
      </c>
      <c r="C61" t="s">
        <v>495</v>
      </c>
      <c r="D61">
        <f>D60/D59</f>
        <v>2.4331597222222223</v>
      </c>
    </row>
    <row r="62" spans="1:4">
      <c r="A62" t="s">
        <v>491</v>
      </c>
      <c r="B62" t="s">
        <v>498</v>
      </c>
      <c r="C62" t="s">
        <v>496</v>
      </c>
      <c r="D62">
        <v>5</v>
      </c>
    </row>
    <row r="63" spans="1:4">
      <c r="A63" t="s">
        <v>491</v>
      </c>
      <c r="B63" t="s">
        <v>498</v>
      </c>
      <c r="C63" t="s">
        <v>497</v>
      </c>
      <c r="D63">
        <f>D61-D62</f>
        <v>-2.5668402777777777</v>
      </c>
    </row>
    <row r="64" spans="1:4">
      <c r="A64" t="s">
        <v>491</v>
      </c>
      <c r="B64" t="s">
        <v>499</v>
      </c>
      <c r="C64" t="s">
        <v>493</v>
      </c>
      <c r="D64">
        <v>750</v>
      </c>
    </row>
    <row r="65" spans="1:4">
      <c r="A65" t="s">
        <v>491</v>
      </c>
      <c r="B65" t="s">
        <v>499</v>
      </c>
      <c r="C65" t="s">
        <v>494</v>
      </c>
      <c r="D65" s="1">
        <f>D53</f>
        <v>21675.538199999995</v>
      </c>
    </row>
    <row r="66" spans="1:4">
      <c r="A66" t="s">
        <v>491</v>
      </c>
      <c r="B66" t="s">
        <v>499</v>
      </c>
      <c r="C66" t="s">
        <v>495</v>
      </c>
      <c r="D66">
        <f>D65/D64</f>
        <v>28.900717599999993</v>
      </c>
    </row>
    <row r="67" spans="1:4">
      <c r="A67" t="s">
        <v>491</v>
      </c>
      <c r="B67" t="s">
        <v>499</v>
      </c>
      <c r="C67" t="s">
        <v>496</v>
      </c>
      <c r="D67">
        <v>43</v>
      </c>
    </row>
    <row r="68" spans="1:4">
      <c r="A68" t="s">
        <v>491</v>
      </c>
      <c r="B68" t="s">
        <v>500</v>
      </c>
      <c r="C68" t="s">
        <v>493</v>
      </c>
      <c r="D68">
        <v>14000</v>
      </c>
    </row>
    <row r="69" spans="1:4">
      <c r="A69" t="s">
        <v>491</v>
      </c>
      <c r="B69" t="s">
        <v>500</v>
      </c>
      <c r="C69" t="s">
        <v>494</v>
      </c>
      <c r="D69">
        <f>D50</f>
        <v>8500</v>
      </c>
    </row>
    <row r="70" spans="1:4">
      <c r="A70" t="s">
        <v>491</v>
      </c>
      <c r="B70" t="s">
        <v>500</v>
      </c>
      <c r="C70" t="s">
        <v>495</v>
      </c>
      <c r="D70">
        <f>D69/D68</f>
        <v>0.6071428571428571</v>
      </c>
    </row>
    <row r="71" spans="1:4">
      <c r="A71" t="s">
        <v>491</v>
      </c>
      <c r="B71" t="s">
        <v>500</v>
      </c>
      <c r="C71" t="s">
        <v>496</v>
      </c>
      <c r="D71">
        <v>1</v>
      </c>
    </row>
    <row r="72" spans="1:4">
      <c r="A72" t="s">
        <v>491</v>
      </c>
      <c r="B72" t="s">
        <v>500</v>
      </c>
      <c r="C72" t="s">
        <v>497</v>
      </c>
      <c r="D72">
        <f>D70-D71</f>
        <v>-0.3928571428571429</v>
      </c>
    </row>
    <row r="73" spans="1:4">
      <c r="A73" t="s">
        <v>491</v>
      </c>
      <c r="B73" t="s">
        <v>501</v>
      </c>
      <c r="C73" t="s">
        <v>493</v>
      </c>
      <c r="D73">
        <f>7*60*24*0.82</f>
        <v>8265.6</v>
      </c>
    </row>
    <row r="74" spans="1:4">
      <c r="A74" t="s">
        <v>491</v>
      </c>
      <c r="B74" t="s">
        <v>501</v>
      </c>
      <c r="C74" t="s">
        <v>494</v>
      </c>
      <c r="D74" s="1">
        <f>D20+D27</f>
        <v>20916.130729999997</v>
      </c>
    </row>
    <row r="75" spans="1:4">
      <c r="A75" t="s">
        <v>491</v>
      </c>
      <c r="B75" t="s">
        <v>501</v>
      </c>
      <c r="C75" t="s">
        <v>495</v>
      </c>
      <c r="D75">
        <f>D74/D73</f>
        <v>2.5305036210317455</v>
      </c>
    </row>
    <row r="76" spans="1:4">
      <c r="A76" t="s">
        <v>491</v>
      </c>
      <c r="B76" t="s">
        <v>501</v>
      </c>
      <c r="C76" t="s">
        <v>496</v>
      </c>
      <c r="D76">
        <v>2</v>
      </c>
    </row>
    <row r="77" spans="1:4">
      <c r="A77" t="s">
        <v>491</v>
      </c>
      <c r="B77" t="s">
        <v>501</v>
      </c>
      <c r="C77" t="s">
        <v>497</v>
      </c>
      <c r="D77">
        <f>D75-D76</f>
        <v>0.53050362103174553</v>
      </c>
    </row>
    <row r="78" spans="1:4">
      <c r="A78" t="s">
        <v>491</v>
      </c>
      <c r="B78" t="s">
        <v>502</v>
      </c>
      <c r="C78" t="s">
        <v>493</v>
      </c>
      <c r="D78">
        <f>6*60*24*0.82/1.7</f>
        <v>4167.5294117647054</v>
      </c>
    </row>
    <row r="79" spans="1:4">
      <c r="A79" t="s">
        <v>491</v>
      </c>
      <c r="B79" t="s">
        <v>502</v>
      </c>
      <c r="C79" t="s">
        <v>494</v>
      </c>
      <c r="D79">
        <f>D30*0</f>
        <v>0</v>
      </c>
    </row>
    <row r="80" spans="1:4">
      <c r="A80" t="s">
        <v>491</v>
      </c>
      <c r="B80" t="s">
        <v>502</v>
      </c>
      <c r="C80" t="s">
        <v>495</v>
      </c>
      <c r="D80">
        <f>D79/D78</f>
        <v>0</v>
      </c>
    </row>
    <row r="81" spans="1:4">
      <c r="A81" t="s">
        <v>491</v>
      </c>
      <c r="B81" t="s">
        <v>502</v>
      </c>
      <c r="C81" t="s">
        <v>496</v>
      </c>
      <c r="D81">
        <v>0</v>
      </c>
    </row>
    <row r="82" spans="1:4">
      <c r="A82" t="s">
        <v>491</v>
      </c>
      <c r="B82" t="s">
        <v>502</v>
      </c>
      <c r="C82" t="s">
        <v>497</v>
      </c>
      <c r="D82">
        <v>0</v>
      </c>
    </row>
    <row r="83" spans="1:4">
      <c r="A83" t="s">
        <v>491</v>
      </c>
      <c r="B83" t="s">
        <v>503</v>
      </c>
      <c r="C83" t="s">
        <v>493</v>
      </c>
      <c r="D83">
        <v>1300</v>
      </c>
    </row>
    <row r="84" spans="1:4">
      <c r="A84" t="s">
        <v>491</v>
      </c>
      <c r="B84" t="s">
        <v>503</v>
      </c>
      <c r="C84" t="s">
        <v>494</v>
      </c>
      <c r="D84" s="1">
        <f>D47</f>
        <v>47046.869269999996</v>
      </c>
    </row>
    <row r="85" spans="1:4">
      <c r="A85" t="s">
        <v>491</v>
      </c>
      <c r="B85" t="s">
        <v>503</v>
      </c>
      <c r="C85" t="s">
        <v>495</v>
      </c>
      <c r="D85">
        <f>D84/D83</f>
        <v>36.189899438461538</v>
      </c>
    </row>
    <row r="86" spans="1:4">
      <c r="A86" t="s">
        <v>491</v>
      </c>
      <c r="B86" t="s">
        <v>503</v>
      </c>
      <c r="C86" t="s">
        <v>496</v>
      </c>
      <c r="D86">
        <v>57</v>
      </c>
    </row>
    <row r="87" spans="1:4">
      <c r="A87" t="s">
        <v>491</v>
      </c>
      <c r="B87" t="s">
        <v>503</v>
      </c>
      <c r="C87" t="s">
        <v>497</v>
      </c>
      <c r="D87">
        <f>D85-D86</f>
        <v>-20.810100561538462</v>
      </c>
    </row>
    <row r="88" spans="1:4">
      <c r="A88" t="s">
        <v>491</v>
      </c>
      <c r="B88" t="s">
        <v>504</v>
      </c>
      <c r="C88" t="s">
        <v>493</v>
      </c>
      <c r="D88">
        <v>1200</v>
      </c>
    </row>
    <row r="89" spans="1:4">
      <c r="A89" t="s">
        <v>491</v>
      </c>
      <c r="B89" t="s">
        <v>504</v>
      </c>
      <c r="C89" t="s">
        <v>494</v>
      </c>
      <c r="D89" s="1">
        <f>D20+D27</f>
        <v>20916.130729999997</v>
      </c>
    </row>
    <row r="90" spans="1:4">
      <c r="A90" t="s">
        <v>491</v>
      </c>
      <c r="B90" t="s">
        <v>504</v>
      </c>
      <c r="C90" t="s">
        <v>495</v>
      </c>
      <c r="D90">
        <f>D89/D88</f>
        <v>17.430108941666663</v>
      </c>
    </row>
    <row r="91" spans="1:4">
      <c r="A91" t="s">
        <v>491</v>
      </c>
      <c r="B91" t="s">
        <v>504</v>
      </c>
      <c r="C91" t="s">
        <v>496</v>
      </c>
      <c r="D91">
        <v>35</v>
      </c>
    </row>
    <row r="92" spans="1:4">
      <c r="A92" t="s">
        <v>491</v>
      </c>
      <c r="B92" t="s">
        <v>504</v>
      </c>
      <c r="C92" t="s">
        <v>497</v>
      </c>
      <c r="D92">
        <f>D90-D91</f>
        <v>-17.569891058333337</v>
      </c>
    </row>
    <row r="93" spans="1:4">
      <c r="A93" t="s">
        <v>491</v>
      </c>
      <c r="B93" t="s">
        <v>505</v>
      </c>
      <c r="C93" t="s">
        <v>493</v>
      </c>
      <c r="D93">
        <v>3400</v>
      </c>
    </row>
    <row r="94" spans="1:4">
      <c r="A94" t="s">
        <v>491</v>
      </c>
      <c r="B94" t="s">
        <v>505</v>
      </c>
      <c r="C94" t="s">
        <v>494</v>
      </c>
      <c r="D94" s="1">
        <f>D47+D48</f>
        <v>67963</v>
      </c>
    </row>
    <row r="95" spans="1:4">
      <c r="A95" t="s">
        <v>491</v>
      </c>
      <c r="B95" t="s">
        <v>505</v>
      </c>
      <c r="C95" t="s">
        <v>495</v>
      </c>
      <c r="D95">
        <f>D94/D93</f>
        <v>19.989117647058823</v>
      </c>
    </row>
    <row r="96" spans="1:4">
      <c r="A96" t="s">
        <v>491</v>
      </c>
      <c r="B96" t="s">
        <v>505</v>
      </c>
      <c r="C96" t="s">
        <v>496</v>
      </c>
      <c r="D96">
        <v>26</v>
      </c>
    </row>
    <row r="97" spans="1:4">
      <c r="A97" t="s">
        <v>491</v>
      </c>
      <c r="B97" t="s">
        <v>505</v>
      </c>
      <c r="C97" t="s">
        <v>497</v>
      </c>
      <c r="D97">
        <f>D95-D96</f>
        <v>-6.0108823529411772</v>
      </c>
    </row>
    <row r="98" spans="1:4">
      <c r="A98" t="s">
        <v>491</v>
      </c>
      <c r="B98" t="s">
        <v>506</v>
      </c>
      <c r="C98" t="s">
        <v>495</v>
      </c>
      <c r="D98">
        <v>8</v>
      </c>
    </row>
    <row r="99" spans="1:4">
      <c r="A99" t="s">
        <v>491</v>
      </c>
      <c r="B99" t="s">
        <v>506</v>
      </c>
      <c r="C99" t="s">
        <v>496</v>
      </c>
      <c r="D99">
        <v>3</v>
      </c>
    </row>
    <row r="100" spans="1:4">
      <c r="A100" t="s">
        <v>491</v>
      </c>
      <c r="B100" t="s">
        <v>506</v>
      </c>
      <c r="C100" t="s">
        <v>497</v>
      </c>
      <c r="D100">
        <v>5</v>
      </c>
    </row>
    <row r="101" spans="1:4">
      <c r="A101" t="s">
        <v>491</v>
      </c>
      <c r="B101" t="s">
        <v>507</v>
      </c>
      <c r="C101" t="s">
        <v>495</v>
      </c>
      <c r="D101">
        <f>D85*3/2</f>
        <v>54.284849157692307</v>
      </c>
    </row>
    <row r="102" spans="1:4">
      <c r="A102" t="s">
        <v>491</v>
      </c>
      <c r="B102" t="s">
        <v>508</v>
      </c>
      <c r="C102" t="s">
        <v>495</v>
      </c>
      <c r="D102">
        <f>D90*3/2</f>
        <v>26.145163412499997</v>
      </c>
    </row>
    <row r="103" spans="1:4">
      <c r="A103" t="s">
        <v>491</v>
      </c>
      <c r="B103" t="s">
        <v>509</v>
      </c>
      <c r="C103" t="s">
        <v>493</v>
      </c>
      <c r="D103">
        <v>1500</v>
      </c>
    </row>
    <row r="104" spans="1:4">
      <c r="A104" t="s">
        <v>491</v>
      </c>
      <c r="B104" t="s">
        <v>509</v>
      </c>
      <c r="C104" t="s">
        <v>494</v>
      </c>
      <c r="D104">
        <v>47047</v>
      </c>
    </row>
    <row r="105" spans="1:4">
      <c r="A105" t="s">
        <v>491</v>
      </c>
      <c r="B105" t="s">
        <v>509</v>
      </c>
      <c r="C105" t="s">
        <v>495</v>
      </c>
      <c r="D105">
        <v>0</v>
      </c>
    </row>
    <row r="106" spans="1:4">
      <c r="A106" t="s">
        <v>491</v>
      </c>
      <c r="B106" t="s">
        <v>510</v>
      </c>
      <c r="C106" t="s">
        <v>493</v>
      </c>
      <c r="D106">
        <f>5*60*24*0.82</f>
        <v>5904</v>
      </c>
    </row>
    <row r="107" spans="1:4">
      <c r="A107" t="s">
        <v>491</v>
      </c>
      <c r="B107" t="s">
        <v>510</v>
      </c>
      <c r="C107" t="s">
        <v>494</v>
      </c>
      <c r="D107">
        <f>D34</f>
        <v>0</v>
      </c>
    </row>
    <row r="108" spans="1:4">
      <c r="A108" t="s">
        <v>491</v>
      </c>
      <c r="B108" t="s">
        <v>510</v>
      </c>
      <c r="C108" t="s">
        <v>495</v>
      </c>
      <c r="D108">
        <f>D107/D106</f>
        <v>0</v>
      </c>
    </row>
    <row r="109" spans="1:4">
      <c r="A109" t="s">
        <v>491</v>
      </c>
      <c r="B109" t="s">
        <v>510</v>
      </c>
      <c r="C109" t="s">
        <v>496</v>
      </c>
      <c r="D109">
        <v>0</v>
      </c>
    </row>
    <row r="110" spans="1:4">
      <c r="A110" t="s">
        <v>491</v>
      </c>
      <c r="B110" t="s">
        <v>510</v>
      </c>
      <c r="C110" t="s">
        <v>497</v>
      </c>
      <c r="D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MirzaAli Jaffer</dc:creator>
  <cp:keywords/>
  <dc:description/>
  <cp:lastModifiedBy>MirzaAli Jaffer</cp:lastModifiedBy>
  <cp:revision/>
  <dcterms:created xsi:type="dcterms:W3CDTF">2026-04-08T12:22:42Z</dcterms:created>
  <dcterms:modified xsi:type="dcterms:W3CDTF">2026-04-13T15:01:45Z</dcterms:modified>
  <cp:category/>
  <cp:contentStatus/>
</cp:coreProperties>
</file>